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1" autoFilterDateGrouping="1"/>
  </bookViews>
  <sheets>
    <sheet xmlns:r="http://schemas.openxmlformats.org/officeDocument/2006/relationships" name="_ConditionValues" sheetId="1" state="hidden" r:id="rId1"/>
    <sheet xmlns:r="http://schemas.openxmlformats.org/officeDocument/2006/relationships" name="Heroes" sheetId="2" state="visible" r:id="rId2"/>
    <sheet xmlns:r="http://schemas.openxmlformats.org/officeDocument/2006/relationships" name="Data-Input" sheetId="3" state="visible" r:id="rId3"/>
    <sheet xmlns:r="http://schemas.openxmlformats.org/officeDocument/2006/relationships" name="Documentation - Computations" sheetId="4" state="visible" r:id="rId4"/>
    <sheet xmlns:r="http://schemas.openxmlformats.org/officeDocument/2006/relationships" name="CounterCalculator" sheetId="5" state="visible" r:id="rId5"/>
    <sheet xmlns:r="http://schemas.openxmlformats.org/officeDocument/2006/relationships" name="Lookup" sheetId="6" state="visible" r:id="rId6"/>
    <sheet xmlns:r="http://schemas.openxmlformats.org/officeDocument/2006/relationships" name="LookupCalc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mbria"/>
      <charset val="1"/>
      <b val="1"/>
      <sz val="11"/>
    </font>
    <font>
      <name val="Cambria"/>
      <charset val="1"/>
      <b val="1"/>
      <sz val="14"/>
    </font>
    <font>
      <name val="Calibri"/>
      <charset val="1"/>
      <i val="1"/>
      <sz val="10"/>
    </font>
    <font>
      <name val="Calibri"/>
      <charset val="1"/>
      <sz val="11"/>
    </font>
    <font>
      <name val="Cambria"/>
      <charset val="1"/>
      <b val="1"/>
      <sz val="16"/>
    </font>
    <font>
      <name val="Cambria"/>
      <charset val="1"/>
      <b val="1"/>
      <color rgb="FF1F4E78"/>
      <sz val="13"/>
    </font>
    <font>
      <name val="Cambria"/>
      <charset val="1"/>
      <b val="1"/>
      <color rgb="FF1F4E78"/>
      <sz val="11"/>
    </font>
    <font>
      <name val="Consolas"/>
      <charset val="1"/>
      <sz val="10"/>
    </font>
    <font>
      <name val="Calibri"/>
      <charset val="1"/>
      <b val="1"/>
      <i val="1"/>
      <color rgb="FF595959"/>
      <sz val="9"/>
    </font>
    <font>
      <name val="Calibri"/>
      <charset val="1"/>
      <i val="1"/>
      <color rgb="FF808080"/>
      <sz val="9"/>
    </font>
    <font>
      <name val="Cambria"/>
      <charset val="1"/>
      <b val="1"/>
      <sz val="12"/>
    </font>
    <font>
      <name val="Calibri"/>
      <charset val="1"/>
      <b val="1"/>
      <sz val="11"/>
    </font>
    <font>
      <name val="Calibri"/>
      <charset val="1"/>
      <b val="1"/>
      <color rgb="FFFFFFFF"/>
      <sz val="13"/>
    </font>
  </fonts>
  <fills count="6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4" fillId="0" borderId="0" pivotButton="0" quotePrefix="0" xfId="0"/>
    <xf numFmtId="0" fontId="12" fillId="0" borderId="0" pivotButton="0" quotePrefix="0" xfId="0"/>
    <xf numFmtId="2" fontId="12" fillId="0" borderId="0" pivotButton="0" quotePrefix="0" xfId="0"/>
    <xf numFmtId="0" fontId="13" fillId="5" borderId="0" pivotButton="0" quotePrefix="0" xfId="0"/>
    <xf numFmtId="2" fontId="13" fillId="5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oes" displayName="Heroes" ref="A1:Q134" headerRowCount="1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Aamon</t>
        </is>
      </c>
    </row>
    <row r="2">
      <c r="A2" t="inlineStr">
        <is>
          <t>Akai</t>
        </is>
      </c>
    </row>
    <row r="3">
      <c r="A3" t="inlineStr">
        <is>
          <t>Aldous</t>
        </is>
      </c>
    </row>
    <row r="4">
      <c r="A4" t="inlineStr">
        <is>
          <t>Alice</t>
        </is>
      </c>
    </row>
    <row r="5">
      <c r="A5" t="inlineStr">
        <is>
          <t>Alpha</t>
        </is>
      </c>
    </row>
    <row r="6">
      <c r="A6" t="inlineStr">
        <is>
          <t>Alucard</t>
        </is>
      </c>
    </row>
    <row r="7">
      <c r="A7" t="inlineStr">
        <is>
          <t>Angela</t>
        </is>
      </c>
    </row>
    <row r="8">
      <c r="A8" t="inlineStr">
        <is>
          <t>Anti-Heal</t>
        </is>
      </c>
    </row>
    <row r="9">
      <c r="A9" t="inlineStr">
        <is>
          <t>AoE CC</t>
        </is>
      </c>
    </row>
    <row r="10">
      <c r="A10" t="inlineStr">
        <is>
          <t>AoE Damage</t>
        </is>
      </c>
    </row>
    <row r="11">
      <c r="A11" t="inlineStr">
        <is>
          <t>Argus</t>
        </is>
      </c>
    </row>
    <row r="12">
      <c r="A12" t="inlineStr">
        <is>
          <t>Arlott</t>
        </is>
      </c>
    </row>
    <row r="13">
      <c r="A13" t="inlineStr">
        <is>
          <t>Assassin</t>
        </is>
      </c>
    </row>
    <row r="14">
      <c r="A14" t="inlineStr">
        <is>
          <t>Atlas</t>
        </is>
      </c>
    </row>
    <row r="15">
      <c r="A15" t="inlineStr">
        <is>
          <t>Aulus</t>
        </is>
      </c>
    </row>
    <row r="16">
      <c r="A16" t="inlineStr">
        <is>
          <t>Aurora</t>
        </is>
      </c>
    </row>
    <row r="17">
      <c r="A17" t="inlineStr">
        <is>
          <t>Badang</t>
        </is>
      </c>
    </row>
    <row r="18">
      <c r="A18" t="inlineStr">
        <is>
          <t>Balmond</t>
        </is>
      </c>
    </row>
    <row r="19">
      <c r="A19" t="inlineStr">
        <is>
          <t>Bane</t>
        </is>
      </c>
    </row>
    <row r="20">
      <c r="A20" t="inlineStr">
        <is>
          <t>Barats</t>
        </is>
      </c>
    </row>
    <row r="21">
      <c r="A21" t="inlineStr">
        <is>
          <t>Baxia</t>
        </is>
      </c>
    </row>
    <row r="22">
      <c r="A22" t="inlineStr">
        <is>
          <t>Beatrix</t>
        </is>
      </c>
    </row>
    <row r="23">
      <c r="A23" t="inlineStr">
        <is>
          <t>Belerick</t>
        </is>
      </c>
    </row>
    <row r="24">
      <c r="A24" t="inlineStr">
        <is>
          <t>Benedetta</t>
        </is>
      </c>
    </row>
    <row r="25">
      <c r="A25" t="inlineStr">
        <is>
          <t>Blood</t>
        </is>
      </c>
    </row>
    <row r="26">
      <c r="A26" t="inlineStr">
        <is>
          <t>Brody</t>
        </is>
      </c>
    </row>
    <row r="27">
      <c r="A27" t="inlineStr">
        <is>
          <t>Bruno</t>
        </is>
      </c>
    </row>
    <row r="28">
      <c r="A28" t="inlineStr">
        <is>
          <t>Buff</t>
        </is>
      </c>
    </row>
    <row r="29">
      <c r="A29" t="inlineStr">
        <is>
          <t>Burst</t>
        </is>
      </c>
    </row>
    <row r="30">
      <c r="A30" t="inlineStr">
        <is>
          <t>Carmilla</t>
        </is>
      </c>
    </row>
    <row r="31">
      <c r="A31" t="inlineStr">
        <is>
          <t>Cecilion</t>
        </is>
      </c>
    </row>
    <row r="32">
      <c r="A32" t="inlineStr">
        <is>
          <t>Chang'e</t>
        </is>
      </c>
    </row>
    <row r="33">
      <c r="A33" t="inlineStr">
        <is>
          <t>Chip</t>
        </is>
      </c>
    </row>
    <row r="34">
      <c r="A34" t="inlineStr">
        <is>
          <t>Chou</t>
        </is>
      </c>
    </row>
    <row r="35">
      <c r="A35" t="inlineStr">
        <is>
          <t>Cici</t>
        </is>
      </c>
    </row>
    <row r="36">
      <c r="A36" t="inlineStr">
        <is>
          <t>Claude</t>
        </is>
      </c>
    </row>
    <row r="37">
      <c r="A37" t="inlineStr">
        <is>
          <t>Clint</t>
        </is>
      </c>
    </row>
    <row r="38">
      <c r="A38" t="inlineStr">
        <is>
          <t>Cyclops</t>
        </is>
      </c>
    </row>
    <row r="39">
      <c r="A39" t="inlineStr">
        <is>
          <t>Damage Reduction</t>
        </is>
      </c>
    </row>
    <row r="40">
      <c r="A40" t="inlineStr">
        <is>
          <t>Dash/Blink</t>
        </is>
      </c>
    </row>
    <row r="41">
      <c r="A41" t="inlineStr">
        <is>
          <t>Death Immunity</t>
        </is>
      </c>
    </row>
    <row r="42">
      <c r="A42" t="inlineStr">
        <is>
          <t>Diggie</t>
        </is>
      </c>
    </row>
    <row r="43">
      <c r="A43" t="inlineStr">
        <is>
          <t>DPS</t>
        </is>
      </c>
    </row>
    <row r="44">
      <c r="A44" t="inlineStr">
        <is>
          <t>Dyrroth</t>
        </is>
      </c>
    </row>
    <row r="45">
      <c r="A45" t="inlineStr">
        <is>
          <t>Edith</t>
        </is>
      </c>
    </row>
    <row r="46">
      <c r="A46" t="inlineStr">
        <is>
          <t>Energy</t>
        </is>
      </c>
    </row>
    <row r="47">
      <c r="A47" t="inlineStr">
        <is>
          <t>Esmeralda</t>
        </is>
      </c>
    </row>
    <row r="48">
      <c r="A48" t="inlineStr">
        <is>
          <t>Estes</t>
        </is>
      </c>
    </row>
    <row r="49">
      <c r="A49" t="inlineStr">
        <is>
          <t>Eudora</t>
        </is>
      </c>
    </row>
    <row r="50">
      <c r="A50" t="inlineStr">
        <is>
          <t>Execute</t>
        </is>
      </c>
    </row>
    <row r="51">
      <c r="A51" t="inlineStr">
        <is>
          <t>Fanny</t>
        </is>
      </c>
    </row>
    <row r="52">
      <c r="A52" t="inlineStr">
        <is>
          <t>Faramis</t>
        </is>
      </c>
    </row>
    <row r="53">
      <c r="A53" t="inlineStr">
        <is>
          <t>Fighter</t>
        </is>
      </c>
    </row>
    <row r="54">
      <c r="A54" t="inlineStr">
        <is>
          <t>Floryn</t>
        </is>
      </c>
    </row>
    <row r="55">
      <c r="A55" t="inlineStr">
        <is>
          <t>Franco</t>
        </is>
      </c>
    </row>
    <row r="56">
      <c r="A56" t="inlineStr">
        <is>
          <t>Fredrinn</t>
        </is>
      </c>
    </row>
    <row r="57">
      <c r="A57" t="inlineStr">
        <is>
          <t>Freya</t>
        </is>
      </c>
    </row>
    <row r="58">
      <c r="A58" t="inlineStr">
        <is>
          <t>Gatotkaca</t>
        </is>
      </c>
    </row>
    <row r="59">
      <c r="A59" t="inlineStr">
        <is>
          <t>Global Dive</t>
        </is>
      </c>
    </row>
    <row r="60">
      <c r="A60" t="inlineStr">
        <is>
          <t>Gloo</t>
        </is>
      </c>
    </row>
    <row r="61">
      <c r="A61" t="inlineStr">
        <is>
          <t>Gord</t>
        </is>
      </c>
    </row>
    <row r="62">
      <c r="A62" t="inlineStr">
        <is>
          <t>Granger</t>
        </is>
      </c>
    </row>
    <row r="63">
      <c r="A63" t="inlineStr">
        <is>
          <t>Grock</t>
        </is>
      </c>
    </row>
    <row r="64">
      <c r="A64" t="inlineStr">
        <is>
          <t>Guinevere</t>
        </is>
      </c>
    </row>
    <row r="65">
      <c r="A65" t="inlineStr">
        <is>
          <t>Gusion</t>
        </is>
      </c>
    </row>
    <row r="66">
      <c r="A66" t="inlineStr">
        <is>
          <t>Hanabi</t>
        </is>
      </c>
    </row>
    <row r="67">
      <c r="A67" t="inlineStr">
        <is>
          <t>Hanzo</t>
        </is>
      </c>
    </row>
    <row r="68">
      <c r="A68" t="inlineStr">
        <is>
          <t>Hard CC</t>
        </is>
      </c>
    </row>
    <row r="69">
      <c r="A69" t="inlineStr">
        <is>
          <t>Harith</t>
        </is>
      </c>
    </row>
    <row r="70">
      <c r="A70" t="inlineStr">
        <is>
          <t>Harley</t>
        </is>
      </c>
    </row>
    <row r="71">
      <c r="A71" t="inlineStr">
        <is>
          <t>Hayabusa</t>
        </is>
      </c>
    </row>
    <row r="72">
      <c r="A72" t="inlineStr">
        <is>
          <t>Healing</t>
        </is>
      </c>
    </row>
    <row r="73">
      <c r="A73" t="inlineStr">
        <is>
          <t>Helcurt</t>
        </is>
      </c>
    </row>
    <row r="74">
      <c r="A74" t="inlineStr">
        <is>
          <t>High Mobility</t>
        </is>
      </c>
    </row>
    <row r="75">
      <c r="A75" t="inlineStr">
        <is>
          <t>Hilda</t>
        </is>
      </c>
    </row>
    <row r="76">
      <c r="A76" t="inlineStr">
        <is>
          <t>Hirara</t>
        </is>
      </c>
    </row>
    <row r="77">
      <c r="A77" t="inlineStr">
        <is>
          <t>Hylos</t>
        </is>
      </c>
    </row>
    <row r="78">
      <c r="A78" t="inlineStr">
        <is>
          <t>I-Frame</t>
        </is>
      </c>
    </row>
    <row r="79">
      <c r="A79" t="inlineStr">
        <is>
          <t>Irithel</t>
        </is>
      </c>
    </row>
    <row r="80">
      <c r="A80" t="inlineStr">
        <is>
          <t>Ixia</t>
        </is>
      </c>
    </row>
    <row r="81">
      <c r="A81" t="inlineStr">
        <is>
          <t>Jawhead</t>
        </is>
      </c>
    </row>
    <row r="82">
      <c r="A82" t="inlineStr">
        <is>
          <t>Johnson</t>
        </is>
      </c>
    </row>
    <row r="83">
      <c r="A83" t="inlineStr">
        <is>
          <t>Joy</t>
        </is>
      </c>
    </row>
    <row r="84">
      <c r="A84" t="inlineStr">
        <is>
          <t>Julian</t>
        </is>
      </c>
    </row>
    <row r="85">
      <c r="A85" t="inlineStr">
        <is>
          <t>Kadita</t>
        </is>
      </c>
    </row>
    <row r="86">
      <c r="A86" t="inlineStr">
        <is>
          <t>Kagura</t>
        </is>
      </c>
    </row>
    <row r="87">
      <c r="A87" t="inlineStr">
        <is>
          <t>Kaja</t>
        </is>
      </c>
    </row>
    <row r="88">
      <c r="A88" t="inlineStr">
        <is>
          <t>Kalea</t>
        </is>
      </c>
    </row>
    <row r="89">
      <c r="A89" t="inlineStr">
        <is>
          <t>Karina</t>
        </is>
      </c>
    </row>
    <row r="90">
      <c r="A90" t="inlineStr">
        <is>
          <t>Karrie</t>
        </is>
      </c>
    </row>
    <row r="91">
      <c r="A91" t="inlineStr">
        <is>
          <t>Khaleed</t>
        </is>
      </c>
    </row>
    <row r="92">
      <c r="A92" t="inlineStr">
        <is>
          <t>Khufra</t>
        </is>
      </c>
    </row>
    <row r="93">
      <c r="A93" t="inlineStr">
        <is>
          <t>Kimmy</t>
        </is>
      </c>
    </row>
    <row r="94">
      <c r="A94" t="inlineStr">
        <is>
          <t>Lancelot</t>
        </is>
      </c>
    </row>
    <row r="95">
      <c r="A95" t="inlineStr">
        <is>
          <t>Lapu-Lapu</t>
        </is>
      </c>
    </row>
    <row r="96">
      <c r="A96" t="inlineStr">
        <is>
          <t>Layla</t>
        </is>
      </c>
    </row>
    <row r="97">
      <c r="A97" t="inlineStr">
        <is>
          <t>Leomord</t>
        </is>
      </c>
    </row>
    <row r="98">
      <c r="A98" t="inlineStr">
        <is>
          <t>Lesley</t>
        </is>
      </c>
    </row>
    <row r="99">
      <c r="A99" t="inlineStr">
        <is>
          <t>Ling</t>
        </is>
      </c>
    </row>
    <row r="100">
      <c r="A100" t="inlineStr">
        <is>
          <t>Lolita</t>
        </is>
      </c>
    </row>
    <row r="101">
      <c r="A101" t="inlineStr">
        <is>
          <t>Lukas</t>
        </is>
      </c>
    </row>
    <row r="102">
      <c r="A102" t="inlineStr">
        <is>
          <t>Lunox</t>
        </is>
      </c>
    </row>
    <row r="103">
      <c r="A103" t="inlineStr">
        <is>
          <t>Luo Yi</t>
        </is>
      </c>
    </row>
    <row r="104">
      <c r="A104" t="inlineStr">
        <is>
          <t>Lylia</t>
        </is>
      </c>
    </row>
    <row r="105">
      <c r="A105" t="inlineStr">
        <is>
          <t>Mage</t>
        </is>
      </c>
    </row>
    <row r="106">
      <c r="A106" t="inlineStr">
        <is>
          <t>Magic</t>
        </is>
      </c>
    </row>
    <row r="107">
      <c r="A107" t="inlineStr">
        <is>
          <t>Mana</t>
        </is>
      </c>
    </row>
    <row r="108">
      <c r="A108" t="inlineStr">
        <is>
          <t>Marcel</t>
        </is>
      </c>
    </row>
    <row r="109">
      <c r="A109" t="inlineStr">
        <is>
          <t>Marksman</t>
        </is>
      </c>
    </row>
    <row r="110">
      <c r="A110" t="inlineStr">
        <is>
          <t>Martis</t>
        </is>
      </c>
    </row>
    <row r="111">
      <c r="A111" t="inlineStr">
        <is>
          <t>Masha</t>
        </is>
      </c>
    </row>
    <row r="112">
      <c r="A112" t="inlineStr">
        <is>
          <t>Mathilda</t>
        </is>
      </c>
    </row>
    <row r="113">
      <c r="A113" t="inlineStr">
        <is>
          <t>Melissa</t>
        </is>
      </c>
    </row>
    <row r="114">
      <c r="A114" t="inlineStr">
        <is>
          <t>Minotaur</t>
        </is>
      </c>
    </row>
    <row r="115">
      <c r="A115" t="inlineStr">
        <is>
          <t>Minsitthar</t>
        </is>
      </c>
    </row>
    <row r="116">
      <c r="A116" t="inlineStr">
        <is>
          <t>Mixed</t>
        </is>
      </c>
    </row>
    <row r="117">
      <c r="A117" t="inlineStr">
        <is>
          <t>Miya</t>
        </is>
      </c>
    </row>
    <row r="118">
      <c r="A118" t="inlineStr">
        <is>
          <t>Mobility</t>
        </is>
      </c>
    </row>
    <row r="119">
      <c r="A119" t="inlineStr">
        <is>
          <t>Morph</t>
        </is>
      </c>
    </row>
    <row r="120">
      <c r="A120" t="inlineStr">
        <is>
          <t>Moskov</t>
        </is>
      </c>
    </row>
    <row r="121">
      <c r="A121" t="inlineStr">
        <is>
          <t>Nana</t>
        </is>
      </c>
    </row>
    <row r="122">
      <c r="A122" t="inlineStr">
        <is>
          <t>Natalia</t>
        </is>
      </c>
    </row>
    <row r="123">
      <c r="A123" t="inlineStr">
        <is>
          <t>Natan</t>
        </is>
      </c>
    </row>
    <row r="124">
      <c r="A124" t="inlineStr">
        <is>
          <t>Nolan</t>
        </is>
      </c>
    </row>
    <row r="125">
      <c r="A125" t="inlineStr">
        <is>
          <t>None</t>
        </is>
      </c>
    </row>
    <row r="126">
      <c r="A126" t="inlineStr">
        <is>
          <t>Novaria</t>
        </is>
      </c>
    </row>
    <row r="127">
      <c r="A127" t="inlineStr">
        <is>
          <t>Obsidia</t>
        </is>
      </c>
    </row>
    <row r="128">
      <c r="A128" t="inlineStr">
        <is>
          <t>Odette</t>
        </is>
      </c>
    </row>
    <row r="129">
      <c r="A129" t="inlineStr">
        <is>
          <t>Paquito</t>
        </is>
      </c>
    </row>
    <row r="130">
      <c r="A130" t="inlineStr">
        <is>
          <t>Pharsa</t>
        </is>
      </c>
    </row>
    <row r="131">
      <c r="A131" t="inlineStr">
        <is>
          <t>Phoveus</t>
        </is>
      </c>
    </row>
    <row r="132">
      <c r="A132" t="inlineStr">
        <is>
          <t>Physical</t>
        </is>
      </c>
    </row>
    <row r="133">
      <c r="A133" t="inlineStr">
        <is>
          <t>Poke</t>
        </is>
      </c>
    </row>
    <row r="134">
      <c r="A134" t="inlineStr">
        <is>
          <t>Popol and Kupa</t>
        </is>
      </c>
    </row>
    <row r="135">
      <c r="A135" t="inlineStr">
        <is>
          <t>Rafaela</t>
        </is>
      </c>
    </row>
    <row r="136">
      <c r="A136" t="inlineStr">
        <is>
          <t>Rage</t>
        </is>
      </c>
    </row>
    <row r="137">
      <c r="A137" t="inlineStr">
        <is>
          <t>Remove CC</t>
        </is>
      </c>
    </row>
    <row r="138">
      <c r="A138" t="inlineStr">
        <is>
          <t>Roger</t>
        </is>
      </c>
    </row>
    <row r="139">
      <c r="A139" t="inlineStr">
        <is>
          <t>Ruby</t>
        </is>
      </c>
    </row>
    <row r="140">
      <c r="A140" t="inlineStr">
        <is>
          <t>Saber</t>
        </is>
      </c>
    </row>
    <row r="141">
      <c r="A141" t="inlineStr">
        <is>
          <t>Selena</t>
        </is>
      </c>
    </row>
    <row r="142">
      <c r="A142" t="inlineStr">
        <is>
          <t>Shield</t>
        </is>
      </c>
    </row>
    <row r="143">
      <c r="A143" t="inlineStr">
        <is>
          <t>Silvanna</t>
        </is>
      </c>
    </row>
    <row r="144">
      <c r="A144" t="inlineStr">
        <is>
          <t>Soft CC</t>
        </is>
      </c>
    </row>
    <row r="145">
      <c r="A145" t="inlineStr">
        <is>
          <t>Sora</t>
        </is>
      </c>
    </row>
    <row r="146">
      <c r="A146" t="inlineStr">
        <is>
          <t>Stealth</t>
        </is>
      </c>
    </row>
    <row r="147">
      <c r="A147" t="inlineStr">
        <is>
          <t>Summoner</t>
        </is>
      </c>
    </row>
    <row r="148">
      <c r="A148" t="inlineStr">
        <is>
          <t>Sun</t>
        </is>
      </c>
    </row>
    <row r="149">
      <c r="A149" t="inlineStr">
        <is>
          <t>Support</t>
        </is>
      </c>
    </row>
    <row r="150">
      <c r="A150" t="inlineStr">
        <is>
          <t>Sustain</t>
        </is>
      </c>
    </row>
    <row r="151">
      <c r="A151" t="inlineStr">
        <is>
          <t>Suyou</t>
        </is>
      </c>
    </row>
    <row r="152">
      <c r="A152" t="inlineStr">
        <is>
          <t>Tank</t>
        </is>
      </c>
    </row>
    <row r="153">
      <c r="A153" t="inlineStr">
        <is>
          <t>Targeted CC</t>
        </is>
      </c>
    </row>
    <row r="154">
      <c r="A154" t="inlineStr">
        <is>
          <t>Terizla</t>
        </is>
      </c>
    </row>
    <row r="155">
      <c r="A155" t="inlineStr">
        <is>
          <t>Thamuz</t>
        </is>
      </c>
    </row>
    <row r="156">
      <c r="A156" t="inlineStr">
        <is>
          <t>Tigreal</t>
        </is>
      </c>
    </row>
    <row r="157">
      <c r="A157" t="inlineStr">
        <is>
          <t>True Damage</t>
        </is>
      </c>
    </row>
    <row r="158">
      <c r="A158" t="inlineStr">
        <is>
          <t>Uranus</t>
        </is>
      </c>
    </row>
    <row r="159">
      <c r="A159" t="inlineStr">
        <is>
          <t>Vale</t>
        </is>
      </c>
    </row>
    <row r="160">
      <c r="A160" t="inlineStr">
        <is>
          <t>Valentina</t>
        </is>
      </c>
    </row>
    <row r="161">
      <c r="A161" t="inlineStr">
        <is>
          <t>Valir</t>
        </is>
      </c>
    </row>
    <row r="162">
      <c r="A162" t="inlineStr">
        <is>
          <t>Vexana</t>
        </is>
      </c>
    </row>
    <row r="163">
      <c r="A163" t="inlineStr">
        <is>
          <t>Vision</t>
        </is>
      </c>
    </row>
    <row r="164">
      <c r="A164" t="inlineStr">
        <is>
          <t>Wanwan</t>
        </is>
      </c>
    </row>
    <row r="165">
      <c r="A165" t="inlineStr">
        <is>
          <t>X.Borg</t>
        </is>
      </c>
    </row>
    <row r="166">
      <c r="A166" t="inlineStr">
        <is>
          <t>Xavier</t>
        </is>
      </c>
    </row>
    <row r="167">
      <c r="A167" t="inlineStr">
        <is>
          <t>Yi Sun-shin</t>
        </is>
      </c>
    </row>
    <row r="168">
      <c r="A168" t="inlineStr">
        <is>
          <t>Yin</t>
        </is>
      </c>
    </row>
    <row r="169">
      <c r="A169" t="inlineStr">
        <is>
          <t>Yu Zhong</t>
        </is>
      </c>
    </row>
    <row r="170">
      <c r="A170" t="inlineStr">
        <is>
          <t>Yve</t>
        </is>
      </c>
    </row>
    <row r="171">
      <c r="A171" t="inlineStr">
        <is>
          <t>Zetian</t>
        </is>
      </c>
    </row>
    <row r="172">
      <c r="A172" t="inlineStr">
        <is>
          <t>Zhask</t>
        </is>
      </c>
    </row>
    <row r="173">
      <c r="A173" t="inlineStr">
        <is>
          <t>Zhuxin</t>
        </is>
      </c>
    </row>
    <row r="174">
      <c r="A174" t="inlineStr">
        <is>
          <t>Zilong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E1" zoomScaleNormal="100" workbookViewId="0">
      <selection activeCell="A18" sqref="A18:XFD18"/>
    </sheetView>
  </sheetViews>
  <sheetFormatPr baseColWidth="8" defaultColWidth="8.6640625" defaultRowHeight="14.4"/>
  <cols>
    <col width="15" customWidth="1" min="1" max="5"/>
    <col width="18" customWidth="1" min="6" max="6"/>
    <col width="15" customWidth="1" min="7" max="17"/>
  </cols>
  <sheetData>
    <row r="1" ht="15" customHeight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role2</t>
        </is>
      </c>
      <c r="E1" s="1" t="inlineStr">
        <is>
          <t>offense</t>
        </is>
      </c>
      <c r="F1" s="1" t="inlineStr">
        <is>
          <t>ability_effects</t>
        </is>
      </c>
      <c r="G1" s="1" t="inlineStr">
        <is>
          <t>durability</t>
        </is>
      </c>
      <c r="H1" s="1" t="inlineStr">
        <is>
          <t>difficulty</t>
        </is>
      </c>
      <c r="I1" s="1" t="inlineStr">
        <is>
          <t>style1</t>
        </is>
      </c>
      <c r="J1" s="1" t="inlineStr">
        <is>
          <t>style2</t>
        </is>
      </c>
      <c r="K1" s="1" t="inlineStr">
        <is>
          <t>damage_type</t>
        </is>
      </c>
      <c r="L1" s="1" t="inlineStr">
        <is>
          <t>range_type</t>
        </is>
      </c>
      <c r="M1" s="1" t="inlineStr">
        <is>
          <t>lane1</t>
        </is>
      </c>
      <c r="N1" s="1" t="inlineStr">
        <is>
          <t>lane2</t>
        </is>
      </c>
      <c r="O1" s="1" t="inlineStr">
        <is>
          <t>power_spike</t>
        </is>
      </c>
      <c r="P1" s="1" t="inlineStr">
        <is>
          <t>resource</t>
        </is>
      </c>
      <c r="Q1" s="1" t="inlineStr">
        <is>
          <t>spike_order</t>
        </is>
      </c>
      <c r="R1" t="inlineStr">
        <is>
          <t>has_antiheal</t>
        </is>
      </c>
    </row>
    <row r="2" ht="15" customHeight="1">
      <c r="A2" t="inlineStr">
        <is>
          <t>1</t>
        </is>
      </c>
      <c r="B2" t="inlineStr">
        <is>
          <t>Miya</t>
        </is>
      </c>
      <c r="C2" t="inlineStr">
        <is>
          <t>Marksman</t>
        </is>
      </c>
      <c r="E2" t="n">
        <v>70</v>
      </c>
      <c r="F2" t="n">
        <v>40</v>
      </c>
      <c r="G2" t="n">
        <v>10</v>
      </c>
      <c r="H2" t="n">
        <v>10</v>
      </c>
      <c r="I2" t="inlineStr">
        <is>
          <t>DPS</t>
        </is>
      </c>
      <c r="J2" t="inlineStr">
        <is>
          <t>AoE Damage</t>
        </is>
      </c>
      <c r="K2" t="inlineStr">
        <is>
          <t>Physical</t>
        </is>
      </c>
      <c r="L2" t="inlineStr">
        <is>
          <t>Ranged</t>
        </is>
      </c>
      <c r="M2" t="inlineStr">
        <is>
          <t>Gold Lane</t>
        </is>
      </c>
      <c r="O2" t="inlineStr">
        <is>
          <t>Late</t>
        </is>
      </c>
      <c r="P2" t="inlineStr">
        <is>
          <t>Mana</t>
        </is>
      </c>
      <c r="Q2" t="n">
        <v>5</v>
      </c>
      <c r="R2" t="inlineStr">
        <is>
          <t>No</t>
        </is>
      </c>
    </row>
    <row r="3" ht="15" customHeight="1">
      <c r="A3" t="inlineStr">
        <is>
          <t>2</t>
        </is>
      </c>
      <c r="B3" t="inlineStr">
        <is>
          <t>Balmond</t>
        </is>
      </c>
      <c r="C3" t="inlineStr">
        <is>
          <t>Fighter</t>
        </is>
      </c>
      <c r="E3" t="n">
        <v>30</v>
      </c>
      <c r="F3" t="n">
        <v>20</v>
      </c>
      <c r="G3" t="n">
        <v>80</v>
      </c>
      <c r="H3" t="n">
        <v>10</v>
      </c>
      <c r="I3" t="inlineStr">
        <is>
          <t>Sustain</t>
        </is>
      </c>
      <c r="J3" t="inlineStr">
        <is>
          <t>Execute</t>
        </is>
      </c>
      <c r="K3" t="inlineStr">
        <is>
          <t>Physical</t>
        </is>
      </c>
      <c r="L3" t="inlineStr">
        <is>
          <t>Melee</t>
        </is>
      </c>
      <c r="M3" t="inlineStr">
        <is>
          <t>Jungle</t>
        </is>
      </c>
      <c r="N3" t="inlineStr">
        <is>
          <t>EXP Lane</t>
        </is>
      </c>
      <c r="O3" t="inlineStr">
        <is>
          <t>Mid</t>
        </is>
      </c>
      <c r="P3" t="inlineStr">
        <is>
          <t>None</t>
        </is>
      </c>
      <c r="Q3" t="n">
        <v>3</v>
      </c>
      <c r="R3" t="inlineStr">
        <is>
          <t>No</t>
        </is>
      </c>
    </row>
    <row r="4" ht="15" customHeight="1">
      <c r="A4" t="inlineStr">
        <is>
          <t>3</t>
        </is>
      </c>
      <c r="B4" t="inlineStr">
        <is>
          <t>Saber</t>
        </is>
      </c>
      <c r="C4" t="inlineStr">
        <is>
          <t>Assassin</t>
        </is>
      </c>
      <c r="E4" t="n">
        <v>60</v>
      </c>
      <c r="F4" t="n">
        <v>60</v>
      </c>
      <c r="G4" t="n">
        <v>20</v>
      </c>
      <c r="H4" t="n">
        <v>10</v>
      </c>
      <c r="I4" t="inlineStr">
        <is>
          <t>Burst</t>
        </is>
      </c>
      <c r="J4" t="inlineStr">
        <is>
          <t>Targeted CC</t>
        </is>
      </c>
      <c r="K4" t="inlineStr">
        <is>
          <t>Physical</t>
        </is>
      </c>
      <c r="L4" t="inlineStr">
        <is>
          <t>Melee</t>
        </is>
      </c>
      <c r="M4" t="inlineStr">
        <is>
          <t>Jungle</t>
        </is>
      </c>
      <c r="N4" t="inlineStr">
        <is>
          <t>Roaming</t>
        </is>
      </c>
      <c r="O4" t="inlineStr">
        <is>
          <t>Early-Mid</t>
        </is>
      </c>
      <c r="P4" t="inlineStr">
        <is>
          <t>Mana</t>
        </is>
      </c>
      <c r="Q4" t="n">
        <v>2</v>
      </c>
      <c r="R4" t="inlineStr">
        <is>
          <t>Yes</t>
        </is>
      </c>
    </row>
    <row r="5" ht="15" customHeight="1">
      <c r="A5" t="inlineStr">
        <is>
          <t>4</t>
        </is>
      </c>
      <c r="B5" t="inlineStr">
        <is>
          <t>Alice</t>
        </is>
      </c>
      <c r="C5" t="inlineStr">
        <is>
          <t>Mage</t>
        </is>
      </c>
      <c r="E5" t="n">
        <v>50</v>
      </c>
      <c r="F5" t="n">
        <v>70</v>
      </c>
      <c r="G5" t="n">
        <v>50</v>
      </c>
      <c r="H5" t="n">
        <v>70</v>
      </c>
      <c r="I5" t="inlineStr">
        <is>
          <t>Sustain</t>
        </is>
      </c>
      <c r="J5" t="inlineStr">
        <is>
          <t>AoE Damage</t>
        </is>
      </c>
      <c r="K5" t="inlineStr">
        <is>
          <t>Magic</t>
        </is>
      </c>
      <c r="L5" t="inlineStr">
        <is>
          <t>Melee</t>
        </is>
      </c>
      <c r="M5" t="inlineStr">
        <is>
          <t>EXP Lane</t>
        </is>
      </c>
      <c r="N5" t="inlineStr">
        <is>
          <t>Jungle</t>
        </is>
      </c>
      <c r="O5" t="inlineStr">
        <is>
          <t>Late</t>
        </is>
      </c>
      <c r="P5" t="inlineStr">
        <is>
          <t>None</t>
        </is>
      </c>
      <c r="Q5" t="n">
        <v>5</v>
      </c>
      <c r="R5" t="inlineStr">
        <is>
          <t>No</t>
        </is>
      </c>
    </row>
    <row r="6" ht="15" customHeight="1">
      <c r="A6" t="inlineStr">
        <is>
          <t>5</t>
        </is>
      </c>
      <c r="B6" t="inlineStr">
        <is>
          <t>Nana</t>
        </is>
      </c>
      <c r="C6" t="inlineStr">
        <is>
          <t>Mage</t>
        </is>
      </c>
      <c r="E6" t="n">
        <v>60</v>
      </c>
      <c r="F6" t="n">
        <v>100</v>
      </c>
      <c r="G6" t="n">
        <v>50</v>
      </c>
      <c r="H6" t="n">
        <v>10</v>
      </c>
      <c r="I6" t="inlineStr">
        <is>
          <t>Poke</t>
        </is>
      </c>
      <c r="J6" t="inlineStr">
        <is>
          <t>Soft CC</t>
        </is>
      </c>
      <c r="K6" t="inlineStr">
        <is>
          <t>Magic</t>
        </is>
      </c>
      <c r="L6" t="inlineStr">
        <is>
          <t>Ranged</t>
        </is>
      </c>
      <c r="M6" t="inlineStr">
        <is>
          <t>Mid Lane</t>
        </is>
      </c>
      <c r="O6" t="inlineStr">
        <is>
          <t>Mid</t>
        </is>
      </c>
      <c r="P6" t="inlineStr">
        <is>
          <t>Mana</t>
        </is>
      </c>
      <c r="Q6" t="n">
        <v>3</v>
      </c>
      <c r="R6" t="inlineStr">
        <is>
          <t>No</t>
        </is>
      </c>
    </row>
    <row r="7" ht="15" customHeight="1">
      <c r="A7" t="inlineStr">
        <is>
          <t>6</t>
        </is>
      </c>
      <c r="B7" t="inlineStr">
        <is>
          <t>Tigreal</t>
        </is>
      </c>
      <c r="C7" t="inlineStr">
        <is>
          <t>Tank</t>
        </is>
      </c>
      <c r="E7" t="n">
        <v>10</v>
      </c>
      <c r="F7" t="n">
        <v>100</v>
      </c>
      <c r="G7" t="n">
        <v>80</v>
      </c>
      <c r="H7" t="n">
        <v>10</v>
      </c>
      <c r="I7" t="inlineStr">
        <is>
          <t>AoE CC</t>
        </is>
      </c>
      <c r="J7" t="inlineStr">
        <is>
          <t>Hard CC</t>
        </is>
      </c>
      <c r="K7" t="inlineStr">
        <is>
          <t>Physical</t>
        </is>
      </c>
      <c r="L7" t="inlineStr">
        <is>
          <t>Melee</t>
        </is>
      </c>
      <c r="M7" t="inlineStr">
        <is>
          <t>Roaming</t>
        </is>
      </c>
      <c r="O7" t="inlineStr">
        <is>
          <t>Early-Mid</t>
        </is>
      </c>
      <c r="P7" t="inlineStr">
        <is>
          <t>Mana</t>
        </is>
      </c>
      <c r="Q7" t="n">
        <v>2</v>
      </c>
      <c r="R7" t="inlineStr">
        <is>
          <t>No</t>
        </is>
      </c>
    </row>
    <row r="8" ht="15" customHeight="1">
      <c r="A8" t="inlineStr">
        <is>
          <t>7</t>
        </is>
      </c>
      <c r="B8" t="inlineStr">
        <is>
          <t>Alucard</t>
        </is>
      </c>
      <c r="C8" t="inlineStr">
        <is>
          <t>Fighter</t>
        </is>
      </c>
      <c r="D8" t="inlineStr">
        <is>
          <t>Assassin</t>
        </is>
      </c>
      <c r="E8" t="n">
        <v>50</v>
      </c>
      <c r="F8" t="n">
        <v>10</v>
      </c>
      <c r="G8" t="n">
        <v>50</v>
      </c>
      <c r="H8" t="n">
        <v>40</v>
      </c>
      <c r="I8" t="inlineStr">
        <is>
          <t>Sustain</t>
        </is>
      </c>
      <c r="J8" t="inlineStr">
        <is>
          <t>DPS</t>
        </is>
      </c>
      <c r="K8" t="inlineStr">
        <is>
          <t>Physical</t>
        </is>
      </c>
      <c r="L8" t="inlineStr">
        <is>
          <t>Melee</t>
        </is>
      </c>
      <c r="M8" t="inlineStr">
        <is>
          <t>Jungle</t>
        </is>
      </c>
      <c r="O8" t="inlineStr">
        <is>
          <t>Mid</t>
        </is>
      </c>
      <c r="P8" t="inlineStr">
        <is>
          <t>None</t>
        </is>
      </c>
      <c r="Q8" t="n">
        <v>3</v>
      </c>
      <c r="R8" t="inlineStr">
        <is>
          <t>No</t>
        </is>
      </c>
    </row>
    <row r="9" ht="15" customHeight="1">
      <c r="A9" t="inlineStr">
        <is>
          <t>8</t>
        </is>
      </c>
      <c r="B9" t="inlineStr">
        <is>
          <t>Karina</t>
        </is>
      </c>
      <c r="C9" t="inlineStr">
        <is>
          <t>Assassin</t>
        </is>
      </c>
      <c r="E9" t="n">
        <v>70</v>
      </c>
      <c r="F9" t="n">
        <v>10</v>
      </c>
      <c r="G9" t="n">
        <v>50</v>
      </c>
      <c r="H9" t="n">
        <v>40</v>
      </c>
      <c r="I9" t="inlineStr">
        <is>
          <t>Burst</t>
        </is>
      </c>
      <c r="J9" t="inlineStr">
        <is>
          <t>Execute</t>
        </is>
      </c>
      <c r="K9" t="inlineStr">
        <is>
          <t>Magic</t>
        </is>
      </c>
      <c r="L9" t="inlineStr">
        <is>
          <t>Melee</t>
        </is>
      </c>
      <c r="M9" t="inlineStr">
        <is>
          <t>Jungle</t>
        </is>
      </c>
      <c r="O9" t="inlineStr">
        <is>
          <t>Early-Mid</t>
        </is>
      </c>
      <c r="P9" t="inlineStr">
        <is>
          <t>Mana</t>
        </is>
      </c>
      <c r="Q9" t="n">
        <v>2</v>
      </c>
      <c r="R9" t="inlineStr">
        <is>
          <t>No</t>
        </is>
      </c>
    </row>
    <row r="10" ht="15" customHeight="1">
      <c r="A10" t="inlineStr">
        <is>
          <t>9</t>
        </is>
      </c>
      <c r="B10" t="inlineStr">
        <is>
          <t>Akai</t>
        </is>
      </c>
      <c r="C10" t="inlineStr">
        <is>
          <t>Tank</t>
        </is>
      </c>
      <c r="E10" t="n">
        <v>30</v>
      </c>
      <c r="F10" t="n">
        <v>90</v>
      </c>
      <c r="G10" t="n">
        <v>90</v>
      </c>
      <c r="H10" t="n">
        <v>30</v>
      </c>
      <c r="I10" t="inlineStr">
        <is>
          <t>Hard CC</t>
        </is>
      </c>
      <c r="J10" t="inlineStr">
        <is>
          <t>Shield</t>
        </is>
      </c>
      <c r="K10" t="inlineStr">
        <is>
          <t>Physical</t>
        </is>
      </c>
      <c r="L10" t="inlineStr">
        <is>
          <t>Melee</t>
        </is>
      </c>
      <c r="M10" t="inlineStr">
        <is>
          <t>Roaming</t>
        </is>
      </c>
      <c r="O10" t="inlineStr">
        <is>
          <t>Early-Mid</t>
        </is>
      </c>
      <c r="P10" t="inlineStr">
        <is>
          <t>Mana</t>
        </is>
      </c>
      <c r="Q10" t="n">
        <v>2</v>
      </c>
      <c r="R10" t="inlineStr">
        <is>
          <t>No</t>
        </is>
      </c>
    </row>
    <row r="11" ht="15" customHeight="1">
      <c r="A11" t="inlineStr">
        <is>
          <t>10</t>
        </is>
      </c>
      <c r="B11" t="inlineStr">
        <is>
          <t>Franco</t>
        </is>
      </c>
      <c r="C11" t="inlineStr">
        <is>
          <t>Tank</t>
        </is>
      </c>
      <c r="E11" t="n">
        <v>10</v>
      </c>
      <c r="F11" t="n">
        <v>100</v>
      </c>
      <c r="G11" t="n">
        <v>80</v>
      </c>
      <c r="H11" t="n">
        <v>20</v>
      </c>
      <c r="I11" t="inlineStr">
        <is>
          <t>Targeted CC</t>
        </is>
      </c>
      <c r="J11" t="inlineStr">
        <is>
          <t>Hard CC</t>
        </is>
      </c>
      <c r="K11" t="inlineStr">
        <is>
          <t>Physical</t>
        </is>
      </c>
      <c r="L11" t="inlineStr">
        <is>
          <t>Melee</t>
        </is>
      </c>
      <c r="M11" t="inlineStr">
        <is>
          <t>Roaming</t>
        </is>
      </c>
      <c r="O11" t="inlineStr">
        <is>
          <t>Early-Mid</t>
        </is>
      </c>
      <c r="P11" t="inlineStr">
        <is>
          <t>Mana</t>
        </is>
      </c>
      <c r="Q11" t="n">
        <v>2</v>
      </c>
      <c r="R11" t="inlineStr">
        <is>
          <t>Yes</t>
        </is>
      </c>
    </row>
    <row r="12" ht="15" customHeight="1">
      <c r="A12" t="inlineStr">
        <is>
          <t>11</t>
        </is>
      </c>
      <c r="B12" t="inlineStr">
        <is>
          <t>Bane</t>
        </is>
      </c>
      <c r="C12" t="inlineStr">
        <is>
          <t>Fighter</t>
        </is>
      </c>
      <c r="D12" t="inlineStr">
        <is>
          <t>Mage</t>
        </is>
      </c>
      <c r="E12" t="n">
        <v>60</v>
      </c>
      <c r="F12" t="n">
        <v>40</v>
      </c>
      <c r="G12" t="n">
        <v>50</v>
      </c>
      <c r="H12" t="n">
        <v>30</v>
      </c>
      <c r="I12" t="inlineStr">
        <is>
          <t>Poke</t>
        </is>
      </c>
      <c r="J12" t="inlineStr">
        <is>
          <t>AoE Damage</t>
        </is>
      </c>
      <c r="K12" t="inlineStr">
        <is>
          <t>Mixed</t>
        </is>
      </c>
      <c r="L12" t="inlineStr">
        <is>
          <t>Melee</t>
        </is>
      </c>
      <c r="M12" t="inlineStr">
        <is>
          <t>Jungle</t>
        </is>
      </c>
      <c r="N12" t="inlineStr">
        <is>
          <t>EXP Lane</t>
        </is>
      </c>
      <c r="O12" t="inlineStr">
        <is>
          <t>Mid</t>
        </is>
      </c>
      <c r="P12" t="inlineStr">
        <is>
          <t>Mana</t>
        </is>
      </c>
      <c r="Q12" t="n">
        <v>3</v>
      </c>
      <c r="R12" t="inlineStr">
        <is>
          <t>No</t>
        </is>
      </c>
    </row>
    <row r="13" ht="15" customHeight="1">
      <c r="A13" t="inlineStr">
        <is>
          <t>12</t>
        </is>
      </c>
      <c r="B13" t="inlineStr">
        <is>
          <t>Bruno</t>
        </is>
      </c>
      <c r="C13" t="inlineStr">
        <is>
          <t>Marksman</t>
        </is>
      </c>
      <c r="E13" t="n">
        <v>60</v>
      </c>
      <c r="F13" t="n">
        <v>20</v>
      </c>
      <c r="G13" t="n">
        <v>20</v>
      </c>
      <c r="H13" t="n">
        <v>50</v>
      </c>
      <c r="I13" t="inlineStr">
        <is>
          <t>DPS</t>
        </is>
      </c>
      <c r="J13" t="inlineStr">
        <is>
          <t>Burst</t>
        </is>
      </c>
      <c r="K13" t="inlineStr">
        <is>
          <t>Physical</t>
        </is>
      </c>
      <c r="L13" t="inlineStr">
        <is>
          <t>Ranged</t>
        </is>
      </c>
      <c r="M13" t="inlineStr">
        <is>
          <t>Gold Lane</t>
        </is>
      </c>
      <c r="O13" t="inlineStr">
        <is>
          <t>Late</t>
        </is>
      </c>
      <c r="P13" t="inlineStr">
        <is>
          <t>Mana</t>
        </is>
      </c>
      <c r="Q13" t="n">
        <v>5</v>
      </c>
      <c r="R13" t="inlineStr">
        <is>
          <t>No</t>
        </is>
      </c>
    </row>
    <row r="14" ht="15" customHeight="1">
      <c r="A14" t="inlineStr">
        <is>
          <t>13</t>
        </is>
      </c>
      <c r="B14" t="inlineStr">
        <is>
          <t>Clint</t>
        </is>
      </c>
      <c r="C14" t="inlineStr">
        <is>
          <t>Marksman</t>
        </is>
      </c>
      <c r="E14" t="n">
        <v>70</v>
      </c>
      <c r="F14" t="n">
        <v>40</v>
      </c>
      <c r="G14" t="n">
        <v>30</v>
      </c>
      <c r="H14" t="n">
        <v>70</v>
      </c>
      <c r="I14" t="inlineStr">
        <is>
          <t>Burst</t>
        </is>
      </c>
      <c r="J14" t="inlineStr">
        <is>
          <t>Poke</t>
        </is>
      </c>
      <c r="K14" t="inlineStr">
        <is>
          <t>Physical</t>
        </is>
      </c>
      <c r="L14" t="inlineStr">
        <is>
          <t>Ranged</t>
        </is>
      </c>
      <c r="M14" t="inlineStr">
        <is>
          <t>Gold Lane</t>
        </is>
      </c>
      <c r="O14" t="inlineStr">
        <is>
          <t>Mid-Late</t>
        </is>
      </c>
      <c r="P14" t="inlineStr">
        <is>
          <t>Mana</t>
        </is>
      </c>
      <c r="Q14" t="n">
        <v>4</v>
      </c>
      <c r="R14" t="inlineStr">
        <is>
          <t>No</t>
        </is>
      </c>
    </row>
    <row r="15" ht="15" customHeight="1">
      <c r="A15" t="inlineStr">
        <is>
          <t>14</t>
        </is>
      </c>
      <c r="B15" t="inlineStr">
        <is>
          <t>Rafaela</t>
        </is>
      </c>
      <c r="C15" t="inlineStr">
        <is>
          <t>Support</t>
        </is>
      </c>
      <c r="E15" t="n">
        <v>20</v>
      </c>
      <c r="F15" t="n">
        <v>70</v>
      </c>
      <c r="G15" t="n">
        <v>60</v>
      </c>
      <c r="H15" t="n">
        <v>20</v>
      </c>
      <c r="I15" t="inlineStr">
        <is>
          <t>Healing</t>
        </is>
      </c>
      <c r="J15" t="inlineStr">
        <is>
          <t>Soft CC</t>
        </is>
      </c>
      <c r="K15" t="inlineStr">
        <is>
          <t>Magic</t>
        </is>
      </c>
      <c r="L15" t="inlineStr">
        <is>
          <t>Ranged</t>
        </is>
      </c>
      <c r="M15" t="inlineStr">
        <is>
          <t>Roaming</t>
        </is>
      </c>
      <c r="O15" t="inlineStr">
        <is>
          <t>Early-Mid</t>
        </is>
      </c>
      <c r="P15" t="inlineStr">
        <is>
          <t>Mana</t>
        </is>
      </c>
      <c r="Q15" t="n">
        <v>2</v>
      </c>
      <c r="R15" t="inlineStr">
        <is>
          <t>No</t>
        </is>
      </c>
    </row>
    <row r="16" ht="15" customHeight="1">
      <c r="A16" t="inlineStr">
        <is>
          <t>15</t>
        </is>
      </c>
      <c r="B16" t="inlineStr">
        <is>
          <t>Eudora</t>
        </is>
      </c>
      <c r="C16" t="inlineStr">
        <is>
          <t>Mage</t>
        </is>
      </c>
      <c r="E16" t="n">
        <v>80</v>
      </c>
      <c r="F16" t="n">
        <v>80</v>
      </c>
      <c r="G16" t="n">
        <v>10</v>
      </c>
      <c r="H16" t="n">
        <v>10</v>
      </c>
      <c r="I16" t="inlineStr">
        <is>
          <t>Burst</t>
        </is>
      </c>
      <c r="J16" t="inlineStr">
        <is>
          <t>Targeted CC</t>
        </is>
      </c>
      <c r="K16" t="inlineStr">
        <is>
          <t>Magic</t>
        </is>
      </c>
      <c r="L16" t="inlineStr">
        <is>
          <t>Ranged</t>
        </is>
      </c>
      <c r="M16" t="inlineStr">
        <is>
          <t>Mid Lane</t>
        </is>
      </c>
      <c r="O16" t="inlineStr">
        <is>
          <t>Mid</t>
        </is>
      </c>
      <c r="P16" t="inlineStr">
        <is>
          <t>Mana</t>
        </is>
      </c>
      <c r="Q16" t="n">
        <v>3</v>
      </c>
      <c r="R16" t="inlineStr">
        <is>
          <t>No</t>
        </is>
      </c>
    </row>
    <row r="17" ht="15" customHeight="1">
      <c r="A17" t="inlineStr">
        <is>
          <t>16</t>
        </is>
      </c>
      <c r="B17" t="inlineStr">
        <is>
          <t>Zilong</t>
        </is>
      </c>
      <c r="C17" t="inlineStr">
        <is>
          <t>Fighter</t>
        </is>
      </c>
      <c r="D17" t="inlineStr">
        <is>
          <t>Assassin</t>
        </is>
      </c>
      <c r="E17" t="n">
        <v>50</v>
      </c>
      <c r="F17" t="n">
        <v>60</v>
      </c>
      <c r="G17" t="n">
        <v>20</v>
      </c>
      <c r="H17" t="n">
        <v>10</v>
      </c>
      <c r="I17" t="inlineStr">
        <is>
          <t>Burst</t>
        </is>
      </c>
      <c r="J17" t="inlineStr">
        <is>
          <t>Mobility</t>
        </is>
      </c>
      <c r="K17" t="inlineStr">
        <is>
          <t>Physical</t>
        </is>
      </c>
      <c r="L17" t="inlineStr">
        <is>
          <t>Melee</t>
        </is>
      </c>
      <c r="M17" t="inlineStr">
        <is>
          <t>EXP Lane</t>
        </is>
      </c>
      <c r="O17" t="inlineStr">
        <is>
          <t>Mid</t>
        </is>
      </c>
      <c r="P17" t="inlineStr">
        <is>
          <t>Mana</t>
        </is>
      </c>
      <c r="Q17" t="n">
        <v>3</v>
      </c>
      <c r="R17" t="inlineStr">
        <is>
          <t>No</t>
        </is>
      </c>
    </row>
    <row r="18" ht="15" customHeight="1">
      <c r="A18" t="inlineStr">
        <is>
          <t>17</t>
        </is>
      </c>
      <c r="B18" t="inlineStr">
        <is>
          <t>Fanny</t>
        </is>
      </c>
      <c r="C18" t="inlineStr">
        <is>
          <t>Assassin</t>
        </is>
      </c>
      <c r="E18" t="n">
        <v>70</v>
      </c>
      <c r="F18" t="n">
        <v>10</v>
      </c>
      <c r="G18" t="n">
        <v>60</v>
      </c>
      <c r="H18" t="n">
        <v>100</v>
      </c>
      <c r="I18" t="inlineStr">
        <is>
          <t>High Mobility</t>
        </is>
      </c>
      <c r="J18" t="inlineStr">
        <is>
          <t>Burst</t>
        </is>
      </c>
      <c r="K18" t="inlineStr">
        <is>
          <t>Physical</t>
        </is>
      </c>
      <c r="L18" t="inlineStr">
        <is>
          <t>Melee</t>
        </is>
      </c>
      <c r="M18" t="inlineStr">
        <is>
          <t>Jungle</t>
        </is>
      </c>
      <c r="O18" t="inlineStr">
        <is>
          <t>Early</t>
        </is>
      </c>
      <c r="P18" t="inlineStr">
        <is>
          <t>Energy</t>
        </is>
      </c>
      <c r="Q18" t="n">
        <v>1</v>
      </c>
      <c r="R18" t="inlineStr">
        <is>
          <t>No</t>
        </is>
      </c>
    </row>
    <row r="19" ht="15" customHeight="1">
      <c r="A19" t="inlineStr">
        <is>
          <t>18</t>
        </is>
      </c>
      <c r="B19" t="inlineStr">
        <is>
          <t>Layla</t>
        </is>
      </c>
      <c r="C19" t="inlineStr">
        <is>
          <t>Marksman</t>
        </is>
      </c>
      <c r="E19" t="n">
        <v>80</v>
      </c>
      <c r="F19" t="n">
        <v>10</v>
      </c>
      <c r="G19" t="n">
        <v>10</v>
      </c>
      <c r="H19" t="n">
        <v>10</v>
      </c>
      <c r="I19" t="inlineStr">
        <is>
          <t>DPS</t>
        </is>
      </c>
      <c r="J19" t="inlineStr">
        <is>
          <t>Poke</t>
        </is>
      </c>
      <c r="K19" t="inlineStr">
        <is>
          <t>Physical</t>
        </is>
      </c>
      <c r="L19" t="inlineStr">
        <is>
          <t>Ranged</t>
        </is>
      </c>
      <c r="M19" t="inlineStr">
        <is>
          <t>Gold Lane</t>
        </is>
      </c>
      <c r="O19" t="inlineStr">
        <is>
          <t>Late</t>
        </is>
      </c>
      <c r="P19" t="inlineStr">
        <is>
          <t>Mana</t>
        </is>
      </c>
      <c r="Q19" t="n">
        <v>5</v>
      </c>
      <c r="R19" t="inlineStr">
        <is>
          <t>No</t>
        </is>
      </c>
    </row>
    <row r="20" ht="15" customHeight="1">
      <c r="A20" t="inlineStr">
        <is>
          <t>19</t>
        </is>
      </c>
      <c r="B20" t="inlineStr">
        <is>
          <t>Minotaur</t>
        </is>
      </c>
      <c r="C20" t="inlineStr">
        <is>
          <t>Tank</t>
        </is>
      </c>
      <c r="D20" t="inlineStr">
        <is>
          <t>Support</t>
        </is>
      </c>
      <c r="E20" t="n">
        <v>10</v>
      </c>
      <c r="F20" t="n">
        <v>80</v>
      </c>
      <c r="G20" t="n">
        <v>100</v>
      </c>
      <c r="H20" t="n">
        <v>40</v>
      </c>
      <c r="I20" t="inlineStr">
        <is>
          <t>AoE CC</t>
        </is>
      </c>
      <c r="J20" t="inlineStr">
        <is>
          <t>Healing</t>
        </is>
      </c>
      <c r="K20" t="inlineStr">
        <is>
          <t>Physical</t>
        </is>
      </c>
      <c r="L20" t="inlineStr">
        <is>
          <t>Melee</t>
        </is>
      </c>
      <c r="M20" t="inlineStr">
        <is>
          <t>Roaming</t>
        </is>
      </c>
      <c r="O20" t="inlineStr">
        <is>
          <t>Mid</t>
        </is>
      </c>
      <c r="P20" t="inlineStr">
        <is>
          <t>None</t>
        </is>
      </c>
      <c r="Q20" t="n">
        <v>3</v>
      </c>
      <c r="R20" t="inlineStr">
        <is>
          <t>No</t>
        </is>
      </c>
    </row>
    <row r="21" ht="15" customHeight="1">
      <c r="A21" t="inlineStr">
        <is>
          <t>20</t>
        </is>
      </c>
      <c r="B21" t="inlineStr">
        <is>
          <t>Lolita</t>
        </is>
      </c>
      <c r="C21" t="inlineStr">
        <is>
          <t>Support</t>
        </is>
      </c>
      <c r="D21" t="inlineStr">
        <is>
          <t>Tank</t>
        </is>
      </c>
      <c r="E21" t="n">
        <v>10</v>
      </c>
      <c r="F21" t="n">
        <v>90</v>
      </c>
      <c r="G21" t="n">
        <v>100</v>
      </c>
      <c r="H21" t="n">
        <v>40</v>
      </c>
      <c r="I21" t="inlineStr">
        <is>
          <t>Shield</t>
        </is>
      </c>
      <c r="J21" t="inlineStr">
        <is>
          <t>AoE CC</t>
        </is>
      </c>
      <c r="K21" t="inlineStr">
        <is>
          <t>Physical</t>
        </is>
      </c>
      <c r="L21" t="inlineStr">
        <is>
          <t>Melee</t>
        </is>
      </c>
      <c r="M21" t="inlineStr">
        <is>
          <t>Roaming</t>
        </is>
      </c>
      <c r="O21" t="inlineStr">
        <is>
          <t>Mid</t>
        </is>
      </c>
      <c r="P21" t="inlineStr">
        <is>
          <t>Mana</t>
        </is>
      </c>
      <c r="Q21" t="n">
        <v>3</v>
      </c>
      <c r="R21" t="inlineStr">
        <is>
          <t>No</t>
        </is>
      </c>
    </row>
    <row r="22" ht="15" customHeight="1">
      <c r="A22" t="inlineStr">
        <is>
          <t>21</t>
        </is>
      </c>
      <c r="B22" t="inlineStr">
        <is>
          <t>Hayabusa</t>
        </is>
      </c>
      <c r="C22" t="inlineStr">
        <is>
          <t>Assassin</t>
        </is>
      </c>
      <c r="E22" t="n">
        <v>50</v>
      </c>
      <c r="F22" t="n">
        <v>10</v>
      </c>
      <c r="G22" t="n">
        <v>40</v>
      </c>
      <c r="H22" t="n">
        <v>50</v>
      </c>
      <c r="I22" t="inlineStr">
        <is>
          <t>Burst</t>
        </is>
      </c>
      <c r="J22" t="inlineStr">
        <is>
          <t>I-Frame</t>
        </is>
      </c>
      <c r="K22" t="inlineStr">
        <is>
          <t>Physical</t>
        </is>
      </c>
      <c r="L22" t="inlineStr">
        <is>
          <t>Melee</t>
        </is>
      </c>
      <c r="M22" t="inlineStr">
        <is>
          <t>Jungle</t>
        </is>
      </c>
      <c r="O22" t="inlineStr">
        <is>
          <t>Early-Mid</t>
        </is>
      </c>
      <c r="P22" t="inlineStr">
        <is>
          <t>Energy</t>
        </is>
      </c>
      <c r="Q22" t="n">
        <v>2</v>
      </c>
      <c r="R22" t="inlineStr">
        <is>
          <t>No</t>
        </is>
      </c>
    </row>
    <row r="23" ht="15" customHeight="1">
      <c r="A23" t="inlineStr">
        <is>
          <t>22</t>
        </is>
      </c>
      <c r="B23" t="inlineStr">
        <is>
          <t>Freya</t>
        </is>
      </c>
      <c r="C23" t="inlineStr">
        <is>
          <t>Fighter</t>
        </is>
      </c>
      <c r="E23" t="n">
        <v>50</v>
      </c>
      <c r="F23" t="n">
        <v>50</v>
      </c>
      <c r="G23" t="n">
        <v>60</v>
      </c>
      <c r="H23" t="n">
        <v>50</v>
      </c>
      <c r="I23" t="inlineStr">
        <is>
          <t>Shield</t>
        </is>
      </c>
      <c r="J23" t="inlineStr">
        <is>
          <t>DPS</t>
        </is>
      </c>
      <c r="K23" t="inlineStr">
        <is>
          <t>Physical</t>
        </is>
      </c>
      <c r="L23" t="inlineStr">
        <is>
          <t>Melee</t>
        </is>
      </c>
      <c r="M23" t="inlineStr">
        <is>
          <t>EXP Lane</t>
        </is>
      </c>
      <c r="N23" t="inlineStr">
        <is>
          <t>Jungle</t>
        </is>
      </c>
      <c r="O23" t="inlineStr">
        <is>
          <t>Mid</t>
        </is>
      </c>
      <c r="P23" t="inlineStr">
        <is>
          <t>None</t>
        </is>
      </c>
      <c r="Q23" t="n">
        <v>3</v>
      </c>
      <c r="R23" t="inlineStr">
        <is>
          <t>No</t>
        </is>
      </c>
    </row>
    <row r="24" ht="15" customHeight="1">
      <c r="A24" t="inlineStr">
        <is>
          <t>23</t>
        </is>
      </c>
      <c r="B24" t="inlineStr">
        <is>
          <t>Gord</t>
        </is>
      </c>
      <c r="C24" t="inlineStr">
        <is>
          <t>Mage</t>
        </is>
      </c>
      <c r="E24" t="n">
        <v>70</v>
      </c>
      <c r="F24" t="n">
        <v>80</v>
      </c>
      <c r="G24" t="n">
        <v>10</v>
      </c>
      <c r="H24" t="n">
        <v>20</v>
      </c>
      <c r="I24" t="inlineStr">
        <is>
          <t>AoE Damage</t>
        </is>
      </c>
      <c r="J24" t="inlineStr">
        <is>
          <t>Poke</t>
        </is>
      </c>
      <c r="K24" t="inlineStr">
        <is>
          <t>Magic</t>
        </is>
      </c>
      <c r="L24" t="inlineStr">
        <is>
          <t>Ranged</t>
        </is>
      </c>
      <c r="M24" t="inlineStr">
        <is>
          <t>Mid Lane</t>
        </is>
      </c>
      <c r="O24" t="inlineStr">
        <is>
          <t>Mid</t>
        </is>
      </c>
      <c r="P24" t="inlineStr">
        <is>
          <t>Mana</t>
        </is>
      </c>
      <c r="Q24" t="n">
        <v>3</v>
      </c>
      <c r="R24" t="inlineStr">
        <is>
          <t>No</t>
        </is>
      </c>
    </row>
    <row r="25" ht="15" customHeight="1">
      <c r="A25" t="inlineStr">
        <is>
          <t>24</t>
        </is>
      </c>
      <c r="B25" t="inlineStr">
        <is>
          <t>Natalia</t>
        </is>
      </c>
      <c r="C25" t="inlineStr">
        <is>
          <t>Assassin</t>
        </is>
      </c>
      <c r="E25" t="n">
        <v>60</v>
      </c>
      <c r="F25" t="n">
        <v>60</v>
      </c>
      <c r="G25" t="n">
        <v>10</v>
      </c>
      <c r="H25" t="n">
        <v>90</v>
      </c>
      <c r="I25" t="inlineStr">
        <is>
          <t>Burst</t>
        </is>
      </c>
      <c r="J25" t="inlineStr">
        <is>
          <t>Vision</t>
        </is>
      </c>
      <c r="K25" t="inlineStr">
        <is>
          <t>Physical</t>
        </is>
      </c>
      <c r="L25" t="inlineStr">
        <is>
          <t>Melee</t>
        </is>
      </c>
      <c r="M25" t="inlineStr">
        <is>
          <t>Jungle</t>
        </is>
      </c>
      <c r="N25" t="inlineStr">
        <is>
          <t>Roaming</t>
        </is>
      </c>
      <c r="O25" t="inlineStr">
        <is>
          <t>Early-Mid</t>
        </is>
      </c>
      <c r="P25" t="inlineStr">
        <is>
          <t>None</t>
        </is>
      </c>
      <c r="Q25" t="n">
        <v>2</v>
      </c>
      <c r="R25" t="inlineStr">
        <is>
          <t>Yes</t>
        </is>
      </c>
    </row>
    <row r="26" ht="15" customHeight="1">
      <c r="A26" t="inlineStr">
        <is>
          <t>25</t>
        </is>
      </c>
      <c r="B26" t="inlineStr">
        <is>
          <t>Kagura</t>
        </is>
      </c>
      <c r="C26" t="inlineStr">
        <is>
          <t>Mage</t>
        </is>
      </c>
      <c r="E26" t="n">
        <v>90</v>
      </c>
      <c r="F26" t="n">
        <v>40</v>
      </c>
      <c r="G26" t="n">
        <v>30</v>
      </c>
      <c r="H26" t="n">
        <v>80</v>
      </c>
      <c r="I26" t="inlineStr">
        <is>
          <t>Poke</t>
        </is>
      </c>
      <c r="J26" t="inlineStr">
        <is>
          <t>Burst</t>
        </is>
      </c>
      <c r="K26" t="inlineStr">
        <is>
          <t>Magic</t>
        </is>
      </c>
      <c r="L26" t="inlineStr">
        <is>
          <t>Ranged</t>
        </is>
      </c>
      <c r="M26" t="inlineStr">
        <is>
          <t>Mid Lane</t>
        </is>
      </c>
      <c r="O26" t="inlineStr">
        <is>
          <t>Mid</t>
        </is>
      </c>
      <c r="P26" t="inlineStr">
        <is>
          <t>Mana</t>
        </is>
      </c>
      <c r="Q26" t="n">
        <v>3</v>
      </c>
      <c r="R26" t="inlineStr">
        <is>
          <t>No</t>
        </is>
      </c>
    </row>
    <row r="27" ht="15" customHeight="1">
      <c r="A27" t="inlineStr">
        <is>
          <t>26</t>
        </is>
      </c>
      <c r="B27" t="inlineStr">
        <is>
          <t>Chou</t>
        </is>
      </c>
      <c r="C27" t="inlineStr">
        <is>
          <t>Fighter</t>
        </is>
      </c>
      <c r="E27" t="n">
        <v>30</v>
      </c>
      <c r="F27" t="n">
        <v>80</v>
      </c>
      <c r="G27" t="n">
        <v>50</v>
      </c>
      <c r="H27" t="n">
        <v>70</v>
      </c>
      <c r="I27" t="inlineStr">
        <is>
          <t>Hard CC</t>
        </is>
      </c>
      <c r="J27" t="inlineStr">
        <is>
          <t>Dash/Blink</t>
        </is>
      </c>
      <c r="K27" t="inlineStr">
        <is>
          <t>Physical</t>
        </is>
      </c>
      <c r="L27" t="inlineStr">
        <is>
          <t>Melee</t>
        </is>
      </c>
      <c r="M27" t="inlineStr">
        <is>
          <t>EXP Lane</t>
        </is>
      </c>
      <c r="N27" t="inlineStr">
        <is>
          <t>Roaming</t>
        </is>
      </c>
      <c r="O27" t="inlineStr">
        <is>
          <t>Early</t>
        </is>
      </c>
      <c r="P27" t="inlineStr">
        <is>
          <t>None</t>
        </is>
      </c>
      <c r="Q27" t="n">
        <v>1</v>
      </c>
      <c r="R27" t="inlineStr">
        <is>
          <t>Yes</t>
        </is>
      </c>
    </row>
    <row r="28" ht="15" customHeight="1">
      <c r="A28" t="inlineStr">
        <is>
          <t>27</t>
        </is>
      </c>
      <c r="B28" t="inlineStr">
        <is>
          <t>Sun</t>
        </is>
      </c>
      <c r="C28" t="inlineStr">
        <is>
          <t>Fighter</t>
        </is>
      </c>
      <c r="E28" t="n">
        <v>50</v>
      </c>
      <c r="F28" t="n">
        <v>10</v>
      </c>
      <c r="G28" t="n">
        <v>50</v>
      </c>
      <c r="H28" t="n">
        <v>30</v>
      </c>
      <c r="I28" t="inlineStr">
        <is>
          <t>Summoner</t>
        </is>
      </c>
      <c r="J28" t="inlineStr">
        <is>
          <t>DPS</t>
        </is>
      </c>
      <c r="K28" t="inlineStr">
        <is>
          <t>Physical</t>
        </is>
      </c>
      <c r="L28" t="inlineStr">
        <is>
          <t>Melee</t>
        </is>
      </c>
      <c r="M28" t="inlineStr">
        <is>
          <t>EXP Lane</t>
        </is>
      </c>
      <c r="N28" t="inlineStr">
        <is>
          <t>Jungle</t>
        </is>
      </c>
      <c r="O28" t="inlineStr">
        <is>
          <t>Early-Mid</t>
        </is>
      </c>
      <c r="P28" t="inlineStr">
        <is>
          <t>Mana</t>
        </is>
      </c>
      <c r="Q28" t="n">
        <v>2</v>
      </c>
      <c r="R28" t="inlineStr">
        <is>
          <t>No</t>
        </is>
      </c>
    </row>
    <row r="29" ht="15" customHeight="1">
      <c r="A29" t="inlineStr">
        <is>
          <t>28</t>
        </is>
      </c>
      <c r="B29" t="inlineStr">
        <is>
          <t>Alpha</t>
        </is>
      </c>
      <c r="C29" t="inlineStr">
        <is>
          <t>Fighter</t>
        </is>
      </c>
      <c r="E29" t="n">
        <v>40</v>
      </c>
      <c r="F29" t="n">
        <v>70</v>
      </c>
      <c r="G29" t="n">
        <v>60</v>
      </c>
      <c r="H29" t="n">
        <v>10</v>
      </c>
      <c r="I29" t="inlineStr">
        <is>
          <t>Sustain</t>
        </is>
      </c>
      <c r="J29" t="inlineStr">
        <is>
          <t>True Damage</t>
        </is>
      </c>
      <c r="K29" t="inlineStr">
        <is>
          <t>Physical</t>
        </is>
      </c>
      <c r="L29" t="inlineStr">
        <is>
          <t>Melee</t>
        </is>
      </c>
      <c r="M29" t="inlineStr">
        <is>
          <t>Jungle</t>
        </is>
      </c>
      <c r="N29" t="inlineStr">
        <is>
          <t>EXP Lane</t>
        </is>
      </c>
      <c r="O29" t="inlineStr">
        <is>
          <t>Mid</t>
        </is>
      </c>
      <c r="P29" t="inlineStr">
        <is>
          <t>Mana</t>
        </is>
      </c>
      <c r="Q29" t="n">
        <v>3</v>
      </c>
      <c r="R29" t="inlineStr">
        <is>
          <t>No</t>
        </is>
      </c>
    </row>
    <row r="30" ht="15" customHeight="1">
      <c r="A30" t="inlineStr">
        <is>
          <t>29</t>
        </is>
      </c>
      <c r="B30" t="inlineStr">
        <is>
          <t>Ruby</t>
        </is>
      </c>
      <c r="C30" t="inlineStr">
        <is>
          <t>Fighter</t>
        </is>
      </c>
      <c r="E30" t="n">
        <v>20</v>
      </c>
      <c r="F30" t="n">
        <v>90</v>
      </c>
      <c r="G30" t="n">
        <v>90</v>
      </c>
      <c r="H30" t="n">
        <v>40</v>
      </c>
      <c r="I30" t="inlineStr">
        <is>
          <t>Sustain</t>
        </is>
      </c>
      <c r="J30" t="inlineStr">
        <is>
          <t>AoE CC</t>
        </is>
      </c>
      <c r="K30" t="inlineStr">
        <is>
          <t>Physical</t>
        </is>
      </c>
      <c r="L30" t="inlineStr">
        <is>
          <t>Melee</t>
        </is>
      </c>
      <c r="M30" t="inlineStr">
        <is>
          <t>EXP Lane</t>
        </is>
      </c>
      <c r="O30" t="inlineStr">
        <is>
          <t>Mid-Late</t>
        </is>
      </c>
      <c r="P30" t="inlineStr">
        <is>
          <t>Mana</t>
        </is>
      </c>
      <c r="Q30" t="n">
        <v>4</v>
      </c>
      <c r="R30" t="inlineStr">
        <is>
          <t>No</t>
        </is>
      </c>
    </row>
    <row r="31" ht="15" customHeight="1">
      <c r="A31" t="inlineStr">
        <is>
          <t>30</t>
        </is>
      </c>
      <c r="B31" t="inlineStr">
        <is>
          <t>Yi Sun-shin</t>
        </is>
      </c>
      <c r="C31" t="inlineStr">
        <is>
          <t>Assassin</t>
        </is>
      </c>
      <c r="D31" t="inlineStr">
        <is>
          <t>Marksman</t>
        </is>
      </c>
      <c r="E31" t="n">
        <v>90</v>
      </c>
      <c r="F31" t="n">
        <v>20</v>
      </c>
      <c r="G31" t="n">
        <v>40</v>
      </c>
      <c r="H31" t="n">
        <v>70</v>
      </c>
      <c r="I31" t="inlineStr">
        <is>
          <t>Vision</t>
        </is>
      </c>
      <c r="J31" t="inlineStr">
        <is>
          <t>DPS</t>
        </is>
      </c>
      <c r="K31" t="inlineStr">
        <is>
          <t>Physical</t>
        </is>
      </c>
      <c r="L31" t="inlineStr">
        <is>
          <t>Hybrid</t>
        </is>
      </c>
      <c r="M31" t="inlineStr">
        <is>
          <t>Jungle</t>
        </is>
      </c>
      <c r="O31" t="inlineStr">
        <is>
          <t>Mid-Late</t>
        </is>
      </c>
      <c r="P31" t="inlineStr">
        <is>
          <t>Mana</t>
        </is>
      </c>
      <c r="Q31" t="n">
        <v>4</v>
      </c>
      <c r="R31" t="inlineStr">
        <is>
          <t>No</t>
        </is>
      </c>
    </row>
    <row r="32" ht="15" customHeight="1">
      <c r="A32" t="inlineStr">
        <is>
          <t>31</t>
        </is>
      </c>
      <c r="B32" t="inlineStr">
        <is>
          <t>Moskov</t>
        </is>
      </c>
      <c r="C32" t="inlineStr">
        <is>
          <t>Marksman</t>
        </is>
      </c>
      <c r="E32" t="n">
        <v>60</v>
      </c>
      <c r="F32" t="n">
        <v>60</v>
      </c>
      <c r="G32" t="n">
        <v>20</v>
      </c>
      <c r="H32" t="n">
        <v>50</v>
      </c>
      <c r="I32" t="inlineStr">
        <is>
          <t>DPS</t>
        </is>
      </c>
      <c r="J32" t="inlineStr">
        <is>
          <t>Hard CC</t>
        </is>
      </c>
      <c r="K32" t="inlineStr">
        <is>
          <t>Physical</t>
        </is>
      </c>
      <c r="L32" t="inlineStr">
        <is>
          <t>Ranged</t>
        </is>
      </c>
      <c r="M32" t="inlineStr">
        <is>
          <t>Gold Lane</t>
        </is>
      </c>
      <c r="O32" t="inlineStr">
        <is>
          <t>Late</t>
        </is>
      </c>
      <c r="P32" t="inlineStr">
        <is>
          <t>Mana</t>
        </is>
      </c>
      <c r="Q32" t="n">
        <v>5</v>
      </c>
      <c r="R32" t="inlineStr">
        <is>
          <t>No</t>
        </is>
      </c>
    </row>
    <row r="33" ht="15" customHeight="1">
      <c r="A33" t="inlineStr">
        <is>
          <t>32</t>
        </is>
      </c>
      <c r="B33" t="inlineStr">
        <is>
          <t>Johnson</t>
        </is>
      </c>
      <c r="C33" t="inlineStr">
        <is>
          <t>Tank</t>
        </is>
      </c>
      <c r="D33" t="inlineStr">
        <is>
          <t>Support</t>
        </is>
      </c>
      <c r="E33" t="n">
        <v>30</v>
      </c>
      <c r="F33" t="n">
        <v>90</v>
      </c>
      <c r="G33" t="n">
        <v>80</v>
      </c>
      <c r="H33" t="n">
        <v>50</v>
      </c>
      <c r="I33" t="inlineStr">
        <is>
          <t>Global Dive</t>
        </is>
      </c>
      <c r="J33" t="inlineStr">
        <is>
          <t>AoE CC</t>
        </is>
      </c>
      <c r="K33" t="inlineStr">
        <is>
          <t>Magic</t>
        </is>
      </c>
      <c r="L33" t="inlineStr">
        <is>
          <t>Melee</t>
        </is>
      </c>
      <c r="M33" t="inlineStr">
        <is>
          <t>Roaming</t>
        </is>
      </c>
      <c r="O33" t="inlineStr">
        <is>
          <t>Early-Mid</t>
        </is>
      </c>
      <c r="P33" t="inlineStr">
        <is>
          <t>None</t>
        </is>
      </c>
      <c r="Q33" t="n">
        <v>2</v>
      </c>
      <c r="R33" t="inlineStr">
        <is>
          <t>No</t>
        </is>
      </c>
    </row>
    <row r="34" ht="15" customHeight="1">
      <c r="A34" t="inlineStr">
        <is>
          <t>33</t>
        </is>
      </c>
      <c r="B34" t="inlineStr">
        <is>
          <t>Cyclops</t>
        </is>
      </c>
      <c r="C34" t="inlineStr">
        <is>
          <t>Mage</t>
        </is>
      </c>
      <c r="E34" t="n">
        <v>100</v>
      </c>
      <c r="F34" t="n">
        <v>70</v>
      </c>
      <c r="G34" t="n">
        <v>30</v>
      </c>
      <c r="H34" t="n">
        <v>60</v>
      </c>
      <c r="I34" t="inlineStr">
        <is>
          <t>DPS</t>
        </is>
      </c>
      <c r="J34" t="inlineStr">
        <is>
          <t>Targeted CC</t>
        </is>
      </c>
      <c r="K34" t="inlineStr">
        <is>
          <t>Magic</t>
        </is>
      </c>
      <c r="L34" t="inlineStr">
        <is>
          <t>Ranged</t>
        </is>
      </c>
      <c r="M34" t="inlineStr">
        <is>
          <t>Mid Lane</t>
        </is>
      </c>
      <c r="O34" t="inlineStr">
        <is>
          <t>Mid</t>
        </is>
      </c>
      <c r="P34" t="inlineStr">
        <is>
          <t>Mana</t>
        </is>
      </c>
      <c r="Q34" t="n">
        <v>3</v>
      </c>
      <c r="R34" t="inlineStr">
        <is>
          <t>No</t>
        </is>
      </c>
    </row>
    <row r="35" ht="15" customHeight="1">
      <c r="A35" t="inlineStr">
        <is>
          <t>34</t>
        </is>
      </c>
      <c r="B35" t="inlineStr">
        <is>
          <t>Estes</t>
        </is>
      </c>
      <c r="C35" t="inlineStr">
        <is>
          <t>Support</t>
        </is>
      </c>
      <c r="E35" t="n">
        <v>10</v>
      </c>
      <c r="F35" t="n">
        <v>20</v>
      </c>
      <c r="G35" t="n">
        <v>70</v>
      </c>
      <c r="H35" t="n">
        <v>30</v>
      </c>
      <c r="I35" t="inlineStr">
        <is>
          <t>Healing</t>
        </is>
      </c>
      <c r="J35" t="inlineStr">
        <is>
          <t>Sustain</t>
        </is>
      </c>
      <c r="K35" t="inlineStr">
        <is>
          <t>Magic</t>
        </is>
      </c>
      <c r="L35" t="inlineStr">
        <is>
          <t>Ranged</t>
        </is>
      </c>
      <c r="M35" t="inlineStr">
        <is>
          <t>Roaming</t>
        </is>
      </c>
      <c r="O35" t="inlineStr">
        <is>
          <t>Early-Mid</t>
        </is>
      </c>
      <c r="P35" t="inlineStr">
        <is>
          <t>Mana</t>
        </is>
      </c>
      <c r="Q35" t="n">
        <v>2</v>
      </c>
      <c r="R35" t="inlineStr">
        <is>
          <t>No</t>
        </is>
      </c>
    </row>
    <row r="36" ht="15" customHeight="1">
      <c r="A36" t="inlineStr">
        <is>
          <t>35</t>
        </is>
      </c>
      <c r="B36" t="inlineStr">
        <is>
          <t>Hilda</t>
        </is>
      </c>
      <c r="C36" t="inlineStr">
        <is>
          <t>Fighter</t>
        </is>
      </c>
      <c r="D36" t="inlineStr">
        <is>
          <t>Tank</t>
        </is>
      </c>
      <c r="E36" t="n">
        <v>40</v>
      </c>
      <c r="F36" t="n">
        <v>40</v>
      </c>
      <c r="G36" t="n">
        <v>90</v>
      </c>
      <c r="H36" t="n">
        <v>40</v>
      </c>
      <c r="I36" t="inlineStr">
        <is>
          <t>Sustain</t>
        </is>
      </c>
      <c r="J36" t="inlineStr">
        <is>
          <t>Burst</t>
        </is>
      </c>
      <c r="K36" t="inlineStr">
        <is>
          <t>Physical</t>
        </is>
      </c>
      <c r="L36" t="inlineStr">
        <is>
          <t>Melee</t>
        </is>
      </c>
      <c r="M36" t="inlineStr">
        <is>
          <t>Roaming</t>
        </is>
      </c>
      <c r="N36" t="inlineStr">
        <is>
          <t>EXP Lane</t>
        </is>
      </c>
      <c r="O36" t="inlineStr">
        <is>
          <t>Early</t>
        </is>
      </c>
      <c r="P36" t="inlineStr">
        <is>
          <t>None</t>
        </is>
      </c>
      <c r="Q36" t="n">
        <v>1</v>
      </c>
      <c r="R36" t="inlineStr">
        <is>
          <t>No</t>
        </is>
      </c>
    </row>
    <row r="37" ht="15" customHeight="1">
      <c r="A37" t="inlineStr">
        <is>
          <t>36</t>
        </is>
      </c>
      <c r="B37" t="inlineStr">
        <is>
          <t>Aurora</t>
        </is>
      </c>
      <c r="C37" t="inlineStr">
        <is>
          <t>Mage</t>
        </is>
      </c>
      <c r="E37" t="n">
        <v>70</v>
      </c>
      <c r="F37" t="n">
        <v>100</v>
      </c>
      <c r="G37" t="n">
        <v>40</v>
      </c>
      <c r="H37" t="n">
        <v>10</v>
      </c>
      <c r="I37" t="inlineStr">
        <is>
          <t>Hard CC</t>
        </is>
      </c>
      <c r="J37" t="inlineStr">
        <is>
          <t>Burst</t>
        </is>
      </c>
      <c r="K37" t="inlineStr">
        <is>
          <t>Magic</t>
        </is>
      </c>
      <c r="L37" t="inlineStr">
        <is>
          <t>Ranged</t>
        </is>
      </c>
      <c r="M37" t="inlineStr">
        <is>
          <t>Mid Lane</t>
        </is>
      </c>
      <c r="O37" t="inlineStr">
        <is>
          <t>Mid</t>
        </is>
      </c>
      <c r="P37" t="inlineStr">
        <is>
          <t>Mana</t>
        </is>
      </c>
      <c r="Q37" t="n">
        <v>3</v>
      </c>
      <c r="R37" t="inlineStr">
        <is>
          <t>No</t>
        </is>
      </c>
    </row>
    <row r="38" ht="15" customHeight="1">
      <c r="A38" t="inlineStr">
        <is>
          <t>37</t>
        </is>
      </c>
      <c r="B38" t="inlineStr">
        <is>
          <t>Lapu-Lapu</t>
        </is>
      </c>
      <c r="C38" t="inlineStr">
        <is>
          <t>Fighter</t>
        </is>
      </c>
      <c r="E38" t="n">
        <v>40</v>
      </c>
      <c r="F38" t="n">
        <v>40</v>
      </c>
      <c r="G38" t="n">
        <v>80</v>
      </c>
      <c r="H38" t="n">
        <v>50</v>
      </c>
      <c r="I38" t="inlineStr">
        <is>
          <t>Shield</t>
        </is>
      </c>
      <c r="J38" t="inlineStr">
        <is>
          <t>AoE Damage</t>
        </is>
      </c>
      <c r="K38" t="inlineStr">
        <is>
          <t>Physical</t>
        </is>
      </c>
      <c r="L38" t="inlineStr">
        <is>
          <t>Melee</t>
        </is>
      </c>
      <c r="M38" t="inlineStr">
        <is>
          <t>EXP Lane</t>
        </is>
      </c>
      <c r="O38" t="inlineStr">
        <is>
          <t>Mid</t>
        </is>
      </c>
      <c r="P38" t="inlineStr">
        <is>
          <t>None</t>
        </is>
      </c>
      <c r="Q38" t="n">
        <v>3</v>
      </c>
      <c r="R38" t="inlineStr">
        <is>
          <t>No</t>
        </is>
      </c>
    </row>
    <row r="39" ht="15" customHeight="1">
      <c r="A39" t="inlineStr">
        <is>
          <t>38</t>
        </is>
      </c>
      <c r="B39" t="inlineStr">
        <is>
          <t>Vexana</t>
        </is>
      </c>
      <c r="C39" t="inlineStr">
        <is>
          <t>Mage</t>
        </is>
      </c>
      <c r="E39" t="n">
        <v>90</v>
      </c>
      <c r="F39" t="n">
        <v>50</v>
      </c>
      <c r="G39" t="n">
        <v>20</v>
      </c>
      <c r="H39" t="n">
        <v>10</v>
      </c>
      <c r="I39" t="inlineStr">
        <is>
          <t>Summoner</t>
        </is>
      </c>
      <c r="J39" t="inlineStr">
        <is>
          <t>AoE CC</t>
        </is>
      </c>
      <c r="K39" t="inlineStr">
        <is>
          <t>Magic</t>
        </is>
      </c>
      <c r="L39" t="inlineStr">
        <is>
          <t>Ranged</t>
        </is>
      </c>
      <c r="M39" t="inlineStr">
        <is>
          <t>Mid Lane</t>
        </is>
      </c>
      <c r="O39" t="inlineStr">
        <is>
          <t>Mid</t>
        </is>
      </c>
      <c r="P39" t="inlineStr">
        <is>
          <t>Mana</t>
        </is>
      </c>
      <c r="Q39" t="n">
        <v>3</v>
      </c>
      <c r="R39" t="inlineStr">
        <is>
          <t>No</t>
        </is>
      </c>
    </row>
    <row r="40" ht="15" customHeight="1">
      <c r="A40" t="inlineStr">
        <is>
          <t>39</t>
        </is>
      </c>
      <c r="B40" t="inlineStr">
        <is>
          <t>Roger</t>
        </is>
      </c>
      <c r="C40" t="inlineStr">
        <is>
          <t>Fighter</t>
        </is>
      </c>
      <c r="D40" t="inlineStr">
        <is>
          <t>Marksman</t>
        </is>
      </c>
      <c r="E40" t="n">
        <v>40</v>
      </c>
      <c r="F40" t="n">
        <v>10</v>
      </c>
      <c r="G40" t="n">
        <v>60</v>
      </c>
      <c r="H40" t="n">
        <v>50</v>
      </c>
      <c r="I40" t="inlineStr">
        <is>
          <t>DPS</t>
        </is>
      </c>
      <c r="J40" t="inlineStr">
        <is>
          <t>Mobility</t>
        </is>
      </c>
      <c r="K40" t="inlineStr">
        <is>
          <t>Physical</t>
        </is>
      </c>
      <c r="L40" t="inlineStr">
        <is>
          <t>Hybrid</t>
        </is>
      </c>
      <c r="M40" t="inlineStr">
        <is>
          <t>Jungle</t>
        </is>
      </c>
      <c r="O40" t="inlineStr">
        <is>
          <t>Mid</t>
        </is>
      </c>
      <c r="P40" t="inlineStr">
        <is>
          <t>Mana</t>
        </is>
      </c>
      <c r="Q40" t="n">
        <v>3</v>
      </c>
      <c r="R40" t="inlineStr">
        <is>
          <t>No</t>
        </is>
      </c>
    </row>
    <row r="41" ht="15" customHeight="1">
      <c r="A41" t="inlineStr">
        <is>
          <t>40</t>
        </is>
      </c>
      <c r="B41" t="inlineStr">
        <is>
          <t>Karrie</t>
        </is>
      </c>
      <c r="C41" t="inlineStr">
        <is>
          <t>Marksman</t>
        </is>
      </c>
      <c r="E41" t="n">
        <v>80</v>
      </c>
      <c r="F41" t="n">
        <v>10</v>
      </c>
      <c r="G41" t="n">
        <v>30</v>
      </c>
      <c r="H41" t="n">
        <v>40</v>
      </c>
      <c r="I41" t="inlineStr">
        <is>
          <t>True Damage</t>
        </is>
      </c>
      <c r="J41" t="inlineStr">
        <is>
          <t>DPS</t>
        </is>
      </c>
      <c r="K41" t="inlineStr">
        <is>
          <t>Physical</t>
        </is>
      </c>
      <c r="L41" t="inlineStr">
        <is>
          <t>Ranged</t>
        </is>
      </c>
      <c r="M41" t="inlineStr">
        <is>
          <t>Gold Lane</t>
        </is>
      </c>
      <c r="O41" t="inlineStr">
        <is>
          <t>Late</t>
        </is>
      </c>
      <c r="P41" t="inlineStr">
        <is>
          <t>Mana</t>
        </is>
      </c>
      <c r="Q41" t="n">
        <v>5</v>
      </c>
      <c r="R41" t="inlineStr">
        <is>
          <t>No</t>
        </is>
      </c>
    </row>
    <row r="42" ht="15" customHeight="1">
      <c r="A42" t="inlineStr">
        <is>
          <t>41</t>
        </is>
      </c>
      <c r="B42" t="inlineStr">
        <is>
          <t>Gatotkaca</t>
        </is>
      </c>
      <c r="C42" t="inlineStr">
        <is>
          <t>Tank</t>
        </is>
      </c>
      <c r="D42" t="inlineStr">
        <is>
          <t>Fighter</t>
        </is>
      </c>
      <c r="E42" t="n">
        <v>30</v>
      </c>
      <c r="F42" t="n">
        <v>90</v>
      </c>
      <c r="G42" t="n">
        <v>90</v>
      </c>
      <c r="H42" t="n">
        <v>10</v>
      </c>
      <c r="I42" t="inlineStr">
        <is>
          <t>AoE CC</t>
        </is>
      </c>
      <c r="J42" t="inlineStr">
        <is>
          <t>Damage Reduction</t>
        </is>
      </c>
      <c r="K42" t="inlineStr">
        <is>
          <t>Magic</t>
        </is>
      </c>
      <c r="L42" t="inlineStr">
        <is>
          <t>Melee</t>
        </is>
      </c>
      <c r="M42" t="inlineStr">
        <is>
          <t>Roaming</t>
        </is>
      </c>
      <c r="N42" t="inlineStr">
        <is>
          <t>EXP Lane</t>
        </is>
      </c>
      <c r="O42" t="inlineStr">
        <is>
          <t>Mid</t>
        </is>
      </c>
      <c r="P42" t="inlineStr">
        <is>
          <t>None</t>
        </is>
      </c>
      <c r="Q42" t="n">
        <v>3</v>
      </c>
      <c r="R42" t="inlineStr">
        <is>
          <t>No</t>
        </is>
      </c>
    </row>
    <row r="43" ht="15" customHeight="1">
      <c r="A43" t="inlineStr">
        <is>
          <t>42</t>
        </is>
      </c>
      <c r="B43" t="inlineStr">
        <is>
          <t>Harley</t>
        </is>
      </c>
      <c r="C43" t="inlineStr">
        <is>
          <t>Assassin</t>
        </is>
      </c>
      <c r="D43" t="inlineStr">
        <is>
          <t>Mage</t>
        </is>
      </c>
      <c r="E43" t="n">
        <v>90</v>
      </c>
      <c r="F43" t="n">
        <v>10</v>
      </c>
      <c r="G43" t="n">
        <v>30</v>
      </c>
      <c r="H43" t="n">
        <v>60</v>
      </c>
      <c r="I43" t="inlineStr">
        <is>
          <t>Burst</t>
        </is>
      </c>
      <c r="J43" t="inlineStr">
        <is>
          <t>Poke</t>
        </is>
      </c>
      <c r="K43" t="inlineStr">
        <is>
          <t>Magic</t>
        </is>
      </c>
      <c r="L43" t="inlineStr">
        <is>
          <t>Ranged</t>
        </is>
      </c>
      <c r="M43" t="inlineStr">
        <is>
          <t>Jungle</t>
        </is>
      </c>
      <c r="N43" t="inlineStr">
        <is>
          <t>Mid Lane</t>
        </is>
      </c>
      <c r="O43" t="inlineStr">
        <is>
          <t>Early-Mid</t>
        </is>
      </c>
      <c r="P43" t="inlineStr">
        <is>
          <t>Mana</t>
        </is>
      </c>
      <c r="Q43" t="n">
        <v>2</v>
      </c>
      <c r="R43" t="inlineStr">
        <is>
          <t>No</t>
        </is>
      </c>
    </row>
    <row r="44" ht="15" customHeight="1">
      <c r="A44" t="inlineStr">
        <is>
          <t>43</t>
        </is>
      </c>
      <c r="B44" t="inlineStr">
        <is>
          <t>Irithel</t>
        </is>
      </c>
      <c r="C44" t="inlineStr">
        <is>
          <t>Marksman</t>
        </is>
      </c>
      <c r="E44" t="n">
        <v>80</v>
      </c>
      <c r="F44" t="n">
        <v>10</v>
      </c>
      <c r="G44" t="n">
        <v>10</v>
      </c>
      <c r="H44" t="n">
        <v>50</v>
      </c>
      <c r="I44" t="inlineStr">
        <is>
          <t>DPS</t>
        </is>
      </c>
      <c r="J44" t="inlineStr">
        <is>
          <t>AoE Damage</t>
        </is>
      </c>
      <c r="K44" t="inlineStr">
        <is>
          <t>Physical</t>
        </is>
      </c>
      <c r="L44" t="inlineStr">
        <is>
          <t>Ranged</t>
        </is>
      </c>
      <c r="M44" t="inlineStr">
        <is>
          <t>Gold Lane</t>
        </is>
      </c>
      <c r="O44" t="inlineStr">
        <is>
          <t>Late</t>
        </is>
      </c>
      <c r="P44" t="inlineStr">
        <is>
          <t>None</t>
        </is>
      </c>
      <c r="Q44" t="n">
        <v>5</v>
      </c>
      <c r="R44" t="inlineStr">
        <is>
          <t>No</t>
        </is>
      </c>
    </row>
    <row r="45" ht="15" customHeight="1">
      <c r="A45" t="inlineStr">
        <is>
          <t>44</t>
        </is>
      </c>
      <c r="B45" t="inlineStr">
        <is>
          <t>Grock</t>
        </is>
      </c>
      <c r="C45" t="inlineStr">
        <is>
          <t>Tank</t>
        </is>
      </c>
      <c r="D45" t="inlineStr">
        <is>
          <t>Fighter</t>
        </is>
      </c>
      <c r="E45" t="n">
        <v>40</v>
      </c>
      <c r="F45" t="n">
        <v>80</v>
      </c>
      <c r="G45" t="n">
        <v>90</v>
      </c>
      <c r="H45" t="n">
        <v>60</v>
      </c>
      <c r="I45" t="inlineStr">
        <is>
          <t>Hard CC</t>
        </is>
      </c>
      <c r="J45" t="inlineStr">
        <is>
          <t>Burst</t>
        </is>
      </c>
      <c r="K45" t="inlineStr">
        <is>
          <t>Physical</t>
        </is>
      </c>
      <c r="L45" t="inlineStr">
        <is>
          <t>Melee</t>
        </is>
      </c>
      <c r="M45" t="inlineStr">
        <is>
          <t>Roaming</t>
        </is>
      </c>
      <c r="O45" t="inlineStr">
        <is>
          <t>Early-Mid</t>
        </is>
      </c>
      <c r="P45" t="inlineStr">
        <is>
          <t>None</t>
        </is>
      </c>
      <c r="Q45" t="n">
        <v>2</v>
      </c>
      <c r="R45" t="inlineStr">
        <is>
          <t>No</t>
        </is>
      </c>
    </row>
    <row r="46" ht="15" customHeight="1">
      <c r="A46" t="inlineStr">
        <is>
          <t>45</t>
        </is>
      </c>
      <c r="B46" t="inlineStr">
        <is>
          <t>Argus</t>
        </is>
      </c>
      <c r="C46" t="inlineStr">
        <is>
          <t>Fighter</t>
        </is>
      </c>
      <c r="E46" t="n">
        <v>50</v>
      </c>
      <c r="F46" t="n">
        <v>50</v>
      </c>
      <c r="G46" t="n">
        <v>70</v>
      </c>
      <c r="H46" t="n">
        <v>60</v>
      </c>
      <c r="I46" t="inlineStr">
        <is>
          <t>I-Frame</t>
        </is>
      </c>
      <c r="J46" t="inlineStr">
        <is>
          <t>DPS</t>
        </is>
      </c>
      <c r="K46" t="inlineStr">
        <is>
          <t>Physical</t>
        </is>
      </c>
      <c r="L46" t="inlineStr">
        <is>
          <t>Melee</t>
        </is>
      </c>
      <c r="M46" t="inlineStr">
        <is>
          <t>EXP Lane</t>
        </is>
      </c>
      <c r="O46" t="inlineStr">
        <is>
          <t>Late</t>
        </is>
      </c>
      <c r="P46" t="inlineStr">
        <is>
          <t>None</t>
        </is>
      </c>
      <c r="Q46" t="n">
        <v>5</v>
      </c>
      <c r="R46" t="inlineStr">
        <is>
          <t>No</t>
        </is>
      </c>
    </row>
    <row r="47" ht="15" customHeight="1">
      <c r="A47" t="inlineStr">
        <is>
          <t>46</t>
        </is>
      </c>
      <c r="B47" t="inlineStr">
        <is>
          <t>Odette</t>
        </is>
      </c>
      <c r="C47" t="inlineStr">
        <is>
          <t>Mage</t>
        </is>
      </c>
      <c r="E47" t="n">
        <v>100</v>
      </c>
      <c r="F47" t="n">
        <v>70</v>
      </c>
      <c r="G47" t="n">
        <v>30</v>
      </c>
      <c r="H47" t="n">
        <v>20</v>
      </c>
      <c r="I47" t="inlineStr">
        <is>
          <t>AoE Damage</t>
        </is>
      </c>
      <c r="J47" t="inlineStr">
        <is>
          <t>Burst</t>
        </is>
      </c>
      <c r="K47" t="inlineStr">
        <is>
          <t>Magic</t>
        </is>
      </c>
      <c r="L47" t="inlineStr">
        <is>
          <t>Ranged</t>
        </is>
      </c>
      <c r="M47" t="inlineStr">
        <is>
          <t>Mid Lane</t>
        </is>
      </c>
      <c r="O47" t="inlineStr">
        <is>
          <t>Mid</t>
        </is>
      </c>
      <c r="P47" t="inlineStr">
        <is>
          <t>Mana</t>
        </is>
      </c>
      <c r="Q47" t="n">
        <v>3</v>
      </c>
      <c r="R47" t="inlineStr">
        <is>
          <t>No</t>
        </is>
      </c>
    </row>
    <row r="48" ht="15" customHeight="1">
      <c r="A48" t="inlineStr">
        <is>
          <t>47</t>
        </is>
      </c>
      <c r="B48" t="inlineStr">
        <is>
          <t>Lancelot</t>
        </is>
      </c>
      <c r="C48" t="inlineStr">
        <is>
          <t>Assassin</t>
        </is>
      </c>
      <c r="E48" t="n">
        <v>50</v>
      </c>
      <c r="F48" t="n">
        <v>10</v>
      </c>
      <c r="G48" t="n">
        <v>40</v>
      </c>
      <c r="H48" t="n">
        <v>50</v>
      </c>
      <c r="I48" t="inlineStr">
        <is>
          <t>I-Frame</t>
        </is>
      </c>
      <c r="J48" t="inlineStr">
        <is>
          <t>Dash/Blink</t>
        </is>
      </c>
      <c r="K48" t="inlineStr">
        <is>
          <t>Physical</t>
        </is>
      </c>
      <c r="L48" t="inlineStr">
        <is>
          <t>Melee</t>
        </is>
      </c>
      <c r="M48" t="inlineStr">
        <is>
          <t>Jungle</t>
        </is>
      </c>
      <c r="O48" t="inlineStr">
        <is>
          <t>Early-Mid</t>
        </is>
      </c>
      <c r="P48" t="inlineStr">
        <is>
          <t>Mana</t>
        </is>
      </c>
      <c r="Q48" t="n">
        <v>2</v>
      </c>
      <c r="R48" t="inlineStr">
        <is>
          <t>No</t>
        </is>
      </c>
    </row>
    <row r="49" ht="15" customHeight="1">
      <c r="A49" t="inlineStr">
        <is>
          <t>48</t>
        </is>
      </c>
      <c r="B49" t="inlineStr">
        <is>
          <t>Diggie</t>
        </is>
      </c>
      <c r="C49" t="inlineStr">
        <is>
          <t>Support</t>
        </is>
      </c>
      <c r="E49" t="n">
        <v>40</v>
      </c>
      <c r="F49" t="n">
        <v>20</v>
      </c>
      <c r="G49" t="n">
        <v>40</v>
      </c>
      <c r="H49" t="n">
        <v>50</v>
      </c>
      <c r="I49" t="inlineStr">
        <is>
          <t>AoE CC</t>
        </is>
      </c>
      <c r="J49" t="inlineStr">
        <is>
          <t>Shield</t>
        </is>
      </c>
      <c r="K49" t="inlineStr">
        <is>
          <t>Magic</t>
        </is>
      </c>
      <c r="L49" t="inlineStr">
        <is>
          <t>Ranged</t>
        </is>
      </c>
      <c r="M49" t="inlineStr">
        <is>
          <t>Roaming</t>
        </is>
      </c>
      <c r="O49" t="inlineStr">
        <is>
          <t>Early-Mid</t>
        </is>
      </c>
      <c r="P49" t="inlineStr">
        <is>
          <t>Mana</t>
        </is>
      </c>
      <c r="Q49" t="n">
        <v>2</v>
      </c>
      <c r="R49" t="inlineStr">
        <is>
          <t>No</t>
        </is>
      </c>
    </row>
    <row r="50" ht="15" customHeight="1">
      <c r="A50" t="inlineStr">
        <is>
          <t>49</t>
        </is>
      </c>
      <c r="B50" t="inlineStr">
        <is>
          <t>Hylos</t>
        </is>
      </c>
      <c r="C50" t="inlineStr">
        <is>
          <t>Tank</t>
        </is>
      </c>
      <c r="E50" t="n">
        <v>20</v>
      </c>
      <c r="F50" t="n">
        <v>80</v>
      </c>
      <c r="G50" t="n">
        <v>100</v>
      </c>
      <c r="H50" t="n">
        <v>30</v>
      </c>
      <c r="I50" t="inlineStr">
        <is>
          <t>Sustain</t>
        </is>
      </c>
      <c r="J50" t="inlineStr">
        <is>
          <t>Soft CC</t>
        </is>
      </c>
      <c r="K50" t="inlineStr">
        <is>
          <t>Magic</t>
        </is>
      </c>
      <c r="L50" t="inlineStr">
        <is>
          <t>Melee</t>
        </is>
      </c>
      <c r="M50" t="inlineStr">
        <is>
          <t>Roaming</t>
        </is>
      </c>
      <c r="O50" t="inlineStr">
        <is>
          <t>Early-Mid</t>
        </is>
      </c>
      <c r="P50" t="inlineStr">
        <is>
          <t>Mana</t>
        </is>
      </c>
      <c r="Q50" t="n">
        <v>2</v>
      </c>
      <c r="R50" t="inlineStr">
        <is>
          <t>No</t>
        </is>
      </c>
    </row>
    <row r="51" ht="15" customHeight="1">
      <c r="A51" t="inlineStr">
        <is>
          <t>50</t>
        </is>
      </c>
      <c r="B51" t="inlineStr">
        <is>
          <t>Zhask</t>
        </is>
      </c>
      <c r="C51" t="inlineStr">
        <is>
          <t>Mage</t>
        </is>
      </c>
      <c r="E51" t="n">
        <v>100</v>
      </c>
      <c r="F51" t="n">
        <v>40</v>
      </c>
      <c r="G51" t="n">
        <v>10</v>
      </c>
      <c r="H51" t="n">
        <v>40</v>
      </c>
      <c r="I51" t="inlineStr">
        <is>
          <t>Summoner</t>
        </is>
      </c>
      <c r="J51" t="inlineStr">
        <is>
          <t>DPS</t>
        </is>
      </c>
      <c r="K51" t="inlineStr">
        <is>
          <t>Magic</t>
        </is>
      </c>
      <c r="L51" t="inlineStr">
        <is>
          <t>Ranged</t>
        </is>
      </c>
      <c r="M51" t="inlineStr">
        <is>
          <t>Mid Lane</t>
        </is>
      </c>
      <c r="O51" t="inlineStr">
        <is>
          <t>Mid</t>
        </is>
      </c>
      <c r="P51" t="inlineStr">
        <is>
          <t>Mana</t>
        </is>
      </c>
      <c r="Q51" t="n">
        <v>3</v>
      </c>
      <c r="R51" t="inlineStr">
        <is>
          <t>No</t>
        </is>
      </c>
    </row>
    <row r="52" ht="15" customHeight="1">
      <c r="A52" t="inlineStr">
        <is>
          <t>51</t>
        </is>
      </c>
      <c r="B52" t="inlineStr">
        <is>
          <t>Helcurt</t>
        </is>
      </c>
      <c r="C52" t="inlineStr">
        <is>
          <t>Assassin</t>
        </is>
      </c>
      <c r="E52" t="n">
        <v>50</v>
      </c>
      <c r="F52" t="n">
        <v>50</v>
      </c>
      <c r="G52" t="n">
        <v>30</v>
      </c>
      <c r="H52" t="n">
        <v>50</v>
      </c>
      <c r="I52" t="inlineStr">
        <is>
          <t>Burst</t>
        </is>
      </c>
      <c r="J52" t="inlineStr">
        <is>
          <t>Soft CC</t>
        </is>
      </c>
      <c r="K52" t="inlineStr">
        <is>
          <t>Physical</t>
        </is>
      </c>
      <c r="L52" t="inlineStr">
        <is>
          <t>Melee</t>
        </is>
      </c>
      <c r="M52" t="inlineStr">
        <is>
          <t>Jungle</t>
        </is>
      </c>
      <c r="N52" t="inlineStr">
        <is>
          <t>Roaming</t>
        </is>
      </c>
      <c r="O52" t="inlineStr">
        <is>
          <t>Early-Mid</t>
        </is>
      </c>
      <c r="P52" t="inlineStr">
        <is>
          <t>None</t>
        </is>
      </c>
      <c r="Q52" t="n">
        <v>2</v>
      </c>
      <c r="R52" t="inlineStr">
        <is>
          <t>No</t>
        </is>
      </c>
    </row>
    <row r="53" ht="15" customHeight="1">
      <c r="A53" t="inlineStr">
        <is>
          <t>52</t>
        </is>
      </c>
      <c r="B53" t="inlineStr">
        <is>
          <t>Pharsa</t>
        </is>
      </c>
      <c r="C53" t="inlineStr">
        <is>
          <t>Mage</t>
        </is>
      </c>
      <c r="E53" t="n">
        <v>90</v>
      </c>
      <c r="F53" t="n">
        <v>50</v>
      </c>
      <c r="G53" t="n">
        <v>20</v>
      </c>
      <c r="H53" t="n">
        <v>30</v>
      </c>
      <c r="I53" t="inlineStr">
        <is>
          <t>Poke</t>
        </is>
      </c>
      <c r="J53" t="inlineStr">
        <is>
          <t>AoE Damage</t>
        </is>
      </c>
      <c r="K53" t="inlineStr">
        <is>
          <t>Magic</t>
        </is>
      </c>
      <c r="L53" t="inlineStr">
        <is>
          <t>Ranged</t>
        </is>
      </c>
      <c r="M53" t="inlineStr">
        <is>
          <t>Mid Lane</t>
        </is>
      </c>
      <c r="O53" t="inlineStr">
        <is>
          <t>Mid</t>
        </is>
      </c>
      <c r="P53" t="inlineStr">
        <is>
          <t>Mana</t>
        </is>
      </c>
      <c r="Q53" t="n">
        <v>3</v>
      </c>
      <c r="R53" t="inlineStr">
        <is>
          <t>No</t>
        </is>
      </c>
    </row>
    <row r="54" ht="15" customHeight="1">
      <c r="A54" t="inlineStr">
        <is>
          <t>53</t>
        </is>
      </c>
      <c r="B54" t="inlineStr">
        <is>
          <t>Lesley</t>
        </is>
      </c>
      <c r="C54" t="inlineStr">
        <is>
          <t>Marksman</t>
        </is>
      </c>
      <c r="D54" t="inlineStr">
        <is>
          <t>Assassin</t>
        </is>
      </c>
      <c r="E54" t="n">
        <v>70</v>
      </c>
      <c r="F54" t="n">
        <v>20</v>
      </c>
      <c r="G54" t="n">
        <v>10</v>
      </c>
      <c r="H54" t="n">
        <v>40</v>
      </c>
      <c r="I54" t="inlineStr">
        <is>
          <t>Poke</t>
        </is>
      </c>
      <c r="J54" t="inlineStr">
        <is>
          <t>True Damage</t>
        </is>
      </c>
      <c r="K54" t="inlineStr">
        <is>
          <t>Physical</t>
        </is>
      </c>
      <c r="L54" t="inlineStr">
        <is>
          <t>Ranged</t>
        </is>
      </c>
      <c r="M54" t="inlineStr">
        <is>
          <t>Gold Lane</t>
        </is>
      </c>
      <c r="O54" t="inlineStr">
        <is>
          <t>Mid-Late</t>
        </is>
      </c>
      <c r="P54" t="inlineStr">
        <is>
          <t>Energy</t>
        </is>
      </c>
      <c r="Q54" t="n">
        <v>4</v>
      </c>
      <c r="R54" t="inlineStr">
        <is>
          <t>No</t>
        </is>
      </c>
    </row>
    <row r="55" ht="15" customHeight="1">
      <c r="A55" t="inlineStr">
        <is>
          <t>54</t>
        </is>
      </c>
      <c r="B55" t="inlineStr">
        <is>
          <t>Jawhead</t>
        </is>
      </c>
      <c r="C55" t="inlineStr">
        <is>
          <t>Fighter</t>
        </is>
      </c>
      <c r="E55" t="n">
        <v>30</v>
      </c>
      <c r="F55" t="n">
        <v>60</v>
      </c>
      <c r="G55" t="n">
        <v>60</v>
      </c>
      <c r="H55" t="n">
        <v>50</v>
      </c>
      <c r="I55" t="inlineStr">
        <is>
          <t>Targeted CC</t>
        </is>
      </c>
      <c r="J55" t="inlineStr">
        <is>
          <t>Burst</t>
        </is>
      </c>
      <c r="K55" t="inlineStr">
        <is>
          <t>Physical</t>
        </is>
      </c>
      <c r="L55" t="inlineStr">
        <is>
          <t>Melee</t>
        </is>
      </c>
      <c r="M55" t="inlineStr">
        <is>
          <t>Roaming</t>
        </is>
      </c>
      <c r="N55" t="inlineStr">
        <is>
          <t>EXP Lane</t>
        </is>
      </c>
      <c r="O55" t="inlineStr">
        <is>
          <t>Early-Mid</t>
        </is>
      </c>
      <c r="P55" t="inlineStr">
        <is>
          <t>Mana</t>
        </is>
      </c>
      <c r="Q55" t="n">
        <v>2</v>
      </c>
      <c r="R55" t="inlineStr">
        <is>
          <t>No</t>
        </is>
      </c>
    </row>
    <row r="56" ht="15" customHeight="1">
      <c r="A56" t="inlineStr">
        <is>
          <t>55</t>
        </is>
      </c>
      <c r="B56" t="inlineStr">
        <is>
          <t>Angela</t>
        </is>
      </c>
      <c r="C56" t="inlineStr">
        <is>
          <t>Support</t>
        </is>
      </c>
      <c r="E56" t="n">
        <v>20</v>
      </c>
      <c r="F56" t="n">
        <v>50</v>
      </c>
      <c r="G56" t="n">
        <v>30</v>
      </c>
      <c r="H56" t="n">
        <v>50</v>
      </c>
      <c r="I56" t="inlineStr">
        <is>
          <t>Shield</t>
        </is>
      </c>
      <c r="J56" t="inlineStr">
        <is>
          <t>Healing</t>
        </is>
      </c>
      <c r="K56" t="inlineStr">
        <is>
          <t>Magic</t>
        </is>
      </c>
      <c r="L56" t="inlineStr">
        <is>
          <t>Ranged</t>
        </is>
      </c>
      <c r="M56" t="inlineStr">
        <is>
          <t>Roaming</t>
        </is>
      </c>
      <c r="O56" t="inlineStr">
        <is>
          <t>Mid</t>
        </is>
      </c>
      <c r="P56" t="inlineStr">
        <is>
          <t>Mana</t>
        </is>
      </c>
      <c r="Q56" t="n">
        <v>3</v>
      </c>
      <c r="R56" t="inlineStr">
        <is>
          <t>No</t>
        </is>
      </c>
    </row>
    <row r="57" ht="15" customHeight="1">
      <c r="A57" t="inlineStr">
        <is>
          <t>56</t>
        </is>
      </c>
      <c r="B57" t="inlineStr">
        <is>
          <t>Gusion</t>
        </is>
      </c>
      <c r="C57" t="inlineStr">
        <is>
          <t>Assassin</t>
        </is>
      </c>
      <c r="E57" t="n">
        <v>90</v>
      </c>
      <c r="F57" t="n">
        <v>10</v>
      </c>
      <c r="G57" t="n">
        <v>30</v>
      </c>
      <c r="H57" t="n">
        <v>80</v>
      </c>
      <c r="I57" t="inlineStr">
        <is>
          <t>Burst</t>
        </is>
      </c>
      <c r="J57" t="inlineStr">
        <is>
          <t>Dash/Blink</t>
        </is>
      </c>
      <c r="K57" t="inlineStr">
        <is>
          <t>Magic</t>
        </is>
      </c>
      <c r="L57" t="inlineStr">
        <is>
          <t>Melee</t>
        </is>
      </c>
      <c r="M57" t="inlineStr">
        <is>
          <t>Jungle</t>
        </is>
      </c>
      <c r="N57" t="inlineStr">
        <is>
          <t>Mid Lane</t>
        </is>
      </c>
      <c r="O57" t="inlineStr">
        <is>
          <t>Early-Mid</t>
        </is>
      </c>
      <c r="P57" t="inlineStr">
        <is>
          <t>Mana</t>
        </is>
      </c>
      <c r="Q57" t="n">
        <v>2</v>
      </c>
      <c r="R57" t="inlineStr">
        <is>
          <t>No</t>
        </is>
      </c>
    </row>
    <row r="58" ht="15" customHeight="1">
      <c r="A58" t="inlineStr">
        <is>
          <t>57</t>
        </is>
      </c>
      <c r="B58" t="inlineStr">
        <is>
          <t>Valir</t>
        </is>
      </c>
      <c r="C58" t="inlineStr">
        <is>
          <t>Mage</t>
        </is>
      </c>
      <c r="E58" t="n">
        <v>70</v>
      </c>
      <c r="F58" t="n">
        <v>70</v>
      </c>
      <c r="G58" t="n">
        <v>20</v>
      </c>
      <c r="H58" t="n">
        <v>40</v>
      </c>
      <c r="I58" t="inlineStr">
        <is>
          <t>Poke</t>
        </is>
      </c>
      <c r="J58" t="inlineStr">
        <is>
          <t>Hard CC</t>
        </is>
      </c>
      <c r="K58" t="inlineStr">
        <is>
          <t>Magic</t>
        </is>
      </c>
      <c r="L58" t="inlineStr">
        <is>
          <t>Ranged</t>
        </is>
      </c>
      <c r="M58" t="inlineStr">
        <is>
          <t>Mid Lane</t>
        </is>
      </c>
      <c r="O58" t="inlineStr">
        <is>
          <t>Mid</t>
        </is>
      </c>
      <c r="P58" t="inlineStr">
        <is>
          <t>Mana</t>
        </is>
      </c>
      <c r="Q58" t="n">
        <v>3</v>
      </c>
      <c r="R58" t="inlineStr">
        <is>
          <t>No</t>
        </is>
      </c>
    </row>
    <row r="59" ht="15" customHeight="1">
      <c r="A59" t="inlineStr">
        <is>
          <t>58</t>
        </is>
      </c>
      <c r="B59" t="inlineStr">
        <is>
          <t>Martis</t>
        </is>
      </c>
      <c r="C59" t="inlineStr">
        <is>
          <t>Fighter</t>
        </is>
      </c>
      <c r="E59" t="n">
        <v>30</v>
      </c>
      <c r="F59" t="n">
        <v>50</v>
      </c>
      <c r="G59" t="n">
        <v>60</v>
      </c>
      <c r="H59" t="n">
        <v>40</v>
      </c>
      <c r="I59" t="inlineStr">
        <is>
          <t>I-Frame</t>
        </is>
      </c>
      <c r="J59" t="inlineStr">
        <is>
          <t>Execute</t>
        </is>
      </c>
      <c r="K59" t="inlineStr">
        <is>
          <t>Physical</t>
        </is>
      </c>
      <c r="L59" t="inlineStr">
        <is>
          <t>Melee</t>
        </is>
      </c>
      <c r="M59" t="inlineStr">
        <is>
          <t>Jungle</t>
        </is>
      </c>
      <c r="N59" t="inlineStr">
        <is>
          <t>EXP Lane</t>
        </is>
      </c>
      <c r="O59" t="inlineStr">
        <is>
          <t>Early-Mid</t>
        </is>
      </c>
      <c r="P59" t="inlineStr">
        <is>
          <t>None</t>
        </is>
      </c>
      <c r="Q59" t="n">
        <v>2</v>
      </c>
      <c r="R59" t="inlineStr">
        <is>
          <t>No</t>
        </is>
      </c>
    </row>
    <row r="60" ht="15" customHeight="1">
      <c r="A60" t="inlineStr">
        <is>
          <t>59</t>
        </is>
      </c>
      <c r="B60" t="inlineStr">
        <is>
          <t>Uranus</t>
        </is>
      </c>
      <c r="C60" t="inlineStr">
        <is>
          <t>Tank</t>
        </is>
      </c>
      <c r="E60" t="n">
        <v>20</v>
      </c>
      <c r="F60" t="n">
        <v>20</v>
      </c>
      <c r="G60" t="n">
        <v>100</v>
      </c>
      <c r="H60" t="n">
        <v>30</v>
      </c>
      <c r="I60" t="inlineStr">
        <is>
          <t>Sustain</t>
        </is>
      </c>
      <c r="J60" t="inlineStr">
        <is>
          <t>Healing</t>
        </is>
      </c>
      <c r="K60" t="inlineStr">
        <is>
          <t>Magic</t>
        </is>
      </c>
      <c r="L60" t="inlineStr">
        <is>
          <t>Melee</t>
        </is>
      </c>
      <c r="M60" t="inlineStr">
        <is>
          <t>EXP Lane</t>
        </is>
      </c>
      <c r="O60" t="inlineStr">
        <is>
          <t>Mid-Late</t>
        </is>
      </c>
      <c r="P60" t="inlineStr">
        <is>
          <t>Mana</t>
        </is>
      </c>
      <c r="Q60" t="n">
        <v>4</v>
      </c>
      <c r="R60" t="inlineStr">
        <is>
          <t>No</t>
        </is>
      </c>
    </row>
    <row r="61" ht="15" customHeight="1">
      <c r="A61" t="inlineStr">
        <is>
          <t>60</t>
        </is>
      </c>
      <c r="B61" t="inlineStr">
        <is>
          <t>Hanabi</t>
        </is>
      </c>
      <c r="C61" t="inlineStr">
        <is>
          <t>Marksman</t>
        </is>
      </c>
      <c r="E61" t="n">
        <v>70</v>
      </c>
      <c r="F61" t="n">
        <v>80</v>
      </c>
      <c r="G61" t="n">
        <v>20</v>
      </c>
      <c r="H61" t="n">
        <v>10</v>
      </c>
      <c r="I61" t="inlineStr">
        <is>
          <t>Shield</t>
        </is>
      </c>
      <c r="J61" t="inlineStr">
        <is>
          <t>AoE CC</t>
        </is>
      </c>
      <c r="K61" t="inlineStr">
        <is>
          <t>Physical</t>
        </is>
      </c>
      <c r="L61" t="inlineStr">
        <is>
          <t>Ranged</t>
        </is>
      </c>
      <c r="M61" t="inlineStr">
        <is>
          <t>Gold Lane</t>
        </is>
      </c>
      <c r="O61" t="inlineStr">
        <is>
          <t>Late</t>
        </is>
      </c>
      <c r="P61" t="inlineStr">
        <is>
          <t>Mana</t>
        </is>
      </c>
      <c r="Q61" t="n">
        <v>5</v>
      </c>
      <c r="R61" t="inlineStr">
        <is>
          <t>No</t>
        </is>
      </c>
    </row>
    <row r="62" ht="15" customHeight="1">
      <c r="A62" t="inlineStr">
        <is>
          <t>61</t>
        </is>
      </c>
      <c r="B62" t="inlineStr">
        <is>
          <t>Chang'e</t>
        </is>
      </c>
      <c r="C62" t="inlineStr">
        <is>
          <t>Mage</t>
        </is>
      </c>
      <c r="E62" t="n">
        <v>80</v>
      </c>
      <c r="F62" t="n">
        <v>20</v>
      </c>
      <c r="G62" t="n">
        <v>40</v>
      </c>
      <c r="H62" t="n">
        <v>30</v>
      </c>
      <c r="I62" t="inlineStr">
        <is>
          <t>Poke</t>
        </is>
      </c>
      <c r="J62" t="inlineStr">
        <is>
          <t>DPS</t>
        </is>
      </c>
      <c r="K62" t="inlineStr">
        <is>
          <t>Magic</t>
        </is>
      </c>
      <c r="L62" t="inlineStr">
        <is>
          <t>Ranged</t>
        </is>
      </c>
      <c r="M62" t="inlineStr">
        <is>
          <t>Mid Lane</t>
        </is>
      </c>
      <c r="O62" t="inlineStr">
        <is>
          <t>Mid</t>
        </is>
      </c>
      <c r="P62" t="inlineStr">
        <is>
          <t>Mana</t>
        </is>
      </c>
      <c r="Q62" t="n">
        <v>3</v>
      </c>
      <c r="R62" t="inlineStr">
        <is>
          <t>No</t>
        </is>
      </c>
    </row>
    <row r="63" ht="15" customHeight="1">
      <c r="A63" t="inlineStr">
        <is>
          <t>62</t>
        </is>
      </c>
      <c r="B63" t="inlineStr">
        <is>
          <t>Kaja</t>
        </is>
      </c>
      <c r="C63" t="inlineStr">
        <is>
          <t>Support</t>
        </is>
      </c>
      <c r="D63" t="inlineStr">
        <is>
          <t>Fighter</t>
        </is>
      </c>
      <c r="E63" t="n">
        <v>60</v>
      </c>
      <c r="F63" t="n">
        <v>60</v>
      </c>
      <c r="G63" t="n">
        <v>30</v>
      </c>
      <c r="H63" t="n">
        <v>70</v>
      </c>
      <c r="I63" t="inlineStr">
        <is>
          <t>Targeted CC</t>
        </is>
      </c>
      <c r="J63" t="inlineStr">
        <is>
          <t>Burst</t>
        </is>
      </c>
      <c r="K63" t="inlineStr">
        <is>
          <t>Magic</t>
        </is>
      </c>
      <c r="L63" t="inlineStr">
        <is>
          <t>Melee</t>
        </is>
      </c>
      <c r="M63" t="inlineStr">
        <is>
          <t>Roaming</t>
        </is>
      </c>
      <c r="O63" t="inlineStr">
        <is>
          <t>Early-Mid</t>
        </is>
      </c>
      <c r="P63" t="inlineStr">
        <is>
          <t>Mana</t>
        </is>
      </c>
      <c r="Q63" t="n">
        <v>2</v>
      </c>
      <c r="R63" t="inlineStr">
        <is>
          <t>No</t>
        </is>
      </c>
    </row>
    <row r="64" ht="15" customHeight="1">
      <c r="A64" t="inlineStr">
        <is>
          <t>63</t>
        </is>
      </c>
      <c r="B64" t="inlineStr">
        <is>
          <t>Selena</t>
        </is>
      </c>
      <c r="C64" t="inlineStr">
        <is>
          <t>Assassin</t>
        </is>
      </c>
      <c r="D64" t="inlineStr">
        <is>
          <t>Mage</t>
        </is>
      </c>
      <c r="E64" t="n">
        <v>70</v>
      </c>
      <c r="F64" t="n">
        <v>100</v>
      </c>
      <c r="G64" t="n">
        <v>30</v>
      </c>
      <c r="H64" t="n">
        <v>70</v>
      </c>
      <c r="I64" t="inlineStr">
        <is>
          <t>Vision</t>
        </is>
      </c>
      <c r="J64" t="inlineStr">
        <is>
          <t>Burst</t>
        </is>
      </c>
      <c r="K64" t="inlineStr">
        <is>
          <t>Magic</t>
        </is>
      </c>
      <c r="L64" t="inlineStr">
        <is>
          <t>Hybrid</t>
        </is>
      </c>
      <c r="M64" t="inlineStr">
        <is>
          <t>Mid Lane</t>
        </is>
      </c>
      <c r="N64" t="inlineStr">
        <is>
          <t>Roaming</t>
        </is>
      </c>
      <c r="O64" t="inlineStr">
        <is>
          <t>Early-Mid</t>
        </is>
      </c>
      <c r="P64" t="inlineStr">
        <is>
          <t>Mana</t>
        </is>
      </c>
      <c r="Q64" t="n">
        <v>2</v>
      </c>
      <c r="R64" t="inlineStr">
        <is>
          <t>No</t>
        </is>
      </c>
    </row>
    <row r="65" ht="15" customHeight="1">
      <c r="A65" t="inlineStr">
        <is>
          <t>64</t>
        </is>
      </c>
      <c r="B65" t="inlineStr">
        <is>
          <t>Aldous</t>
        </is>
      </c>
      <c r="C65" t="inlineStr">
        <is>
          <t>Fighter</t>
        </is>
      </c>
      <c r="E65" t="n">
        <v>30</v>
      </c>
      <c r="F65" t="n">
        <v>50</v>
      </c>
      <c r="G65" t="n">
        <v>70</v>
      </c>
      <c r="H65" t="n">
        <v>60</v>
      </c>
      <c r="I65" t="inlineStr">
        <is>
          <t>Global Dive</t>
        </is>
      </c>
      <c r="J65" t="inlineStr">
        <is>
          <t>Burst</t>
        </is>
      </c>
      <c r="K65" t="inlineStr">
        <is>
          <t>Physical</t>
        </is>
      </c>
      <c r="L65" t="inlineStr">
        <is>
          <t>Melee</t>
        </is>
      </c>
      <c r="M65" t="inlineStr">
        <is>
          <t>EXP Lane</t>
        </is>
      </c>
      <c r="O65" t="inlineStr">
        <is>
          <t>Late</t>
        </is>
      </c>
      <c r="P65" t="inlineStr">
        <is>
          <t>Mana</t>
        </is>
      </c>
      <c r="Q65" t="n">
        <v>5</v>
      </c>
      <c r="R65" t="inlineStr">
        <is>
          <t>No</t>
        </is>
      </c>
    </row>
    <row r="66" ht="15" customHeight="1">
      <c r="A66" t="inlineStr">
        <is>
          <t>65</t>
        </is>
      </c>
      <c r="B66" t="inlineStr">
        <is>
          <t>Claude</t>
        </is>
      </c>
      <c r="C66" t="inlineStr">
        <is>
          <t>Marksman</t>
        </is>
      </c>
      <c r="E66" t="n">
        <v>60</v>
      </c>
      <c r="F66" t="n">
        <v>10</v>
      </c>
      <c r="G66" t="n">
        <v>30</v>
      </c>
      <c r="H66" t="n">
        <v>60</v>
      </c>
      <c r="I66" t="inlineStr">
        <is>
          <t>High Mobility</t>
        </is>
      </c>
      <c r="J66" t="inlineStr">
        <is>
          <t>AoE Damage</t>
        </is>
      </c>
      <c r="K66" t="inlineStr">
        <is>
          <t>Physical</t>
        </is>
      </c>
      <c r="L66" t="inlineStr">
        <is>
          <t>Ranged</t>
        </is>
      </c>
      <c r="M66" t="inlineStr">
        <is>
          <t>Gold Lane</t>
        </is>
      </c>
      <c r="O66" t="inlineStr">
        <is>
          <t>Late</t>
        </is>
      </c>
      <c r="P66" t="inlineStr">
        <is>
          <t>Mana</t>
        </is>
      </c>
      <c r="Q66" t="n">
        <v>5</v>
      </c>
      <c r="R66" t="inlineStr">
        <is>
          <t>No</t>
        </is>
      </c>
    </row>
    <row r="67" ht="15" customHeight="1">
      <c r="A67" t="inlineStr">
        <is>
          <t>66</t>
        </is>
      </c>
      <c r="B67" t="inlineStr">
        <is>
          <t>Vale</t>
        </is>
      </c>
      <c r="C67" t="inlineStr">
        <is>
          <t>Mage</t>
        </is>
      </c>
      <c r="E67" t="n">
        <v>100</v>
      </c>
      <c r="F67" t="n">
        <v>70</v>
      </c>
      <c r="G67" t="n">
        <v>20</v>
      </c>
      <c r="H67" t="n">
        <v>20</v>
      </c>
      <c r="I67" t="inlineStr">
        <is>
          <t>AoE Damage</t>
        </is>
      </c>
      <c r="J67" t="inlineStr">
        <is>
          <t>Hard CC</t>
        </is>
      </c>
      <c r="K67" t="inlineStr">
        <is>
          <t>Magic</t>
        </is>
      </c>
      <c r="L67" t="inlineStr">
        <is>
          <t>Ranged</t>
        </is>
      </c>
      <c r="M67" t="inlineStr">
        <is>
          <t>Mid Lane</t>
        </is>
      </c>
      <c r="O67" t="inlineStr">
        <is>
          <t>Mid</t>
        </is>
      </c>
      <c r="P67" t="inlineStr">
        <is>
          <t>Mana</t>
        </is>
      </c>
      <c r="Q67" t="n">
        <v>3</v>
      </c>
      <c r="R67" t="inlineStr">
        <is>
          <t>No</t>
        </is>
      </c>
    </row>
    <row r="68" ht="15" customHeight="1">
      <c r="A68" t="inlineStr">
        <is>
          <t>67</t>
        </is>
      </c>
      <c r="B68" t="inlineStr">
        <is>
          <t>Leomord</t>
        </is>
      </c>
      <c r="C68" t="inlineStr">
        <is>
          <t>Fighter</t>
        </is>
      </c>
      <c r="E68" t="n">
        <v>50</v>
      </c>
      <c r="F68" t="n">
        <v>30</v>
      </c>
      <c r="G68" t="n">
        <v>70</v>
      </c>
      <c r="H68" t="n">
        <v>60</v>
      </c>
      <c r="I68" t="inlineStr">
        <is>
          <t>Shield</t>
        </is>
      </c>
      <c r="J68" t="inlineStr">
        <is>
          <t>DPS</t>
        </is>
      </c>
      <c r="K68" t="inlineStr">
        <is>
          <t>Physical</t>
        </is>
      </c>
      <c r="L68" t="inlineStr">
        <is>
          <t>Melee</t>
        </is>
      </c>
      <c r="M68" t="inlineStr">
        <is>
          <t>Jungle</t>
        </is>
      </c>
      <c r="O68" t="inlineStr">
        <is>
          <t>Mid</t>
        </is>
      </c>
      <c r="P68" t="inlineStr">
        <is>
          <t>None</t>
        </is>
      </c>
      <c r="Q68" t="n">
        <v>3</v>
      </c>
      <c r="R68" t="inlineStr">
        <is>
          <t>No</t>
        </is>
      </c>
    </row>
    <row r="69" ht="15" customHeight="1">
      <c r="A69" t="inlineStr">
        <is>
          <t>68</t>
        </is>
      </c>
      <c r="B69" t="inlineStr">
        <is>
          <t>Lunox</t>
        </is>
      </c>
      <c r="C69" t="inlineStr">
        <is>
          <t>Mage</t>
        </is>
      </c>
      <c r="E69" t="n">
        <v>90</v>
      </c>
      <c r="F69" t="n">
        <v>20</v>
      </c>
      <c r="G69" t="n">
        <v>30</v>
      </c>
      <c r="H69" t="n">
        <v>90</v>
      </c>
      <c r="I69" t="inlineStr">
        <is>
          <t>Burst</t>
        </is>
      </c>
      <c r="J69" t="inlineStr">
        <is>
          <t>I-Frame</t>
        </is>
      </c>
      <c r="K69" t="inlineStr">
        <is>
          <t>Magic</t>
        </is>
      </c>
      <c r="L69" t="inlineStr">
        <is>
          <t>Ranged</t>
        </is>
      </c>
      <c r="M69" t="inlineStr">
        <is>
          <t>Mid Lane</t>
        </is>
      </c>
      <c r="O69" t="inlineStr">
        <is>
          <t>Late</t>
        </is>
      </c>
      <c r="P69" t="inlineStr">
        <is>
          <t>Mana</t>
        </is>
      </c>
      <c r="Q69" t="n">
        <v>5</v>
      </c>
      <c r="R69" t="inlineStr">
        <is>
          <t>No</t>
        </is>
      </c>
    </row>
    <row r="70" ht="15" customHeight="1">
      <c r="A70" t="inlineStr">
        <is>
          <t>69</t>
        </is>
      </c>
      <c r="B70" t="inlineStr">
        <is>
          <t>Hanzo</t>
        </is>
      </c>
      <c r="C70" t="inlineStr">
        <is>
          <t>Assassin</t>
        </is>
      </c>
      <c r="E70" t="n">
        <v>80</v>
      </c>
      <c r="F70" t="n">
        <v>20</v>
      </c>
      <c r="G70" t="n">
        <v>70</v>
      </c>
      <c r="H70" t="n">
        <v>80</v>
      </c>
      <c r="I70" t="inlineStr">
        <is>
          <t>Burst</t>
        </is>
      </c>
      <c r="J70" t="inlineStr">
        <is>
          <t>Vision</t>
        </is>
      </c>
      <c r="K70" t="inlineStr">
        <is>
          <t>Physical</t>
        </is>
      </c>
      <c r="L70" t="inlineStr">
        <is>
          <t>Melee</t>
        </is>
      </c>
      <c r="M70" t="inlineStr">
        <is>
          <t>Jungle</t>
        </is>
      </c>
      <c r="O70" t="inlineStr">
        <is>
          <t>Mid</t>
        </is>
      </c>
      <c r="P70" t="inlineStr">
        <is>
          <t>Energy</t>
        </is>
      </c>
      <c r="Q70" t="n">
        <v>3</v>
      </c>
      <c r="R70" t="inlineStr">
        <is>
          <t>No</t>
        </is>
      </c>
    </row>
    <row r="71" ht="15" customHeight="1">
      <c r="A71" t="inlineStr">
        <is>
          <t>70</t>
        </is>
      </c>
      <c r="B71" t="inlineStr">
        <is>
          <t>Belerick</t>
        </is>
      </c>
      <c r="C71" t="inlineStr">
        <is>
          <t>Tank</t>
        </is>
      </c>
      <c r="E71" t="n">
        <v>40</v>
      </c>
      <c r="F71" t="n">
        <v>100</v>
      </c>
      <c r="G71" t="n">
        <v>90</v>
      </c>
      <c r="H71" t="n">
        <v>10</v>
      </c>
      <c r="I71" t="inlineStr">
        <is>
          <t>Sustain</t>
        </is>
      </c>
      <c r="J71" t="inlineStr">
        <is>
          <t>AoE CC</t>
        </is>
      </c>
      <c r="K71" t="inlineStr">
        <is>
          <t>Magic</t>
        </is>
      </c>
      <c r="L71" t="inlineStr">
        <is>
          <t>Melee</t>
        </is>
      </c>
      <c r="M71" t="inlineStr">
        <is>
          <t>Roaming</t>
        </is>
      </c>
      <c r="O71" t="inlineStr">
        <is>
          <t>Mid-Late</t>
        </is>
      </c>
      <c r="P71" t="inlineStr">
        <is>
          <t>Mana</t>
        </is>
      </c>
      <c r="Q71" t="n">
        <v>4</v>
      </c>
      <c r="R71" t="inlineStr">
        <is>
          <t>No</t>
        </is>
      </c>
    </row>
    <row r="72" ht="15" customHeight="1">
      <c r="A72" t="inlineStr">
        <is>
          <t>71</t>
        </is>
      </c>
      <c r="B72" t="inlineStr">
        <is>
          <t>Kimmy</t>
        </is>
      </c>
      <c r="C72" t="inlineStr">
        <is>
          <t>Marksman</t>
        </is>
      </c>
      <c r="D72" t="inlineStr">
        <is>
          <t>Mage</t>
        </is>
      </c>
      <c r="E72" t="n">
        <v>100</v>
      </c>
      <c r="F72" t="n">
        <v>10</v>
      </c>
      <c r="G72" t="n">
        <v>20</v>
      </c>
      <c r="H72" t="n">
        <v>90</v>
      </c>
      <c r="I72" t="inlineStr">
        <is>
          <t>DPS</t>
        </is>
      </c>
      <c r="J72" t="inlineStr">
        <is>
          <t>Poke</t>
        </is>
      </c>
      <c r="K72" t="inlineStr">
        <is>
          <t>Magic</t>
        </is>
      </c>
      <c r="L72" t="inlineStr">
        <is>
          <t>Ranged</t>
        </is>
      </c>
      <c r="M72" t="inlineStr">
        <is>
          <t>Mid Lane</t>
        </is>
      </c>
      <c r="N72" t="inlineStr">
        <is>
          <t>Gold Lane</t>
        </is>
      </c>
      <c r="O72" t="inlineStr">
        <is>
          <t>Mid</t>
        </is>
      </c>
      <c r="P72" t="inlineStr">
        <is>
          <t>None</t>
        </is>
      </c>
      <c r="Q72" t="n">
        <v>3</v>
      </c>
      <c r="R72" t="inlineStr">
        <is>
          <t>No</t>
        </is>
      </c>
    </row>
    <row r="73" ht="15" customHeight="1">
      <c r="A73" t="inlineStr">
        <is>
          <t>72</t>
        </is>
      </c>
      <c r="B73" t="inlineStr">
        <is>
          <t>Thamuz</t>
        </is>
      </c>
      <c r="C73" t="inlineStr">
        <is>
          <t>Fighter</t>
        </is>
      </c>
      <c r="E73" t="n">
        <v>40</v>
      </c>
      <c r="F73" t="n">
        <v>20</v>
      </c>
      <c r="G73" t="n">
        <v>70</v>
      </c>
      <c r="H73" t="n">
        <v>40</v>
      </c>
      <c r="I73" t="inlineStr">
        <is>
          <t>Sustain</t>
        </is>
      </c>
      <c r="J73" t="inlineStr">
        <is>
          <t>DPS</t>
        </is>
      </c>
      <c r="K73" t="inlineStr">
        <is>
          <t>Physical</t>
        </is>
      </c>
      <c r="L73" t="inlineStr">
        <is>
          <t>Melee</t>
        </is>
      </c>
      <c r="M73" t="inlineStr">
        <is>
          <t>EXP Lane</t>
        </is>
      </c>
      <c r="O73" t="inlineStr">
        <is>
          <t>Mid</t>
        </is>
      </c>
      <c r="P73" t="inlineStr">
        <is>
          <t>None</t>
        </is>
      </c>
      <c r="Q73" t="n">
        <v>3</v>
      </c>
      <c r="R73" t="inlineStr">
        <is>
          <t>No</t>
        </is>
      </c>
    </row>
    <row r="74" ht="15" customHeight="1">
      <c r="A74" t="inlineStr">
        <is>
          <t>73</t>
        </is>
      </c>
      <c r="B74" t="inlineStr">
        <is>
          <t>Harith</t>
        </is>
      </c>
      <c r="C74" t="inlineStr">
        <is>
          <t>Mage</t>
        </is>
      </c>
      <c r="E74" t="n">
        <v>50</v>
      </c>
      <c r="F74" t="n">
        <v>10</v>
      </c>
      <c r="G74" t="n">
        <v>40</v>
      </c>
      <c r="H74" t="n">
        <v>50</v>
      </c>
      <c r="I74" t="inlineStr">
        <is>
          <t>Shield</t>
        </is>
      </c>
      <c r="J74" t="inlineStr">
        <is>
          <t>Dash/Blink</t>
        </is>
      </c>
      <c r="K74" t="inlineStr">
        <is>
          <t>Magic</t>
        </is>
      </c>
      <c r="L74" t="inlineStr">
        <is>
          <t>Ranged</t>
        </is>
      </c>
      <c r="M74" t="inlineStr">
        <is>
          <t>Gold Lane</t>
        </is>
      </c>
      <c r="N74" t="inlineStr">
        <is>
          <t>Jungle</t>
        </is>
      </c>
      <c r="O74" t="inlineStr">
        <is>
          <t>Mid</t>
        </is>
      </c>
      <c r="P74" t="inlineStr">
        <is>
          <t>Mana</t>
        </is>
      </c>
      <c r="Q74" t="n">
        <v>3</v>
      </c>
      <c r="R74" t="inlineStr">
        <is>
          <t>No</t>
        </is>
      </c>
    </row>
    <row r="75" ht="15" customHeight="1">
      <c r="A75" t="inlineStr">
        <is>
          <t>74</t>
        </is>
      </c>
      <c r="B75" t="inlineStr">
        <is>
          <t>Minsitthar</t>
        </is>
      </c>
      <c r="C75" t="inlineStr">
        <is>
          <t>Fighter</t>
        </is>
      </c>
      <c r="E75" t="n">
        <v>40</v>
      </c>
      <c r="F75" t="n">
        <v>80</v>
      </c>
      <c r="G75" t="n">
        <v>60</v>
      </c>
      <c r="H75" t="n">
        <v>40</v>
      </c>
      <c r="I75" t="inlineStr">
        <is>
          <t>Hard CC</t>
        </is>
      </c>
      <c r="J75" t="inlineStr">
        <is>
          <t>AoE CC</t>
        </is>
      </c>
      <c r="K75" t="inlineStr">
        <is>
          <t>Physical</t>
        </is>
      </c>
      <c r="L75" t="inlineStr">
        <is>
          <t>Melee</t>
        </is>
      </c>
      <c r="M75" t="inlineStr">
        <is>
          <t>EXP Lane</t>
        </is>
      </c>
      <c r="N75" t="inlineStr">
        <is>
          <t>Roaming</t>
        </is>
      </c>
      <c r="O75" t="inlineStr">
        <is>
          <t>Mid</t>
        </is>
      </c>
      <c r="P75" t="inlineStr">
        <is>
          <t>Mana</t>
        </is>
      </c>
      <c r="Q75" t="n">
        <v>3</v>
      </c>
      <c r="R75" t="inlineStr">
        <is>
          <t>No</t>
        </is>
      </c>
    </row>
    <row r="76" ht="15" customHeight="1">
      <c r="A76" t="inlineStr">
        <is>
          <t>75</t>
        </is>
      </c>
      <c r="B76" t="inlineStr">
        <is>
          <t>Kadita</t>
        </is>
      </c>
      <c r="C76" t="inlineStr">
        <is>
          <t>Mage</t>
        </is>
      </c>
      <c r="D76" t="inlineStr">
        <is>
          <t>Assassin</t>
        </is>
      </c>
      <c r="E76" t="n">
        <v>80</v>
      </c>
      <c r="F76" t="n">
        <v>80</v>
      </c>
      <c r="G76" t="n">
        <v>40</v>
      </c>
      <c r="H76" t="n">
        <v>60</v>
      </c>
      <c r="I76" t="inlineStr">
        <is>
          <t>Burst</t>
        </is>
      </c>
      <c r="J76" t="inlineStr">
        <is>
          <t>I-Frame</t>
        </is>
      </c>
      <c r="K76" t="inlineStr">
        <is>
          <t>Magic</t>
        </is>
      </c>
      <c r="L76" t="inlineStr">
        <is>
          <t>Ranged</t>
        </is>
      </c>
      <c r="M76" t="inlineStr">
        <is>
          <t>Mid Lane</t>
        </is>
      </c>
      <c r="O76" t="inlineStr">
        <is>
          <t>Early-Mid</t>
        </is>
      </c>
      <c r="P76" t="inlineStr">
        <is>
          <t>Mana</t>
        </is>
      </c>
      <c r="Q76" t="n">
        <v>2</v>
      </c>
      <c r="R76" t="inlineStr">
        <is>
          <t>No</t>
        </is>
      </c>
    </row>
    <row r="77" ht="15" customHeight="1">
      <c r="A77" t="inlineStr">
        <is>
          <t>76</t>
        </is>
      </c>
      <c r="B77" t="inlineStr">
        <is>
          <t>Faramis</t>
        </is>
      </c>
      <c r="C77" t="inlineStr">
        <is>
          <t>Support</t>
        </is>
      </c>
      <c r="D77" t="inlineStr">
        <is>
          <t>Mage</t>
        </is>
      </c>
      <c r="E77" t="n">
        <v>60</v>
      </c>
      <c r="F77" t="n">
        <v>10</v>
      </c>
      <c r="G77" t="n">
        <v>40</v>
      </c>
      <c r="H77" t="n">
        <v>40</v>
      </c>
      <c r="I77" t="inlineStr">
        <is>
          <t>Healing</t>
        </is>
      </c>
      <c r="J77" t="inlineStr">
        <is>
          <t>AoE Damage</t>
        </is>
      </c>
      <c r="K77" t="inlineStr">
        <is>
          <t>Magic</t>
        </is>
      </c>
      <c r="L77" t="inlineStr">
        <is>
          <t>Ranged</t>
        </is>
      </c>
      <c r="M77" t="inlineStr">
        <is>
          <t>Mid Lane</t>
        </is>
      </c>
      <c r="N77" t="inlineStr">
        <is>
          <t>Roaming</t>
        </is>
      </c>
      <c r="O77" t="inlineStr">
        <is>
          <t>Late</t>
        </is>
      </c>
      <c r="P77" t="inlineStr">
        <is>
          <t>Mana</t>
        </is>
      </c>
      <c r="Q77" t="n">
        <v>5</v>
      </c>
      <c r="R77" t="inlineStr">
        <is>
          <t>No</t>
        </is>
      </c>
    </row>
    <row r="78" ht="15" customHeight="1">
      <c r="A78" t="inlineStr">
        <is>
          <t>77</t>
        </is>
      </c>
      <c r="B78" t="inlineStr">
        <is>
          <t>Badang</t>
        </is>
      </c>
      <c r="C78" t="inlineStr">
        <is>
          <t>Fighter</t>
        </is>
      </c>
      <c r="E78" t="n">
        <v>70</v>
      </c>
      <c r="F78" t="n">
        <v>50</v>
      </c>
      <c r="G78" t="n">
        <v>40</v>
      </c>
      <c r="H78" t="n">
        <v>10</v>
      </c>
      <c r="I78" t="inlineStr">
        <is>
          <t>Hard CC</t>
        </is>
      </c>
      <c r="J78" t="inlineStr">
        <is>
          <t>Burst</t>
        </is>
      </c>
      <c r="K78" t="inlineStr">
        <is>
          <t>Physical</t>
        </is>
      </c>
      <c r="L78" t="inlineStr">
        <is>
          <t>Melee</t>
        </is>
      </c>
      <c r="M78" t="inlineStr">
        <is>
          <t>Roaming</t>
        </is>
      </c>
      <c r="N78" t="inlineStr">
        <is>
          <t>EXP Lane</t>
        </is>
      </c>
      <c r="O78" t="inlineStr">
        <is>
          <t>Early-Mid</t>
        </is>
      </c>
      <c r="P78" t="inlineStr">
        <is>
          <t>None</t>
        </is>
      </c>
      <c r="Q78" t="n">
        <v>2</v>
      </c>
      <c r="R78" t="inlineStr">
        <is>
          <t>No</t>
        </is>
      </c>
    </row>
    <row r="79" ht="15" customHeight="1">
      <c r="A79" t="inlineStr">
        <is>
          <t>78</t>
        </is>
      </c>
      <c r="B79" t="inlineStr">
        <is>
          <t>Khufra</t>
        </is>
      </c>
      <c r="C79" t="inlineStr">
        <is>
          <t>Tank</t>
        </is>
      </c>
      <c r="E79" t="n">
        <v>20</v>
      </c>
      <c r="F79" t="n">
        <v>100</v>
      </c>
      <c r="G79" t="n">
        <v>90</v>
      </c>
      <c r="H79" t="n">
        <v>50</v>
      </c>
      <c r="I79" t="inlineStr">
        <is>
          <t>Hard CC</t>
        </is>
      </c>
      <c r="J79" t="inlineStr">
        <is>
          <t>Damage Reduction</t>
        </is>
      </c>
      <c r="K79" t="inlineStr">
        <is>
          <t>Mixed</t>
        </is>
      </c>
      <c r="L79" t="inlineStr">
        <is>
          <t>Hybrid</t>
        </is>
      </c>
      <c r="M79" t="inlineStr">
        <is>
          <t>Roaming</t>
        </is>
      </c>
      <c r="O79" t="inlineStr">
        <is>
          <t>Early-Mid</t>
        </is>
      </c>
      <c r="P79" t="inlineStr">
        <is>
          <t>Mana</t>
        </is>
      </c>
      <c r="Q79" t="n">
        <v>2</v>
      </c>
      <c r="R79" t="inlineStr">
        <is>
          <t>No</t>
        </is>
      </c>
    </row>
    <row r="80" ht="15" customHeight="1">
      <c r="A80" t="inlineStr">
        <is>
          <t>79</t>
        </is>
      </c>
      <c r="B80" t="inlineStr">
        <is>
          <t>Granger</t>
        </is>
      </c>
      <c r="C80" t="inlineStr">
        <is>
          <t>Marksman</t>
        </is>
      </c>
      <c r="E80" t="n">
        <v>70</v>
      </c>
      <c r="F80" t="n">
        <v>10</v>
      </c>
      <c r="G80" t="n">
        <v>30</v>
      </c>
      <c r="H80" t="n">
        <v>40</v>
      </c>
      <c r="I80" t="inlineStr">
        <is>
          <t>Burst</t>
        </is>
      </c>
      <c r="J80" t="inlineStr">
        <is>
          <t>Dash/Blink</t>
        </is>
      </c>
      <c r="K80" t="inlineStr">
        <is>
          <t>Physical</t>
        </is>
      </c>
      <c r="L80" t="inlineStr">
        <is>
          <t>Ranged</t>
        </is>
      </c>
      <c r="M80" t="inlineStr">
        <is>
          <t>Gold Lane</t>
        </is>
      </c>
      <c r="O80" t="inlineStr">
        <is>
          <t>Mid-Late</t>
        </is>
      </c>
      <c r="P80" t="inlineStr">
        <is>
          <t>Energy</t>
        </is>
      </c>
      <c r="Q80" t="n">
        <v>4</v>
      </c>
      <c r="R80" t="inlineStr">
        <is>
          <t>No</t>
        </is>
      </c>
    </row>
    <row r="81" ht="15" customHeight="1">
      <c r="A81" t="inlineStr">
        <is>
          <t>80</t>
        </is>
      </c>
      <c r="B81" t="inlineStr">
        <is>
          <t>Guinevere</t>
        </is>
      </c>
      <c r="C81" t="inlineStr">
        <is>
          <t>Fighter</t>
        </is>
      </c>
      <c r="E81" t="n">
        <v>50</v>
      </c>
      <c r="F81" t="n">
        <v>70</v>
      </c>
      <c r="G81" t="n">
        <v>40</v>
      </c>
      <c r="H81" t="n">
        <v>40</v>
      </c>
      <c r="I81" t="inlineStr">
        <is>
          <t>Hard CC</t>
        </is>
      </c>
      <c r="J81" t="inlineStr">
        <is>
          <t>Burst</t>
        </is>
      </c>
      <c r="K81" t="inlineStr">
        <is>
          <t>Magic</t>
        </is>
      </c>
      <c r="L81" t="inlineStr">
        <is>
          <t>Melee</t>
        </is>
      </c>
      <c r="M81" t="inlineStr">
        <is>
          <t>EXP Lane</t>
        </is>
      </c>
      <c r="O81" t="inlineStr">
        <is>
          <t>Mid</t>
        </is>
      </c>
      <c r="P81" t="inlineStr">
        <is>
          <t>None</t>
        </is>
      </c>
      <c r="Q81" t="n">
        <v>3</v>
      </c>
      <c r="R81" t="inlineStr">
        <is>
          <t>No</t>
        </is>
      </c>
    </row>
    <row r="82" ht="15" customHeight="1">
      <c r="A82" t="inlineStr">
        <is>
          <t>81</t>
        </is>
      </c>
      <c r="B82" t="inlineStr">
        <is>
          <t>Esmeralda</t>
        </is>
      </c>
      <c r="C82" t="inlineStr">
        <is>
          <t>Mage</t>
        </is>
      </c>
      <c r="E82" t="n">
        <v>30</v>
      </c>
      <c r="F82" t="n">
        <v>60</v>
      </c>
      <c r="G82" t="n">
        <v>90</v>
      </c>
      <c r="H82" t="n">
        <v>60</v>
      </c>
      <c r="I82" t="inlineStr">
        <is>
          <t>Shield</t>
        </is>
      </c>
      <c r="J82" t="inlineStr">
        <is>
          <t>Sustain</t>
        </is>
      </c>
      <c r="K82" t="inlineStr">
        <is>
          <t>Mixed</t>
        </is>
      </c>
      <c r="L82" t="inlineStr">
        <is>
          <t>Melee</t>
        </is>
      </c>
      <c r="M82" t="inlineStr">
        <is>
          <t>EXP Lane</t>
        </is>
      </c>
      <c r="O82" t="inlineStr">
        <is>
          <t>Mid</t>
        </is>
      </c>
      <c r="P82" t="inlineStr">
        <is>
          <t>Mana</t>
        </is>
      </c>
      <c r="Q82" t="n">
        <v>3</v>
      </c>
      <c r="R82" t="inlineStr">
        <is>
          <t>No</t>
        </is>
      </c>
    </row>
    <row r="83" ht="15" customHeight="1">
      <c r="A83" t="inlineStr">
        <is>
          <t>82</t>
        </is>
      </c>
      <c r="B83" t="inlineStr">
        <is>
          <t>Terizla</t>
        </is>
      </c>
      <c r="C83" t="inlineStr">
        <is>
          <t>Fighter</t>
        </is>
      </c>
      <c r="D83" t="inlineStr">
        <is>
          <t>Tank</t>
        </is>
      </c>
      <c r="E83" t="n">
        <v>30</v>
      </c>
      <c r="F83" t="n">
        <v>40</v>
      </c>
      <c r="G83" t="n">
        <v>90</v>
      </c>
      <c r="H83" t="n">
        <v>20</v>
      </c>
      <c r="I83" t="inlineStr">
        <is>
          <t>Damage Reduction</t>
        </is>
      </c>
      <c r="J83" t="inlineStr">
        <is>
          <t>AoE Damage</t>
        </is>
      </c>
      <c r="K83" t="inlineStr">
        <is>
          <t>Physical</t>
        </is>
      </c>
      <c r="L83" t="inlineStr">
        <is>
          <t>Melee</t>
        </is>
      </c>
      <c r="M83" t="inlineStr">
        <is>
          <t>EXP Lane</t>
        </is>
      </c>
      <c r="O83" t="inlineStr">
        <is>
          <t>Mid</t>
        </is>
      </c>
      <c r="P83" t="inlineStr">
        <is>
          <t>None</t>
        </is>
      </c>
      <c r="Q83" t="n">
        <v>3</v>
      </c>
      <c r="R83" t="inlineStr">
        <is>
          <t>No</t>
        </is>
      </c>
    </row>
    <row r="84" ht="15" customHeight="1">
      <c r="A84" t="inlineStr">
        <is>
          <t>83</t>
        </is>
      </c>
      <c r="B84" t="inlineStr">
        <is>
          <t>X.Borg</t>
        </is>
      </c>
      <c r="C84" t="inlineStr">
        <is>
          <t>Fighter</t>
        </is>
      </c>
      <c r="E84" t="n">
        <v>30</v>
      </c>
      <c r="F84" t="n">
        <v>10</v>
      </c>
      <c r="G84" t="n">
        <v>80</v>
      </c>
      <c r="H84" t="n">
        <v>40</v>
      </c>
      <c r="I84" t="inlineStr">
        <is>
          <t>True Damage</t>
        </is>
      </c>
      <c r="J84" t="inlineStr">
        <is>
          <t>Sustain</t>
        </is>
      </c>
      <c r="K84" t="inlineStr">
        <is>
          <t>Physical</t>
        </is>
      </c>
      <c r="L84" t="inlineStr">
        <is>
          <t>Hybrid</t>
        </is>
      </c>
      <c r="M84" t="inlineStr">
        <is>
          <t>EXP Lane</t>
        </is>
      </c>
      <c r="O84" t="inlineStr">
        <is>
          <t>Mid</t>
        </is>
      </c>
      <c r="P84" t="inlineStr">
        <is>
          <t>None</t>
        </is>
      </c>
      <c r="Q84" t="n">
        <v>3</v>
      </c>
      <c r="R84" t="inlineStr">
        <is>
          <t>No</t>
        </is>
      </c>
    </row>
    <row r="85" ht="15" customHeight="1">
      <c r="A85" t="inlineStr">
        <is>
          <t>84</t>
        </is>
      </c>
      <c r="B85" t="inlineStr">
        <is>
          <t>Ling</t>
        </is>
      </c>
      <c r="C85" t="inlineStr">
        <is>
          <t>Assassin</t>
        </is>
      </c>
      <c r="E85" t="n">
        <v>60</v>
      </c>
      <c r="F85" t="n">
        <v>30</v>
      </c>
      <c r="G85" t="n">
        <v>50</v>
      </c>
      <c r="H85" t="n">
        <v>70</v>
      </c>
      <c r="I85" t="inlineStr">
        <is>
          <t>High Mobility</t>
        </is>
      </c>
      <c r="J85" t="inlineStr">
        <is>
          <t>Burst</t>
        </is>
      </c>
      <c r="K85" t="inlineStr">
        <is>
          <t>Physical</t>
        </is>
      </c>
      <c r="L85" t="inlineStr">
        <is>
          <t>Melee</t>
        </is>
      </c>
      <c r="M85" t="inlineStr">
        <is>
          <t>Jungle</t>
        </is>
      </c>
      <c r="O85" t="inlineStr">
        <is>
          <t>Early-Mid</t>
        </is>
      </c>
      <c r="P85" t="inlineStr">
        <is>
          <t>Energy</t>
        </is>
      </c>
      <c r="Q85" t="n">
        <v>2</v>
      </c>
      <c r="R85" t="inlineStr">
        <is>
          <t>No</t>
        </is>
      </c>
    </row>
    <row r="86" ht="15" customHeight="1">
      <c r="A86" t="inlineStr">
        <is>
          <t>85</t>
        </is>
      </c>
      <c r="B86" t="inlineStr">
        <is>
          <t>Dyrroth</t>
        </is>
      </c>
      <c r="C86" t="inlineStr">
        <is>
          <t>Fighter</t>
        </is>
      </c>
      <c r="E86" t="n">
        <v>50</v>
      </c>
      <c r="F86" t="n">
        <v>20</v>
      </c>
      <c r="G86" t="n">
        <v>50</v>
      </c>
      <c r="H86" t="n">
        <v>40</v>
      </c>
      <c r="I86" t="inlineStr">
        <is>
          <t>Burst</t>
        </is>
      </c>
      <c r="J86" t="inlineStr">
        <is>
          <t>Sustain</t>
        </is>
      </c>
      <c r="K86" t="inlineStr">
        <is>
          <t>Physical</t>
        </is>
      </c>
      <c r="L86" t="inlineStr">
        <is>
          <t>Melee</t>
        </is>
      </c>
      <c r="M86" t="inlineStr">
        <is>
          <t>EXP Lane</t>
        </is>
      </c>
      <c r="N86" t="inlineStr">
        <is>
          <t>Jungle</t>
        </is>
      </c>
      <c r="O86" t="inlineStr">
        <is>
          <t>Mid</t>
        </is>
      </c>
      <c r="P86" t="inlineStr">
        <is>
          <t>None</t>
        </is>
      </c>
      <c r="Q86" t="n">
        <v>3</v>
      </c>
      <c r="R86" t="inlineStr">
        <is>
          <t>No</t>
        </is>
      </c>
    </row>
    <row r="87" ht="15" customHeight="1">
      <c r="A87" t="inlineStr">
        <is>
          <t>86</t>
        </is>
      </c>
      <c r="B87" t="inlineStr">
        <is>
          <t>Lylia</t>
        </is>
      </c>
      <c r="C87" t="inlineStr">
        <is>
          <t>Mage</t>
        </is>
      </c>
      <c r="E87" t="n">
        <v>100</v>
      </c>
      <c r="F87" t="n">
        <v>20</v>
      </c>
      <c r="G87" t="n">
        <v>50</v>
      </c>
      <c r="H87" t="n">
        <v>50</v>
      </c>
      <c r="I87" t="inlineStr">
        <is>
          <t>Poke</t>
        </is>
      </c>
      <c r="J87" t="inlineStr">
        <is>
          <t>AoE Damage</t>
        </is>
      </c>
      <c r="K87" t="inlineStr">
        <is>
          <t>Magic</t>
        </is>
      </c>
      <c r="L87" t="inlineStr">
        <is>
          <t>Ranged</t>
        </is>
      </c>
      <c r="M87" t="inlineStr">
        <is>
          <t>Mid Lane</t>
        </is>
      </c>
      <c r="O87" t="inlineStr">
        <is>
          <t>Mid</t>
        </is>
      </c>
      <c r="P87" t="inlineStr">
        <is>
          <t>Mana</t>
        </is>
      </c>
      <c r="Q87" t="n">
        <v>3</v>
      </c>
      <c r="R87" t="inlineStr">
        <is>
          <t>No</t>
        </is>
      </c>
    </row>
    <row r="88" ht="15" customHeight="1">
      <c r="A88" t="inlineStr">
        <is>
          <t>87</t>
        </is>
      </c>
      <c r="B88" t="inlineStr">
        <is>
          <t>Baxia</t>
        </is>
      </c>
      <c r="C88" t="inlineStr">
        <is>
          <t>Tank</t>
        </is>
      </c>
      <c r="E88" t="n">
        <v>30</v>
      </c>
      <c r="F88" t="n">
        <v>60</v>
      </c>
      <c r="G88" t="n">
        <v>100</v>
      </c>
      <c r="H88" t="n">
        <v>20</v>
      </c>
      <c r="I88" t="inlineStr">
        <is>
          <t>Anti-Heal</t>
        </is>
      </c>
      <c r="J88" t="inlineStr">
        <is>
          <t>Mobility</t>
        </is>
      </c>
      <c r="K88" t="inlineStr">
        <is>
          <t>Magic</t>
        </is>
      </c>
      <c r="L88" t="inlineStr">
        <is>
          <t>Melee</t>
        </is>
      </c>
      <c r="M88" t="inlineStr">
        <is>
          <t>Jungle</t>
        </is>
      </c>
      <c r="N88" t="inlineStr">
        <is>
          <t>Roaming</t>
        </is>
      </c>
      <c r="O88" t="inlineStr">
        <is>
          <t>Mid</t>
        </is>
      </c>
      <c r="P88" t="inlineStr">
        <is>
          <t>Mana</t>
        </is>
      </c>
      <c r="Q88" t="n">
        <v>3</v>
      </c>
      <c r="R88" t="inlineStr">
        <is>
          <t>Yes</t>
        </is>
      </c>
    </row>
    <row r="89" ht="15" customHeight="1">
      <c r="A89" t="inlineStr">
        <is>
          <t>88</t>
        </is>
      </c>
      <c r="B89" t="inlineStr">
        <is>
          <t>Masha</t>
        </is>
      </c>
      <c r="C89" t="inlineStr">
        <is>
          <t>Fighter</t>
        </is>
      </c>
      <c r="D89" t="inlineStr">
        <is>
          <t>Tank</t>
        </is>
      </c>
      <c r="E89" t="n">
        <v>70</v>
      </c>
      <c r="F89" t="n">
        <v>30</v>
      </c>
      <c r="G89" t="n">
        <v>50</v>
      </c>
      <c r="H89" t="n">
        <v>30</v>
      </c>
      <c r="I89" t="inlineStr">
        <is>
          <t>DPS</t>
        </is>
      </c>
      <c r="J89" t="inlineStr">
        <is>
          <t>Sustain</t>
        </is>
      </c>
      <c r="K89" t="inlineStr">
        <is>
          <t>Physical</t>
        </is>
      </c>
      <c r="L89" t="inlineStr">
        <is>
          <t>Melee</t>
        </is>
      </c>
      <c r="M89" t="inlineStr">
        <is>
          <t>EXP Lane</t>
        </is>
      </c>
      <c r="O89" t="inlineStr">
        <is>
          <t>Early-Mid</t>
        </is>
      </c>
      <c r="P89" t="inlineStr">
        <is>
          <t>None</t>
        </is>
      </c>
      <c r="Q89" t="n">
        <v>2</v>
      </c>
      <c r="R89" t="inlineStr">
        <is>
          <t>No</t>
        </is>
      </c>
    </row>
    <row r="90" ht="15" customHeight="1">
      <c r="A90" t="inlineStr">
        <is>
          <t>89</t>
        </is>
      </c>
      <c r="B90" t="inlineStr">
        <is>
          <t>Wanwan</t>
        </is>
      </c>
      <c r="C90" t="inlineStr">
        <is>
          <t>Marksman</t>
        </is>
      </c>
      <c r="E90" t="n">
        <v>60</v>
      </c>
      <c r="F90" t="n">
        <v>30</v>
      </c>
      <c r="G90" t="n">
        <v>20</v>
      </c>
      <c r="H90" t="n">
        <v>60</v>
      </c>
      <c r="I90" t="inlineStr">
        <is>
          <t>I-Frame</t>
        </is>
      </c>
      <c r="J90" t="inlineStr">
        <is>
          <t>High Mobility</t>
        </is>
      </c>
      <c r="K90" t="inlineStr">
        <is>
          <t>Physical</t>
        </is>
      </c>
      <c r="L90" t="inlineStr">
        <is>
          <t>Ranged</t>
        </is>
      </c>
      <c r="M90" t="inlineStr">
        <is>
          <t>Gold Lane</t>
        </is>
      </c>
      <c r="O90" t="inlineStr">
        <is>
          <t>Mid-Late</t>
        </is>
      </c>
      <c r="P90" t="inlineStr">
        <is>
          <t>Mana</t>
        </is>
      </c>
      <c r="Q90" t="n">
        <v>4</v>
      </c>
      <c r="R90" t="inlineStr">
        <is>
          <t>No</t>
        </is>
      </c>
    </row>
    <row r="91" ht="15" customHeight="1">
      <c r="A91" t="inlineStr">
        <is>
          <t>90</t>
        </is>
      </c>
      <c r="B91" t="inlineStr">
        <is>
          <t>Silvanna</t>
        </is>
      </c>
      <c r="C91" t="inlineStr">
        <is>
          <t>Fighter</t>
        </is>
      </c>
      <c r="E91" t="n">
        <v>40</v>
      </c>
      <c r="F91" t="n">
        <v>70</v>
      </c>
      <c r="G91" t="n">
        <v>50</v>
      </c>
      <c r="H91" t="n">
        <v>20</v>
      </c>
      <c r="I91" t="inlineStr">
        <is>
          <t>Targeted CC</t>
        </is>
      </c>
      <c r="J91" t="inlineStr">
        <is>
          <t>Sustain</t>
        </is>
      </c>
      <c r="K91" t="inlineStr">
        <is>
          <t>Magic</t>
        </is>
      </c>
      <c r="L91" t="inlineStr">
        <is>
          <t>Melee</t>
        </is>
      </c>
      <c r="M91" t="inlineStr">
        <is>
          <t>EXP Lane</t>
        </is>
      </c>
      <c r="O91" t="inlineStr">
        <is>
          <t>Mid</t>
        </is>
      </c>
      <c r="P91" t="inlineStr">
        <is>
          <t>Mana</t>
        </is>
      </c>
      <c r="Q91" t="n">
        <v>3</v>
      </c>
      <c r="R91" t="inlineStr">
        <is>
          <t>No</t>
        </is>
      </c>
    </row>
    <row r="92" ht="15" customHeight="1">
      <c r="A92" t="inlineStr">
        <is>
          <t>91</t>
        </is>
      </c>
      <c r="B92" t="inlineStr">
        <is>
          <t>Cecilion</t>
        </is>
      </c>
      <c r="C92" t="inlineStr">
        <is>
          <t>Mage</t>
        </is>
      </c>
      <c r="E92" t="n">
        <v>100</v>
      </c>
      <c r="F92" t="n">
        <v>50</v>
      </c>
      <c r="G92" t="n">
        <v>40</v>
      </c>
      <c r="H92" t="n">
        <v>40</v>
      </c>
      <c r="I92" t="inlineStr">
        <is>
          <t>Poke</t>
        </is>
      </c>
      <c r="J92" t="inlineStr">
        <is>
          <t>AoE Damage</t>
        </is>
      </c>
      <c r="K92" t="inlineStr">
        <is>
          <t>Magic</t>
        </is>
      </c>
      <c r="L92" t="inlineStr">
        <is>
          <t>Ranged</t>
        </is>
      </c>
      <c r="M92" t="inlineStr">
        <is>
          <t>Mid Lane</t>
        </is>
      </c>
      <c r="O92" t="inlineStr">
        <is>
          <t>Late</t>
        </is>
      </c>
      <c r="P92" t="inlineStr">
        <is>
          <t>Mana</t>
        </is>
      </c>
      <c r="Q92" t="n">
        <v>5</v>
      </c>
      <c r="R92" t="inlineStr">
        <is>
          <t>No</t>
        </is>
      </c>
    </row>
    <row r="93" ht="15" customHeight="1">
      <c r="A93" t="inlineStr">
        <is>
          <t>92</t>
        </is>
      </c>
      <c r="B93" t="inlineStr">
        <is>
          <t>Carmilla</t>
        </is>
      </c>
      <c r="C93" t="inlineStr">
        <is>
          <t>Support</t>
        </is>
      </c>
      <c r="D93" t="inlineStr">
        <is>
          <t>Tank</t>
        </is>
      </c>
      <c r="E93" t="n">
        <v>20</v>
      </c>
      <c r="F93" t="n">
        <v>80</v>
      </c>
      <c r="G93" t="n">
        <v>90</v>
      </c>
      <c r="H93" t="n">
        <v>40</v>
      </c>
      <c r="I93" t="inlineStr">
        <is>
          <t>AoE CC</t>
        </is>
      </c>
      <c r="J93" t="inlineStr">
        <is>
          <t>Sustain</t>
        </is>
      </c>
      <c r="K93" t="inlineStr">
        <is>
          <t>Magic</t>
        </is>
      </c>
      <c r="L93" t="inlineStr">
        <is>
          <t>Melee</t>
        </is>
      </c>
      <c r="M93" t="inlineStr">
        <is>
          <t>Roaming</t>
        </is>
      </c>
      <c r="O93" t="inlineStr">
        <is>
          <t>Early-Mid</t>
        </is>
      </c>
      <c r="P93" t="inlineStr">
        <is>
          <t>Mana</t>
        </is>
      </c>
      <c r="Q93" t="n">
        <v>2</v>
      </c>
      <c r="R93" t="inlineStr">
        <is>
          <t>No</t>
        </is>
      </c>
    </row>
    <row r="94" ht="15" customHeight="1">
      <c r="A94" t="inlineStr">
        <is>
          <t>93</t>
        </is>
      </c>
      <c r="B94" t="inlineStr">
        <is>
          <t>Atlas</t>
        </is>
      </c>
      <c r="C94" t="inlineStr">
        <is>
          <t>Tank</t>
        </is>
      </c>
      <c r="E94" t="n">
        <v>10</v>
      </c>
      <c r="F94" t="n">
        <v>90</v>
      </c>
      <c r="G94" t="n">
        <v>80</v>
      </c>
      <c r="H94" t="n">
        <v>50</v>
      </c>
      <c r="I94" t="inlineStr">
        <is>
          <t>AoE CC</t>
        </is>
      </c>
      <c r="J94" t="inlineStr">
        <is>
          <t>Hard CC</t>
        </is>
      </c>
      <c r="K94" t="inlineStr">
        <is>
          <t>Magic</t>
        </is>
      </c>
      <c r="L94" t="inlineStr">
        <is>
          <t>Melee</t>
        </is>
      </c>
      <c r="M94" t="inlineStr">
        <is>
          <t>Roaming</t>
        </is>
      </c>
      <c r="O94" t="inlineStr">
        <is>
          <t>Early-Mid</t>
        </is>
      </c>
      <c r="P94" t="inlineStr">
        <is>
          <t>Mana</t>
        </is>
      </c>
      <c r="Q94" t="n">
        <v>2</v>
      </c>
      <c r="R94" t="inlineStr">
        <is>
          <t>No</t>
        </is>
      </c>
    </row>
    <row r="95" ht="15" customHeight="1">
      <c r="A95" t="inlineStr">
        <is>
          <t>94</t>
        </is>
      </c>
      <c r="B95" t="inlineStr">
        <is>
          <t>Popol and Kupa</t>
        </is>
      </c>
      <c r="C95" t="inlineStr">
        <is>
          <t>Marksman</t>
        </is>
      </c>
      <c r="E95" t="n">
        <v>70</v>
      </c>
      <c r="F95" t="n">
        <v>70</v>
      </c>
      <c r="G95" t="n">
        <v>30</v>
      </c>
      <c r="H95" t="n">
        <v>50</v>
      </c>
      <c r="I95" t="inlineStr">
        <is>
          <t>Summoner</t>
        </is>
      </c>
      <c r="J95" t="inlineStr">
        <is>
          <t>Hard CC</t>
        </is>
      </c>
      <c r="K95" t="inlineStr">
        <is>
          <t>Mixed</t>
        </is>
      </c>
      <c r="L95" t="inlineStr">
        <is>
          <t>Ranged</t>
        </is>
      </c>
      <c r="M95" t="inlineStr">
        <is>
          <t>Jungle</t>
        </is>
      </c>
      <c r="N95" t="inlineStr">
        <is>
          <t>Gold Lane</t>
        </is>
      </c>
      <c r="O95" t="inlineStr">
        <is>
          <t>Mid</t>
        </is>
      </c>
      <c r="P95" t="inlineStr">
        <is>
          <t>Mana</t>
        </is>
      </c>
      <c r="Q95" t="n">
        <v>3</v>
      </c>
      <c r="R95" t="inlineStr">
        <is>
          <t>No</t>
        </is>
      </c>
    </row>
    <row r="96" ht="15" customHeight="1">
      <c r="A96" t="inlineStr">
        <is>
          <t>95</t>
        </is>
      </c>
      <c r="B96" t="inlineStr">
        <is>
          <t>Yu Zhong</t>
        </is>
      </c>
      <c r="C96" t="inlineStr">
        <is>
          <t>Fighter</t>
        </is>
      </c>
      <c r="E96" t="n">
        <v>40</v>
      </c>
      <c r="F96" t="n">
        <v>70</v>
      </c>
      <c r="G96" t="n">
        <v>70</v>
      </c>
      <c r="H96" t="n">
        <v>70</v>
      </c>
      <c r="I96" t="inlineStr">
        <is>
          <t>Sustain</t>
        </is>
      </c>
      <c r="J96" t="inlineStr">
        <is>
          <t>Global Dive</t>
        </is>
      </c>
      <c r="K96" t="inlineStr">
        <is>
          <t>Physical</t>
        </is>
      </c>
      <c r="L96" t="inlineStr">
        <is>
          <t>Melee</t>
        </is>
      </c>
      <c r="M96" t="inlineStr">
        <is>
          <t>EXP Lane</t>
        </is>
      </c>
      <c r="O96" t="inlineStr">
        <is>
          <t>Mid</t>
        </is>
      </c>
      <c r="P96" t="inlineStr">
        <is>
          <t>None</t>
        </is>
      </c>
      <c r="Q96" t="n">
        <v>3</v>
      </c>
      <c r="R96" t="inlineStr">
        <is>
          <t>No</t>
        </is>
      </c>
    </row>
    <row r="97" ht="15" customHeight="1">
      <c r="A97" t="inlineStr">
        <is>
          <t>96</t>
        </is>
      </c>
      <c r="B97" t="inlineStr">
        <is>
          <t>Luo Yi</t>
        </is>
      </c>
      <c r="C97" t="inlineStr">
        <is>
          <t>Mage</t>
        </is>
      </c>
      <c r="E97" t="n">
        <v>100</v>
      </c>
      <c r="F97" t="n">
        <v>40</v>
      </c>
      <c r="G97" t="n">
        <v>20</v>
      </c>
      <c r="H97" t="n">
        <v>50</v>
      </c>
      <c r="I97" t="inlineStr">
        <is>
          <t>AoE Damage</t>
        </is>
      </c>
      <c r="J97" t="inlineStr">
        <is>
          <t>Global Dive</t>
        </is>
      </c>
      <c r="K97" t="inlineStr">
        <is>
          <t>Magic</t>
        </is>
      </c>
      <c r="L97" t="inlineStr">
        <is>
          <t>Ranged</t>
        </is>
      </c>
      <c r="M97" t="inlineStr">
        <is>
          <t>Mid Lane</t>
        </is>
      </c>
      <c r="O97" t="inlineStr">
        <is>
          <t>Mid</t>
        </is>
      </c>
      <c r="P97" t="inlineStr">
        <is>
          <t>Mana</t>
        </is>
      </c>
      <c r="Q97" t="n">
        <v>3</v>
      </c>
      <c r="R97" t="inlineStr">
        <is>
          <t>No</t>
        </is>
      </c>
    </row>
    <row r="98" ht="15" customHeight="1">
      <c r="A98" t="inlineStr">
        <is>
          <t>97</t>
        </is>
      </c>
      <c r="B98" t="inlineStr">
        <is>
          <t>Benedetta</t>
        </is>
      </c>
      <c r="C98" t="inlineStr">
        <is>
          <t>Assassin</t>
        </is>
      </c>
      <c r="D98" t="inlineStr">
        <is>
          <t>Fighter</t>
        </is>
      </c>
      <c r="E98" t="n">
        <v>50</v>
      </c>
      <c r="F98" t="n">
        <v>20</v>
      </c>
      <c r="G98" t="n">
        <v>60</v>
      </c>
      <c r="H98" t="n">
        <v>70</v>
      </c>
      <c r="I98" t="inlineStr">
        <is>
          <t>I-Frame</t>
        </is>
      </c>
      <c r="J98" t="inlineStr">
        <is>
          <t>Dash/Blink</t>
        </is>
      </c>
      <c r="K98" t="inlineStr">
        <is>
          <t>Physical</t>
        </is>
      </c>
      <c r="L98" t="inlineStr">
        <is>
          <t>Melee</t>
        </is>
      </c>
      <c r="M98" t="inlineStr">
        <is>
          <t>EXP Lane</t>
        </is>
      </c>
      <c r="O98" t="inlineStr">
        <is>
          <t>Early-Mid</t>
        </is>
      </c>
      <c r="P98" t="inlineStr">
        <is>
          <t>Mana</t>
        </is>
      </c>
      <c r="Q98" t="n">
        <v>2</v>
      </c>
      <c r="R98" t="inlineStr">
        <is>
          <t>No</t>
        </is>
      </c>
    </row>
    <row r="99" ht="15" customHeight="1">
      <c r="A99" t="inlineStr">
        <is>
          <t>98</t>
        </is>
      </c>
      <c r="B99" t="inlineStr">
        <is>
          <t>Khaleed</t>
        </is>
      </c>
      <c r="C99" t="inlineStr">
        <is>
          <t>Fighter</t>
        </is>
      </c>
      <c r="E99" t="n">
        <v>50</v>
      </c>
      <c r="F99" t="n">
        <v>50</v>
      </c>
      <c r="G99" t="n">
        <v>80</v>
      </c>
      <c r="H99" t="n">
        <v>50</v>
      </c>
      <c r="I99" t="inlineStr">
        <is>
          <t>Sustain</t>
        </is>
      </c>
      <c r="J99" t="inlineStr">
        <is>
          <t>AoE Damage</t>
        </is>
      </c>
      <c r="K99" t="inlineStr">
        <is>
          <t>Physical</t>
        </is>
      </c>
      <c r="L99" t="inlineStr">
        <is>
          <t>Melee</t>
        </is>
      </c>
      <c r="M99" t="inlineStr">
        <is>
          <t>Roaming</t>
        </is>
      </c>
      <c r="N99" t="inlineStr">
        <is>
          <t>EXP Lane</t>
        </is>
      </c>
      <c r="O99" t="inlineStr">
        <is>
          <t>Early-Mid</t>
        </is>
      </c>
      <c r="P99" t="inlineStr">
        <is>
          <t>None</t>
        </is>
      </c>
      <c r="Q99" t="n">
        <v>2</v>
      </c>
      <c r="R99" t="inlineStr">
        <is>
          <t>No</t>
        </is>
      </c>
    </row>
    <row r="100" ht="15" customHeight="1">
      <c r="A100" t="inlineStr">
        <is>
          <t>99</t>
        </is>
      </c>
      <c r="B100" t="inlineStr">
        <is>
          <t>Barats</t>
        </is>
      </c>
      <c r="C100" t="inlineStr">
        <is>
          <t>Tank</t>
        </is>
      </c>
      <c r="D100" t="inlineStr">
        <is>
          <t>Fighter</t>
        </is>
      </c>
      <c r="E100" t="n">
        <v>30</v>
      </c>
      <c r="F100" t="n">
        <v>90</v>
      </c>
      <c r="G100" t="n">
        <v>100</v>
      </c>
      <c r="H100" t="n">
        <v>40</v>
      </c>
      <c r="I100" t="inlineStr">
        <is>
          <t>Sustain</t>
        </is>
      </c>
      <c r="J100" t="inlineStr">
        <is>
          <t>Hard CC</t>
        </is>
      </c>
      <c r="K100" t="inlineStr">
        <is>
          <t>Physical</t>
        </is>
      </c>
      <c r="L100" t="inlineStr">
        <is>
          <t>Melee</t>
        </is>
      </c>
      <c r="M100" t="inlineStr">
        <is>
          <t>Jungle</t>
        </is>
      </c>
      <c r="O100" t="inlineStr">
        <is>
          <t>Mid</t>
        </is>
      </c>
      <c r="P100" t="inlineStr">
        <is>
          <t>Mana</t>
        </is>
      </c>
      <c r="Q100" t="n">
        <v>3</v>
      </c>
      <c r="R100" t="inlineStr">
        <is>
          <t>No</t>
        </is>
      </c>
    </row>
    <row r="101" ht="15" customHeight="1">
      <c r="A101" t="inlineStr">
        <is>
          <t>100</t>
        </is>
      </c>
      <c r="B101" t="inlineStr">
        <is>
          <t>Brody</t>
        </is>
      </c>
      <c r="C101" t="inlineStr">
        <is>
          <t>Marksman</t>
        </is>
      </c>
      <c r="E101" t="n">
        <v>70</v>
      </c>
      <c r="F101" t="n">
        <v>50</v>
      </c>
      <c r="G101" t="n">
        <v>40</v>
      </c>
      <c r="H101" t="n">
        <v>50</v>
      </c>
      <c r="I101" t="inlineStr">
        <is>
          <t>Burst</t>
        </is>
      </c>
      <c r="J101" t="inlineStr">
        <is>
          <t>Hard CC</t>
        </is>
      </c>
      <c r="K101" t="inlineStr">
        <is>
          <t>Physical</t>
        </is>
      </c>
      <c r="L101" t="inlineStr">
        <is>
          <t>Ranged</t>
        </is>
      </c>
      <c r="M101" t="inlineStr">
        <is>
          <t>Gold Lane</t>
        </is>
      </c>
      <c r="O101" t="inlineStr">
        <is>
          <t>Mid-Late</t>
        </is>
      </c>
      <c r="P101" t="inlineStr">
        <is>
          <t>Mana</t>
        </is>
      </c>
      <c r="Q101" t="n">
        <v>4</v>
      </c>
      <c r="R101" t="inlineStr">
        <is>
          <t>No</t>
        </is>
      </c>
    </row>
    <row r="102" ht="15" customHeight="1">
      <c r="A102" t="inlineStr">
        <is>
          <t>101</t>
        </is>
      </c>
      <c r="B102" t="inlineStr">
        <is>
          <t>Yve</t>
        </is>
      </c>
      <c r="C102" t="inlineStr">
        <is>
          <t>Mage</t>
        </is>
      </c>
      <c r="E102" t="n">
        <v>80</v>
      </c>
      <c r="F102" t="n">
        <v>40</v>
      </c>
      <c r="G102" t="n">
        <v>40</v>
      </c>
      <c r="H102" t="n">
        <v>70</v>
      </c>
      <c r="I102" t="inlineStr">
        <is>
          <t>Soft CC</t>
        </is>
      </c>
      <c r="J102" t="inlineStr">
        <is>
          <t>AoE Damage</t>
        </is>
      </c>
      <c r="K102" t="inlineStr">
        <is>
          <t>Magic</t>
        </is>
      </c>
      <c r="L102" t="inlineStr">
        <is>
          <t>Ranged</t>
        </is>
      </c>
      <c r="M102" t="inlineStr">
        <is>
          <t>Mid Lane</t>
        </is>
      </c>
      <c r="O102" t="inlineStr">
        <is>
          <t>Mid</t>
        </is>
      </c>
      <c r="P102" t="inlineStr">
        <is>
          <t>Mana</t>
        </is>
      </c>
      <c r="Q102" t="n">
        <v>3</v>
      </c>
      <c r="R102" t="inlineStr">
        <is>
          <t>No</t>
        </is>
      </c>
    </row>
    <row r="103" ht="15" customHeight="1">
      <c r="A103" t="inlineStr">
        <is>
          <t>102</t>
        </is>
      </c>
      <c r="B103" t="inlineStr">
        <is>
          <t>Mathilda</t>
        </is>
      </c>
      <c r="C103" t="inlineStr">
        <is>
          <t>Support</t>
        </is>
      </c>
      <c r="D103" t="inlineStr">
        <is>
          <t>Assassin</t>
        </is>
      </c>
      <c r="E103" t="n">
        <v>20</v>
      </c>
      <c r="F103" t="n">
        <v>40</v>
      </c>
      <c r="G103" t="n">
        <v>80</v>
      </c>
      <c r="H103" t="n">
        <v>40</v>
      </c>
      <c r="I103" t="inlineStr">
        <is>
          <t>Shield</t>
        </is>
      </c>
      <c r="J103" t="inlineStr">
        <is>
          <t>Dash/Blink</t>
        </is>
      </c>
      <c r="K103" t="inlineStr">
        <is>
          <t>Magic</t>
        </is>
      </c>
      <c r="L103" t="inlineStr">
        <is>
          <t>Ranged</t>
        </is>
      </c>
      <c r="M103" t="inlineStr">
        <is>
          <t>Roaming</t>
        </is>
      </c>
      <c r="O103" t="inlineStr">
        <is>
          <t>Early-Mid</t>
        </is>
      </c>
      <c r="P103" t="inlineStr">
        <is>
          <t>Mana</t>
        </is>
      </c>
      <c r="Q103" t="n">
        <v>2</v>
      </c>
      <c r="R103" t="inlineStr">
        <is>
          <t>No</t>
        </is>
      </c>
    </row>
    <row r="104" ht="15" customHeight="1">
      <c r="A104" t="inlineStr">
        <is>
          <t>103</t>
        </is>
      </c>
      <c r="B104" t="inlineStr">
        <is>
          <t>Paquito</t>
        </is>
      </c>
      <c r="C104" t="inlineStr">
        <is>
          <t>Fighter</t>
        </is>
      </c>
      <c r="D104" t="inlineStr">
        <is>
          <t>Assassin</t>
        </is>
      </c>
      <c r="E104" t="n">
        <v>50</v>
      </c>
      <c r="F104" t="n">
        <v>40</v>
      </c>
      <c r="G104" t="n">
        <v>60</v>
      </c>
      <c r="H104" t="n">
        <v>80</v>
      </c>
      <c r="I104" t="inlineStr">
        <is>
          <t>Dash/Blink</t>
        </is>
      </c>
      <c r="J104" t="inlineStr">
        <is>
          <t>Burst</t>
        </is>
      </c>
      <c r="K104" t="inlineStr">
        <is>
          <t>Physical</t>
        </is>
      </c>
      <c r="L104" t="inlineStr">
        <is>
          <t>Melee</t>
        </is>
      </c>
      <c r="M104" t="inlineStr">
        <is>
          <t>EXP Lane</t>
        </is>
      </c>
      <c r="O104" t="inlineStr">
        <is>
          <t>Early</t>
        </is>
      </c>
      <c r="P104" t="inlineStr">
        <is>
          <t>None</t>
        </is>
      </c>
      <c r="Q104" t="n">
        <v>1</v>
      </c>
      <c r="R104" t="inlineStr">
        <is>
          <t>No</t>
        </is>
      </c>
    </row>
    <row r="105" ht="15" customHeight="1">
      <c r="A105" t="inlineStr">
        <is>
          <t>104</t>
        </is>
      </c>
      <c r="B105" t="inlineStr">
        <is>
          <t>Gloo</t>
        </is>
      </c>
      <c r="C105" t="inlineStr">
        <is>
          <t>Tank</t>
        </is>
      </c>
      <c r="E105" t="n">
        <v>30</v>
      </c>
      <c r="F105" t="n">
        <v>100</v>
      </c>
      <c r="G105" t="n">
        <v>100</v>
      </c>
      <c r="H105" t="n">
        <v>70</v>
      </c>
      <c r="I105" t="inlineStr">
        <is>
          <t>Sustain</t>
        </is>
      </c>
      <c r="J105" t="inlineStr">
        <is>
          <t>Targeted CC</t>
        </is>
      </c>
      <c r="K105" t="inlineStr">
        <is>
          <t>Magic</t>
        </is>
      </c>
      <c r="L105" t="inlineStr">
        <is>
          <t>Melee</t>
        </is>
      </c>
      <c r="M105" t="inlineStr">
        <is>
          <t>Roaming</t>
        </is>
      </c>
      <c r="N105" t="inlineStr">
        <is>
          <t>EXP Lane</t>
        </is>
      </c>
      <c r="O105" t="inlineStr">
        <is>
          <t>Early-Mid</t>
        </is>
      </c>
      <c r="P105" t="inlineStr">
        <is>
          <t>Mana</t>
        </is>
      </c>
      <c r="Q105" t="n">
        <v>2</v>
      </c>
      <c r="R105" t="inlineStr">
        <is>
          <t>No</t>
        </is>
      </c>
    </row>
    <row r="106" ht="15" customHeight="1">
      <c r="A106" t="inlineStr">
        <is>
          <t>105</t>
        </is>
      </c>
      <c r="B106" t="inlineStr">
        <is>
          <t>Beatrix</t>
        </is>
      </c>
      <c r="C106" t="inlineStr">
        <is>
          <t>Marksman</t>
        </is>
      </c>
      <c r="E106" t="n">
        <v>80</v>
      </c>
      <c r="F106" t="n">
        <v>10</v>
      </c>
      <c r="G106" t="n">
        <v>30</v>
      </c>
      <c r="H106" t="n">
        <v>70</v>
      </c>
      <c r="I106" t="inlineStr">
        <is>
          <t>DPS</t>
        </is>
      </c>
      <c r="J106" t="inlineStr">
        <is>
          <t>Burst</t>
        </is>
      </c>
      <c r="K106" t="inlineStr">
        <is>
          <t>Physical</t>
        </is>
      </c>
      <c r="L106" t="inlineStr">
        <is>
          <t>Ranged</t>
        </is>
      </c>
      <c r="M106" t="inlineStr">
        <is>
          <t>Gold Lane</t>
        </is>
      </c>
      <c r="O106" t="inlineStr">
        <is>
          <t>Mid-Late</t>
        </is>
      </c>
      <c r="P106" t="inlineStr">
        <is>
          <t>None</t>
        </is>
      </c>
      <c r="Q106" t="n">
        <v>4</v>
      </c>
      <c r="R106" t="inlineStr">
        <is>
          <t>No</t>
        </is>
      </c>
    </row>
    <row r="107" ht="15" customHeight="1">
      <c r="A107" t="inlineStr">
        <is>
          <t>106</t>
        </is>
      </c>
      <c r="B107" t="inlineStr">
        <is>
          <t>Phoveus</t>
        </is>
      </c>
      <c r="C107" t="inlineStr">
        <is>
          <t>Fighter</t>
        </is>
      </c>
      <c r="E107" t="n">
        <v>70</v>
      </c>
      <c r="F107" t="n">
        <v>30</v>
      </c>
      <c r="G107" t="n">
        <v>80</v>
      </c>
      <c r="H107" t="n">
        <v>30</v>
      </c>
      <c r="I107" t="inlineStr">
        <is>
          <t>Shield</t>
        </is>
      </c>
      <c r="J107" t="inlineStr">
        <is>
          <t>Burst</t>
        </is>
      </c>
      <c r="K107" t="inlineStr">
        <is>
          <t>Mixed</t>
        </is>
      </c>
      <c r="L107" t="inlineStr">
        <is>
          <t>Melee</t>
        </is>
      </c>
      <c r="M107" t="inlineStr">
        <is>
          <t>EXP Lane</t>
        </is>
      </c>
      <c r="O107" t="inlineStr">
        <is>
          <t>Mid</t>
        </is>
      </c>
      <c r="P107" t="inlineStr">
        <is>
          <t>None</t>
        </is>
      </c>
      <c r="Q107" t="n">
        <v>3</v>
      </c>
      <c r="R107" t="inlineStr">
        <is>
          <t>No</t>
        </is>
      </c>
    </row>
    <row r="108" ht="15" customHeight="1">
      <c r="A108" t="inlineStr">
        <is>
          <t>107</t>
        </is>
      </c>
      <c r="B108" t="inlineStr">
        <is>
          <t>Natan</t>
        </is>
      </c>
      <c r="C108" t="inlineStr">
        <is>
          <t>Marksman</t>
        </is>
      </c>
      <c r="E108" t="n">
        <v>60</v>
      </c>
      <c r="F108" t="n">
        <v>20</v>
      </c>
      <c r="G108" t="n">
        <v>20</v>
      </c>
      <c r="H108" t="n">
        <v>20</v>
      </c>
      <c r="I108" t="inlineStr">
        <is>
          <t>DPS</t>
        </is>
      </c>
      <c r="J108" t="inlineStr">
        <is>
          <t>AoE Damage</t>
        </is>
      </c>
      <c r="K108" t="inlineStr">
        <is>
          <t>Magic</t>
        </is>
      </c>
      <c r="L108" t="inlineStr">
        <is>
          <t>Ranged</t>
        </is>
      </c>
      <c r="M108" t="inlineStr">
        <is>
          <t>Gold Lane</t>
        </is>
      </c>
      <c r="O108" t="inlineStr">
        <is>
          <t>Mid-Late</t>
        </is>
      </c>
      <c r="P108" t="inlineStr">
        <is>
          <t>Mana</t>
        </is>
      </c>
      <c r="Q108" t="n">
        <v>4</v>
      </c>
      <c r="R108" t="inlineStr">
        <is>
          <t>No</t>
        </is>
      </c>
    </row>
    <row r="109" ht="15" customHeight="1">
      <c r="A109" t="inlineStr">
        <is>
          <t>108</t>
        </is>
      </c>
      <c r="B109" t="inlineStr">
        <is>
          <t>Aulus</t>
        </is>
      </c>
      <c r="C109" t="inlineStr">
        <is>
          <t>Fighter</t>
        </is>
      </c>
      <c r="E109" t="n">
        <v>60</v>
      </c>
      <c r="F109" t="n">
        <v>10</v>
      </c>
      <c r="G109" t="n">
        <v>60</v>
      </c>
      <c r="H109" t="n">
        <v>40</v>
      </c>
      <c r="I109" t="inlineStr">
        <is>
          <t>DPS</t>
        </is>
      </c>
      <c r="J109" t="inlineStr">
        <is>
          <t>Sustain</t>
        </is>
      </c>
      <c r="K109" t="inlineStr">
        <is>
          <t>Physical</t>
        </is>
      </c>
      <c r="L109" t="inlineStr">
        <is>
          <t>Melee</t>
        </is>
      </c>
      <c r="M109" t="inlineStr">
        <is>
          <t>Jungle</t>
        </is>
      </c>
      <c r="O109" t="inlineStr">
        <is>
          <t>Mid</t>
        </is>
      </c>
      <c r="P109" t="inlineStr">
        <is>
          <t>None</t>
        </is>
      </c>
      <c r="Q109" t="n">
        <v>3</v>
      </c>
      <c r="R109" t="inlineStr">
        <is>
          <t>No</t>
        </is>
      </c>
    </row>
    <row r="110" ht="15" customHeight="1">
      <c r="A110" t="inlineStr">
        <is>
          <t>109</t>
        </is>
      </c>
      <c r="B110" t="inlineStr">
        <is>
          <t>Aamon</t>
        </is>
      </c>
      <c r="C110" t="inlineStr">
        <is>
          <t>Assassin</t>
        </is>
      </c>
      <c r="E110" t="n">
        <v>70</v>
      </c>
      <c r="F110" t="n">
        <v>10</v>
      </c>
      <c r="G110" t="n">
        <v>30</v>
      </c>
      <c r="H110" t="n">
        <v>50</v>
      </c>
      <c r="I110" t="inlineStr">
        <is>
          <t>I-Frame</t>
        </is>
      </c>
      <c r="J110" t="inlineStr">
        <is>
          <t>Burst</t>
        </is>
      </c>
      <c r="K110" t="inlineStr">
        <is>
          <t>Magic</t>
        </is>
      </c>
      <c r="L110" t="inlineStr">
        <is>
          <t>Melee</t>
        </is>
      </c>
      <c r="M110" t="inlineStr">
        <is>
          <t>Jungle</t>
        </is>
      </c>
      <c r="O110" t="inlineStr">
        <is>
          <t>Early-Mid</t>
        </is>
      </c>
      <c r="P110" t="inlineStr">
        <is>
          <t>Mana</t>
        </is>
      </c>
      <c r="Q110" t="n">
        <v>2</v>
      </c>
      <c r="R110" t="inlineStr">
        <is>
          <t>No</t>
        </is>
      </c>
    </row>
    <row r="111" ht="15" customHeight="1">
      <c r="A111" t="inlineStr">
        <is>
          <t>110</t>
        </is>
      </c>
      <c r="B111" t="inlineStr">
        <is>
          <t>Valentina</t>
        </is>
      </c>
      <c r="C111" t="inlineStr">
        <is>
          <t>Mage</t>
        </is>
      </c>
      <c r="E111" t="n">
        <v>90</v>
      </c>
      <c r="F111" t="n">
        <v>80</v>
      </c>
      <c r="G111" t="n">
        <v>50</v>
      </c>
      <c r="H111" t="n">
        <v>80</v>
      </c>
      <c r="I111" t="inlineStr">
        <is>
          <t>Burst</t>
        </is>
      </c>
      <c r="J111" t="inlineStr">
        <is>
          <t>Sustain</t>
        </is>
      </c>
      <c r="K111" t="inlineStr">
        <is>
          <t>Magic</t>
        </is>
      </c>
      <c r="L111" t="inlineStr">
        <is>
          <t>Ranged</t>
        </is>
      </c>
      <c r="M111" t="inlineStr">
        <is>
          <t>Mid Lane</t>
        </is>
      </c>
      <c r="O111" t="inlineStr">
        <is>
          <t>Mid</t>
        </is>
      </c>
      <c r="P111" t="inlineStr">
        <is>
          <t>Mana</t>
        </is>
      </c>
      <c r="Q111" t="n">
        <v>3</v>
      </c>
      <c r="R111" t="inlineStr">
        <is>
          <t>No</t>
        </is>
      </c>
    </row>
    <row r="112" ht="15" customHeight="1">
      <c r="A112" t="inlineStr">
        <is>
          <t>111</t>
        </is>
      </c>
      <c r="B112" t="inlineStr">
        <is>
          <t>Edith</t>
        </is>
      </c>
      <c r="C112" t="inlineStr">
        <is>
          <t>Tank</t>
        </is>
      </c>
      <c r="D112" t="inlineStr">
        <is>
          <t>Marksman</t>
        </is>
      </c>
      <c r="E112" t="n">
        <v>30</v>
      </c>
      <c r="F112" t="n">
        <v>100</v>
      </c>
      <c r="G112" t="n">
        <v>70</v>
      </c>
      <c r="H112" t="n">
        <v>30</v>
      </c>
      <c r="I112" t="inlineStr">
        <is>
          <t>Shield</t>
        </is>
      </c>
      <c r="J112" t="inlineStr">
        <is>
          <t>Hard CC</t>
        </is>
      </c>
      <c r="K112" t="inlineStr">
        <is>
          <t>Mixed</t>
        </is>
      </c>
      <c r="L112" t="inlineStr">
        <is>
          <t>Hybrid</t>
        </is>
      </c>
      <c r="M112" t="inlineStr">
        <is>
          <t>EXP Lane</t>
        </is>
      </c>
      <c r="N112" t="inlineStr">
        <is>
          <t>Roaming</t>
        </is>
      </c>
      <c r="O112" t="inlineStr">
        <is>
          <t>Late</t>
        </is>
      </c>
      <c r="P112" t="inlineStr">
        <is>
          <t>None</t>
        </is>
      </c>
      <c r="Q112" t="n">
        <v>5</v>
      </c>
      <c r="R112" t="inlineStr">
        <is>
          <t>No</t>
        </is>
      </c>
    </row>
    <row r="113" ht="15" customHeight="1">
      <c r="A113" t="inlineStr">
        <is>
          <t>112</t>
        </is>
      </c>
      <c r="B113" t="inlineStr">
        <is>
          <t>Floryn</t>
        </is>
      </c>
      <c r="C113" t="inlineStr">
        <is>
          <t>Support</t>
        </is>
      </c>
      <c r="E113" t="n">
        <v>10</v>
      </c>
      <c r="F113" t="n">
        <v>70</v>
      </c>
      <c r="G113" t="n">
        <v>60</v>
      </c>
      <c r="H113" t="n">
        <v>10</v>
      </c>
      <c r="I113" t="inlineStr">
        <is>
          <t>Healing</t>
        </is>
      </c>
      <c r="J113" t="inlineStr">
        <is>
          <t>Soft CC</t>
        </is>
      </c>
      <c r="K113" t="inlineStr">
        <is>
          <t>Magic</t>
        </is>
      </c>
      <c r="L113" t="inlineStr">
        <is>
          <t>Ranged</t>
        </is>
      </c>
      <c r="M113" t="inlineStr">
        <is>
          <t>Roaming</t>
        </is>
      </c>
      <c r="O113" t="inlineStr">
        <is>
          <t>Mid</t>
        </is>
      </c>
      <c r="P113" t="inlineStr">
        <is>
          <t>Mana</t>
        </is>
      </c>
      <c r="Q113" t="n">
        <v>3</v>
      </c>
      <c r="R113" t="inlineStr">
        <is>
          <t>No</t>
        </is>
      </c>
    </row>
    <row r="114" ht="15" customHeight="1">
      <c r="A114" t="inlineStr">
        <is>
          <t>113</t>
        </is>
      </c>
      <c r="B114" t="inlineStr">
        <is>
          <t>Yin</t>
        </is>
      </c>
      <c r="C114" t="inlineStr">
        <is>
          <t>Fighter</t>
        </is>
      </c>
      <c r="D114" t="inlineStr">
        <is>
          <t>Assassin</t>
        </is>
      </c>
      <c r="E114" t="n">
        <v>60</v>
      </c>
      <c r="F114" t="n">
        <v>80</v>
      </c>
      <c r="G114" t="n">
        <v>50</v>
      </c>
      <c r="H114" t="n">
        <v>40</v>
      </c>
      <c r="I114" t="inlineStr">
        <is>
          <t>Targeted CC</t>
        </is>
      </c>
      <c r="J114" t="inlineStr">
        <is>
          <t>Burst</t>
        </is>
      </c>
      <c r="K114" t="inlineStr">
        <is>
          <t>Physical</t>
        </is>
      </c>
      <c r="L114" t="inlineStr">
        <is>
          <t>Melee</t>
        </is>
      </c>
      <c r="M114" t="inlineStr">
        <is>
          <t>Jungle</t>
        </is>
      </c>
      <c r="N114" t="inlineStr">
        <is>
          <t>EXP Lane</t>
        </is>
      </c>
      <c r="O114" t="inlineStr">
        <is>
          <t>Mid</t>
        </is>
      </c>
      <c r="P114" t="inlineStr">
        <is>
          <t>None</t>
        </is>
      </c>
      <c r="Q114" t="n">
        <v>3</v>
      </c>
      <c r="R114" t="inlineStr">
        <is>
          <t>No</t>
        </is>
      </c>
    </row>
    <row r="115" ht="15" customHeight="1">
      <c r="A115" t="inlineStr">
        <is>
          <t>114</t>
        </is>
      </c>
      <c r="B115" t="inlineStr">
        <is>
          <t>Melissa</t>
        </is>
      </c>
      <c r="C115" t="inlineStr">
        <is>
          <t>Marksman</t>
        </is>
      </c>
      <c r="E115" t="n">
        <v>90</v>
      </c>
      <c r="F115" t="n">
        <v>40</v>
      </c>
      <c r="G115" t="n">
        <v>20</v>
      </c>
      <c r="H115" t="n">
        <v>40</v>
      </c>
      <c r="I115" t="inlineStr">
        <is>
          <t>Shield</t>
        </is>
      </c>
      <c r="J115" t="inlineStr">
        <is>
          <t>DPS</t>
        </is>
      </c>
      <c r="K115" t="inlineStr">
        <is>
          <t>Mixed</t>
        </is>
      </c>
      <c r="L115" t="inlineStr">
        <is>
          <t>Ranged</t>
        </is>
      </c>
      <c r="M115" t="inlineStr">
        <is>
          <t>Gold Lane</t>
        </is>
      </c>
      <c r="O115" t="inlineStr">
        <is>
          <t>Mid-Late</t>
        </is>
      </c>
      <c r="P115" t="inlineStr">
        <is>
          <t>Mana</t>
        </is>
      </c>
      <c r="Q115" t="n">
        <v>4</v>
      </c>
      <c r="R115" t="inlineStr">
        <is>
          <t>No</t>
        </is>
      </c>
    </row>
    <row r="116" ht="15" customHeight="1">
      <c r="A116" t="inlineStr">
        <is>
          <t>115</t>
        </is>
      </c>
      <c r="B116" t="inlineStr">
        <is>
          <t>Xavier</t>
        </is>
      </c>
      <c r="C116" t="inlineStr">
        <is>
          <t>Mage</t>
        </is>
      </c>
      <c r="E116" t="n">
        <v>100</v>
      </c>
      <c r="F116" t="n">
        <v>80</v>
      </c>
      <c r="G116" t="n">
        <v>20</v>
      </c>
      <c r="H116" t="n">
        <v>30</v>
      </c>
      <c r="I116" t="inlineStr">
        <is>
          <t>Poke</t>
        </is>
      </c>
      <c r="J116" t="inlineStr">
        <is>
          <t>Burst</t>
        </is>
      </c>
      <c r="K116" t="inlineStr">
        <is>
          <t>Magic</t>
        </is>
      </c>
      <c r="L116" t="inlineStr">
        <is>
          <t>Ranged</t>
        </is>
      </c>
      <c r="M116" t="inlineStr">
        <is>
          <t>Mid Lane</t>
        </is>
      </c>
      <c r="O116" t="inlineStr">
        <is>
          <t>Mid</t>
        </is>
      </c>
      <c r="P116" t="inlineStr">
        <is>
          <t>Mana</t>
        </is>
      </c>
      <c r="Q116" t="n">
        <v>3</v>
      </c>
      <c r="R116" t="inlineStr">
        <is>
          <t>No</t>
        </is>
      </c>
    </row>
    <row r="117" ht="15" customHeight="1">
      <c r="A117" t="inlineStr">
        <is>
          <t>116</t>
        </is>
      </c>
      <c r="B117" t="inlineStr">
        <is>
          <t>Julian</t>
        </is>
      </c>
      <c r="C117" t="inlineStr">
        <is>
          <t>Assassin</t>
        </is>
      </c>
      <c r="D117" t="inlineStr">
        <is>
          <t>Fighter</t>
        </is>
      </c>
      <c r="E117" t="n">
        <v>60</v>
      </c>
      <c r="F117" t="n">
        <v>70</v>
      </c>
      <c r="G117" t="n">
        <v>60</v>
      </c>
      <c r="H117" t="n">
        <v>20</v>
      </c>
      <c r="I117" t="inlineStr">
        <is>
          <t>Burst</t>
        </is>
      </c>
      <c r="J117" t="inlineStr">
        <is>
          <t>I-Frame</t>
        </is>
      </c>
      <c r="K117" t="inlineStr">
        <is>
          <t>Magic</t>
        </is>
      </c>
      <c r="L117" t="inlineStr">
        <is>
          <t>Melee</t>
        </is>
      </c>
      <c r="M117" t="inlineStr">
        <is>
          <t>Jungle</t>
        </is>
      </c>
      <c r="N117" t="inlineStr">
        <is>
          <t>EXP Lane</t>
        </is>
      </c>
      <c r="O117" t="inlineStr">
        <is>
          <t>Early-Mid</t>
        </is>
      </c>
      <c r="P117" t="inlineStr">
        <is>
          <t>Mana</t>
        </is>
      </c>
      <c r="Q117" t="n">
        <v>2</v>
      </c>
      <c r="R117" t="inlineStr">
        <is>
          <t>No</t>
        </is>
      </c>
    </row>
    <row r="118" ht="15" customHeight="1">
      <c r="A118" t="inlineStr">
        <is>
          <t>117</t>
        </is>
      </c>
      <c r="B118" t="inlineStr">
        <is>
          <t>Fredrinn</t>
        </is>
      </c>
      <c r="C118" t="inlineStr">
        <is>
          <t>Fighter</t>
        </is>
      </c>
      <c r="D118" t="inlineStr">
        <is>
          <t>Tank</t>
        </is>
      </c>
      <c r="E118" t="n">
        <v>50</v>
      </c>
      <c r="F118" t="n">
        <v>60</v>
      </c>
      <c r="G118" t="n">
        <v>80</v>
      </c>
      <c r="H118" t="n">
        <v>40</v>
      </c>
      <c r="I118" t="inlineStr">
        <is>
          <t>Sustain</t>
        </is>
      </c>
      <c r="J118" t="inlineStr">
        <is>
          <t>AoE CC</t>
        </is>
      </c>
      <c r="K118" t="inlineStr">
        <is>
          <t>Physical</t>
        </is>
      </c>
      <c r="L118" t="inlineStr">
        <is>
          <t>Melee</t>
        </is>
      </c>
      <c r="M118" t="inlineStr">
        <is>
          <t>Jungle</t>
        </is>
      </c>
      <c r="O118" t="inlineStr">
        <is>
          <t>Mid</t>
        </is>
      </c>
      <c r="P118" t="inlineStr">
        <is>
          <t>None</t>
        </is>
      </c>
      <c r="Q118" t="n">
        <v>3</v>
      </c>
      <c r="R118" t="inlineStr">
        <is>
          <t>No</t>
        </is>
      </c>
    </row>
    <row r="119" ht="15" customHeight="1">
      <c r="A119" t="inlineStr">
        <is>
          <t>118</t>
        </is>
      </c>
      <c r="B119" t="inlineStr">
        <is>
          <t>Joy</t>
        </is>
      </c>
      <c r="C119" t="inlineStr">
        <is>
          <t>Assassin</t>
        </is>
      </c>
      <c r="E119" t="n">
        <v>70</v>
      </c>
      <c r="F119" t="n">
        <v>10</v>
      </c>
      <c r="G119" t="n">
        <v>30</v>
      </c>
      <c r="H119" t="n">
        <v>90</v>
      </c>
      <c r="I119" t="inlineStr">
        <is>
          <t>High Mobility</t>
        </is>
      </c>
      <c r="J119" t="inlineStr">
        <is>
          <t>Shield</t>
        </is>
      </c>
      <c r="K119" t="inlineStr">
        <is>
          <t>Magic</t>
        </is>
      </c>
      <c r="L119" t="inlineStr">
        <is>
          <t>Melee</t>
        </is>
      </c>
      <c r="M119" t="inlineStr">
        <is>
          <t>Jungle</t>
        </is>
      </c>
      <c r="O119" t="inlineStr">
        <is>
          <t>Early-Mid</t>
        </is>
      </c>
      <c r="P119" t="inlineStr">
        <is>
          <t>None</t>
        </is>
      </c>
      <c r="Q119" t="n">
        <v>2</v>
      </c>
      <c r="R119" t="inlineStr">
        <is>
          <t>No</t>
        </is>
      </c>
    </row>
    <row r="120" ht="15" customHeight="1">
      <c r="A120" t="inlineStr">
        <is>
          <t>119</t>
        </is>
      </c>
      <c r="B120" t="inlineStr">
        <is>
          <t>Novaria</t>
        </is>
      </c>
      <c r="C120" t="inlineStr">
        <is>
          <t>Mage</t>
        </is>
      </c>
      <c r="E120" t="n">
        <v>90</v>
      </c>
      <c r="F120" t="n">
        <v>30</v>
      </c>
      <c r="G120" t="n">
        <v>30</v>
      </c>
      <c r="H120" t="n">
        <v>60</v>
      </c>
      <c r="I120" t="inlineStr">
        <is>
          <t>Vision</t>
        </is>
      </c>
      <c r="J120" t="inlineStr">
        <is>
          <t>Poke</t>
        </is>
      </c>
      <c r="K120" t="inlineStr">
        <is>
          <t>Magic</t>
        </is>
      </c>
      <c r="L120" t="inlineStr">
        <is>
          <t>Ranged</t>
        </is>
      </c>
      <c r="M120" t="inlineStr">
        <is>
          <t>Mid Lane</t>
        </is>
      </c>
      <c r="O120" t="inlineStr">
        <is>
          <t>Mid</t>
        </is>
      </c>
      <c r="P120" t="inlineStr">
        <is>
          <t>Mana</t>
        </is>
      </c>
      <c r="Q120" t="n">
        <v>3</v>
      </c>
      <c r="R120" t="inlineStr">
        <is>
          <t>No</t>
        </is>
      </c>
    </row>
    <row r="121" ht="15" customHeight="1">
      <c r="A121" t="inlineStr">
        <is>
          <t>120</t>
        </is>
      </c>
      <c r="B121" t="inlineStr">
        <is>
          <t>Arlott</t>
        </is>
      </c>
      <c r="C121" t="inlineStr">
        <is>
          <t>Fighter</t>
        </is>
      </c>
      <c r="D121" t="inlineStr">
        <is>
          <t>Assassin</t>
        </is>
      </c>
      <c r="E121" t="n">
        <v>60</v>
      </c>
      <c r="F121" t="n">
        <v>50</v>
      </c>
      <c r="G121" t="n">
        <v>60</v>
      </c>
      <c r="H121" t="n">
        <v>50</v>
      </c>
      <c r="I121" t="inlineStr">
        <is>
          <t>Dash/Blink</t>
        </is>
      </c>
      <c r="J121" t="inlineStr">
        <is>
          <t>Sustain</t>
        </is>
      </c>
      <c r="K121" t="inlineStr">
        <is>
          <t>Physical</t>
        </is>
      </c>
      <c r="L121" t="inlineStr">
        <is>
          <t>Melee</t>
        </is>
      </c>
      <c r="M121" t="inlineStr">
        <is>
          <t>EXP Lane</t>
        </is>
      </c>
      <c r="O121" t="inlineStr">
        <is>
          <t>Mid</t>
        </is>
      </c>
      <c r="P121" t="inlineStr">
        <is>
          <t>None</t>
        </is>
      </c>
      <c r="Q121" t="n">
        <v>3</v>
      </c>
      <c r="R121" t="inlineStr">
        <is>
          <t>No</t>
        </is>
      </c>
    </row>
    <row r="122" ht="15" customHeight="1">
      <c r="A122" t="inlineStr">
        <is>
          <t>121</t>
        </is>
      </c>
      <c r="B122" t="inlineStr">
        <is>
          <t>Ixia</t>
        </is>
      </c>
      <c r="C122" t="inlineStr">
        <is>
          <t>Marksman</t>
        </is>
      </c>
      <c r="E122" t="n">
        <v>70</v>
      </c>
      <c r="F122" t="n">
        <v>50</v>
      </c>
      <c r="G122" t="n">
        <v>30</v>
      </c>
      <c r="H122" t="n">
        <v>40</v>
      </c>
      <c r="I122" t="inlineStr">
        <is>
          <t>AoE Damage</t>
        </is>
      </c>
      <c r="J122" t="inlineStr">
        <is>
          <t>DPS</t>
        </is>
      </c>
      <c r="K122" t="inlineStr">
        <is>
          <t>Physical</t>
        </is>
      </c>
      <c r="L122" t="inlineStr">
        <is>
          <t>Ranged</t>
        </is>
      </c>
      <c r="M122" t="inlineStr">
        <is>
          <t>Gold Lane</t>
        </is>
      </c>
      <c r="O122" t="inlineStr">
        <is>
          <t>Late</t>
        </is>
      </c>
      <c r="P122" t="inlineStr">
        <is>
          <t>Mana</t>
        </is>
      </c>
      <c r="Q122" t="n">
        <v>5</v>
      </c>
      <c r="R122" t="inlineStr">
        <is>
          <t>No</t>
        </is>
      </c>
    </row>
    <row r="123" ht="15" customHeight="1">
      <c r="A123" t="inlineStr">
        <is>
          <t>122</t>
        </is>
      </c>
      <c r="B123" t="inlineStr">
        <is>
          <t>Nolan</t>
        </is>
      </c>
      <c r="C123" t="inlineStr">
        <is>
          <t>Assassin</t>
        </is>
      </c>
      <c r="E123" t="n">
        <v>60</v>
      </c>
      <c r="F123" t="n">
        <v>20</v>
      </c>
      <c r="G123" t="n">
        <v>30</v>
      </c>
      <c r="H123" t="n">
        <v>60</v>
      </c>
      <c r="I123" t="inlineStr">
        <is>
          <t>Dash/Blink</t>
        </is>
      </c>
      <c r="J123" t="inlineStr">
        <is>
          <t>Burst</t>
        </is>
      </c>
      <c r="K123" t="inlineStr">
        <is>
          <t>Physical</t>
        </is>
      </c>
      <c r="L123" t="inlineStr">
        <is>
          <t>Melee</t>
        </is>
      </c>
      <c r="M123" t="inlineStr">
        <is>
          <t>Jungle</t>
        </is>
      </c>
      <c r="O123" t="inlineStr">
        <is>
          <t>Early-Mid</t>
        </is>
      </c>
      <c r="P123" t="inlineStr">
        <is>
          <t>Energy</t>
        </is>
      </c>
      <c r="Q123" t="n">
        <v>2</v>
      </c>
      <c r="R123" t="inlineStr">
        <is>
          <t>No</t>
        </is>
      </c>
    </row>
    <row r="124" ht="15" customHeight="1">
      <c r="A124" t="inlineStr">
        <is>
          <t>123</t>
        </is>
      </c>
      <c r="B124" t="inlineStr">
        <is>
          <t>Cici</t>
        </is>
      </c>
      <c r="C124" t="inlineStr">
        <is>
          <t>Fighter</t>
        </is>
      </c>
      <c r="E124" t="n">
        <v>60</v>
      </c>
      <c r="F124" t="n">
        <v>30</v>
      </c>
      <c r="G124" t="n">
        <v>50</v>
      </c>
      <c r="H124" t="n">
        <v>20</v>
      </c>
      <c r="I124" t="inlineStr">
        <is>
          <t>Sustain</t>
        </is>
      </c>
      <c r="J124" t="inlineStr">
        <is>
          <t>High Mobility</t>
        </is>
      </c>
      <c r="K124" t="inlineStr">
        <is>
          <t>Physical</t>
        </is>
      </c>
      <c r="L124" t="inlineStr">
        <is>
          <t>Melee</t>
        </is>
      </c>
      <c r="M124" t="inlineStr">
        <is>
          <t>EXP Lane</t>
        </is>
      </c>
      <c r="O124" t="inlineStr">
        <is>
          <t>Mid</t>
        </is>
      </c>
      <c r="P124" t="inlineStr">
        <is>
          <t>None</t>
        </is>
      </c>
      <c r="Q124" t="n">
        <v>3</v>
      </c>
      <c r="R124" t="inlineStr">
        <is>
          <t>No</t>
        </is>
      </c>
    </row>
    <row r="125" ht="15" customHeight="1">
      <c r="A125" t="inlineStr">
        <is>
          <t>124</t>
        </is>
      </c>
      <c r="B125" t="inlineStr">
        <is>
          <t>Chip</t>
        </is>
      </c>
      <c r="C125" t="inlineStr">
        <is>
          <t>Support</t>
        </is>
      </c>
      <c r="D125" t="inlineStr">
        <is>
          <t>Tank</t>
        </is>
      </c>
      <c r="E125" t="n">
        <v>20</v>
      </c>
      <c r="F125" t="n">
        <v>60</v>
      </c>
      <c r="G125" t="n">
        <v>80</v>
      </c>
      <c r="H125" t="n">
        <v>60</v>
      </c>
      <c r="I125" t="inlineStr">
        <is>
          <t>Global Dive</t>
        </is>
      </c>
      <c r="J125" t="inlineStr">
        <is>
          <t>Hard CC</t>
        </is>
      </c>
      <c r="K125" t="inlineStr">
        <is>
          <t>Magic</t>
        </is>
      </c>
      <c r="L125" t="inlineStr">
        <is>
          <t>Hybrid</t>
        </is>
      </c>
      <c r="M125" t="inlineStr">
        <is>
          <t>Roaming</t>
        </is>
      </c>
      <c r="O125" t="inlineStr">
        <is>
          <t>Early-Mid</t>
        </is>
      </c>
      <c r="P125" t="inlineStr">
        <is>
          <t>Mana</t>
        </is>
      </c>
      <c r="Q125" t="n">
        <v>2</v>
      </c>
      <c r="R125" t="inlineStr">
        <is>
          <t>No</t>
        </is>
      </c>
    </row>
    <row r="126" ht="15" customHeight="1">
      <c r="A126" t="inlineStr">
        <is>
          <t>125</t>
        </is>
      </c>
      <c r="B126" t="inlineStr">
        <is>
          <t>Zhuxin</t>
        </is>
      </c>
      <c r="C126" t="inlineStr">
        <is>
          <t>Mage</t>
        </is>
      </c>
      <c r="E126" t="n">
        <v>80</v>
      </c>
      <c r="F126" t="n">
        <v>80</v>
      </c>
      <c r="G126" t="n">
        <v>40</v>
      </c>
      <c r="H126" t="n">
        <v>40</v>
      </c>
      <c r="I126" t="inlineStr">
        <is>
          <t>AoE CC</t>
        </is>
      </c>
      <c r="J126" t="inlineStr">
        <is>
          <t>Poke</t>
        </is>
      </c>
      <c r="K126" t="inlineStr">
        <is>
          <t>Magic</t>
        </is>
      </c>
      <c r="L126" t="inlineStr">
        <is>
          <t>Ranged</t>
        </is>
      </c>
      <c r="M126" t="inlineStr">
        <is>
          <t>Mid Lane</t>
        </is>
      </c>
      <c r="O126" t="inlineStr">
        <is>
          <t>Mid</t>
        </is>
      </c>
      <c r="P126" t="inlineStr">
        <is>
          <t>Mana</t>
        </is>
      </c>
      <c r="Q126" t="n">
        <v>3</v>
      </c>
      <c r="R126" t="inlineStr">
        <is>
          <t>No</t>
        </is>
      </c>
    </row>
    <row r="127" ht="15" customHeight="1">
      <c r="A127" t="inlineStr">
        <is>
          <t>126</t>
        </is>
      </c>
      <c r="B127" t="inlineStr">
        <is>
          <t>Suyou</t>
        </is>
      </c>
      <c r="C127" t="inlineStr">
        <is>
          <t>Assassin</t>
        </is>
      </c>
      <c r="D127" t="inlineStr">
        <is>
          <t>Fighter</t>
        </is>
      </c>
      <c r="E127" t="n">
        <v>60</v>
      </c>
      <c r="F127" t="n">
        <v>50</v>
      </c>
      <c r="G127" t="n">
        <v>60</v>
      </c>
      <c r="H127" t="n">
        <v>50</v>
      </c>
      <c r="I127" t="inlineStr">
        <is>
          <t>Burst</t>
        </is>
      </c>
      <c r="J127" t="inlineStr">
        <is>
          <t>Damage Reduction</t>
        </is>
      </c>
      <c r="K127" t="inlineStr">
        <is>
          <t>Physical</t>
        </is>
      </c>
      <c r="L127" t="inlineStr">
        <is>
          <t>Melee</t>
        </is>
      </c>
      <c r="M127" t="inlineStr">
        <is>
          <t>Jungle</t>
        </is>
      </c>
      <c r="O127" t="inlineStr">
        <is>
          <t>Early-Mid</t>
        </is>
      </c>
      <c r="P127" t="inlineStr">
        <is>
          <t>None</t>
        </is>
      </c>
      <c r="Q127" t="n">
        <v>2</v>
      </c>
      <c r="R127" t="inlineStr">
        <is>
          <t>No</t>
        </is>
      </c>
    </row>
    <row r="128" ht="15" customHeight="1">
      <c r="A128" t="inlineStr">
        <is>
          <t>127</t>
        </is>
      </c>
      <c r="B128" t="inlineStr">
        <is>
          <t>Lukas</t>
        </is>
      </c>
      <c r="C128" t="inlineStr">
        <is>
          <t>Fighter</t>
        </is>
      </c>
      <c r="E128" t="n">
        <v>50</v>
      </c>
      <c r="F128" t="n">
        <v>60</v>
      </c>
      <c r="G128" t="n">
        <v>80</v>
      </c>
      <c r="H128" t="n">
        <v>30</v>
      </c>
      <c r="I128" t="inlineStr">
        <is>
          <t>DPS</t>
        </is>
      </c>
      <c r="J128" t="inlineStr">
        <is>
          <t>Sustain</t>
        </is>
      </c>
      <c r="K128" t="inlineStr">
        <is>
          <t>Physical</t>
        </is>
      </c>
      <c r="L128" t="inlineStr">
        <is>
          <t>Melee</t>
        </is>
      </c>
      <c r="M128" t="inlineStr">
        <is>
          <t>EXP Lane</t>
        </is>
      </c>
      <c r="N128" t="inlineStr">
        <is>
          <t>Jungle</t>
        </is>
      </c>
      <c r="O128" t="inlineStr">
        <is>
          <t>Mid</t>
        </is>
      </c>
      <c r="P128" t="inlineStr">
        <is>
          <t>None</t>
        </is>
      </c>
      <c r="Q128" t="n">
        <v>3</v>
      </c>
      <c r="R128" t="inlineStr">
        <is>
          <t>No</t>
        </is>
      </c>
    </row>
    <row r="129" ht="15" customHeight="1">
      <c r="A129" t="inlineStr">
        <is>
          <t>128</t>
        </is>
      </c>
      <c r="B129" t="inlineStr">
        <is>
          <t>Kalea</t>
        </is>
      </c>
      <c r="C129" t="inlineStr">
        <is>
          <t>Support</t>
        </is>
      </c>
      <c r="D129" t="inlineStr">
        <is>
          <t>Fighter</t>
        </is>
      </c>
      <c r="E129" t="n">
        <v>30</v>
      </c>
      <c r="F129" t="n">
        <v>90</v>
      </c>
      <c r="G129" t="n">
        <v>60</v>
      </c>
      <c r="H129" t="n">
        <v>40</v>
      </c>
      <c r="I129" t="inlineStr">
        <is>
          <t>Shield</t>
        </is>
      </c>
      <c r="J129" t="inlineStr">
        <is>
          <t>Healing</t>
        </is>
      </c>
      <c r="K129" t="inlineStr">
        <is>
          <t>Physical</t>
        </is>
      </c>
      <c r="L129" t="inlineStr">
        <is>
          <t>Melee</t>
        </is>
      </c>
      <c r="M129" t="inlineStr">
        <is>
          <t>Roaming</t>
        </is>
      </c>
      <c r="O129" t="inlineStr">
        <is>
          <t>Early-Mid</t>
        </is>
      </c>
      <c r="P129" t="inlineStr">
        <is>
          <t>None</t>
        </is>
      </c>
      <c r="Q129" t="n">
        <v>2</v>
      </c>
      <c r="R129" t="inlineStr">
        <is>
          <t>No</t>
        </is>
      </c>
    </row>
    <row r="130" ht="15" customHeight="1">
      <c r="A130" t="inlineStr">
        <is>
          <t>129</t>
        </is>
      </c>
      <c r="B130" t="inlineStr">
        <is>
          <t>Zetian</t>
        </is>
      </c>
      <c r="C130" t="inlineStr">
        <is>
          <t>Mage</t>
        </is>
      </c>
      <c r="E130" t="n">
        <v>80</v>
      </c>
      <c r="F130" t="n">
        <v>50</v>
      </c>
      <c r="G130" t="n">
        <v>30</v>
      </c>
      <c r="H130" t="n">
        <v>20</v>
      </c>
      <c r="I130" t="inlineStr">
        <is>
          <t>Burst</t>
        </is>
      </c>
      <c r="J130" t="inlineStr">
        <is>
          <t>AoE Damage</t>
        </is>
      </c>
      <c r="K130" t="inlineStr">
        <is>
          <t>Magic</t>
        </is>
      </c>
      <c r="L130" t="inlineStr">
        <is>
          <t>Ranged</t>
        </is>
      </c>
      <c r="M130" t="inlineStr">
        <is>
          <t>Mid Lane</t>
        </is>
      </c>
      <c r="O130" t="inlineStr">
        <is>
          <t>Mid</t>
        </is>
      </c>
      <c r="P130" t="inlineStr">
        <is>
          <t>Mana</t>
        </is>
      </c>
      <c r="Q130" t="n">
        <v>3</v>
      </c>
      <c r="R130" t="inlineStr">
        <is>
          <t>No</t>
        </is>
      </c>
    </row>
    <row r="131" ht="15" customHeight="1">
      <c r="A131" t="inlineStr">
        <is>
          <t>130</t>
        </is>
      </c>
      <c r="B131" t="inlineStr">
        <is>
          <t>Obsidia</t>
        </is>
      </c>
      <c r="C131" t="inlineStr">
        <is>
          <t>Marksman</t>
        </is>
      </c>
      <c r="E131" t="n">
        <v>70</v>
      </c>
      <c r="F131" t="n">
        <v>10</v>
      </c>
      <c r="G131" t="n">
        <v>20</v>
      </c>
      <c r="H131" t="n">
        <v>40</v>
      </c>
      <c r="I131" t="inlineStr">
        <is>
          <t>DPS</t>
        </is>
      </c>
      <c r="J131" t="inlineStr">
        <is>
          <t>Poke</t>
        </is>
      </c>
      <c r="K131" t="inlineStr">
        <is>
          <t>Physical</t>
        </is>
      </c>
      <c r="L131" t="inlineStr">
        <is>
          <t>Ranged</t>
        </is>
      </c>
      <c r="M131" t="inlineStr">
        <is>
          <t>Gold Lane</t>
        </is>
      </c>
      <c r="O131" t="inlineStr">
        <is>
          <t>Mid-Late</t>
        </is>
      </c>
      <c r="P131" t="inlineStr">
        <is>
          <t>Mana</t>
        </is>
      </c>
      <c r="Q131" t="n">
        <v>4</v>
      </c>
      <c r="R131" t="inlineStr">
        <is>
          <t>No</t>
        </is>
      </c>
    </row>
    <row r="132" ht="15" customHeight="1">
      <c r="A132" t="inlineStr">
        <is>
          <t>131</t>
        </is>
      </c>
      <c r="B132" t="inlineStr">
        <is>
          <t>Sora</t>
        </is>
      </c>
      <c r="C132" t="inlineStr">
        <is>
          <t>Fighter</t>
        </is>
      </c>
      <c r="D132" t="inlineStr">
        <is>
          <t>Assassin</t>
        </is>
      </c>
      <c r="E132" t="n">
        <v>60</v>
      </c>
      <c r="F132" t="n">
        <v>50</v>
      </c>
      <c r="G132" t="n">
        <v>60</v>
      </c>
      <c r="H132" t="n">
        <v>50</v>
      </c>
      <c r="I132" t="inlineStr">
        <is>
          <t>Burst</t>
        </is>
      </c>
      <c r="J132" t="inlineStr">
        <is>
          <t>Dash/Blink</t>
        </is>
      </c>
      <c r="K132" t="inlineStr">
        <is>
          <t>Physical</t>
        </is>
      </c>
      <c r="L132" t="inlineStr">
        <is>
          <t>Melee</t>
        </is>
      </c>
      <c r="M132" t="inlineStr">
        <is>
          <t>EXP Lane</t>
        </is>
      </c>
      <c r="O132" t="inlineStr">
        <is>
          <t>Mid</t>
        </is>
      </c>
      <c r="P132" t="inlineStr">
        <is>
          <t>None</t>
        </is>
      </c>
      <c r="Q132" t="n">
        <v>3</v>
      </c>
      <c r="R132" t="inlineStr">
        <is>
          <t>No</t>
        </is>
      </c>
    </row>
    <row r="133" ht="15" customHeight="1">
      <c r="A133" t="inlineStr">
        <is>
          <t>132</t>
        </is>
      </c>
      <c r="B133" t="inlineStr">
        <is>
          <t>Marcel</t>
        </is>
      </c>
      <c r="C133" t="inlineStr">
        <is>
          <t>Support</t>
        </is>
      </c>
      <c r="E133" t="n">
        <v>30</v>
      </c>
      <c r="F133" t="n">
        <v>100</v>
      </c>
      <c r="G133" t="n">
        <v>70</v>
      </c>
      <c r="H133" t="n">
        <v>30</v>
      </c>
      <c r="I133" t="inlineStr">
        <is>
          <t>Healing</t>
        </is>
      </c>
      <c r="J133" t="inlineStr">
        <is>
          <t>Hard CC</t>
        </is>
      </c>
      <c r="K133" t="inlineStr">
        <is>
          <t>Physical</t>
        </is>
      </c>
      <c r="L133" t="inlineStr">
        <is>
          <t>Melee</t>
        </is>
      </c>
      <c r="M133" t="inlineStr">
        <is>
          <t>Roaming</t>
        </is>
      </c>
      <c r="O133" t="inlineStr">
        <is>
          <t>Early-Mid</t>
        </is>
      </c>
      <c r="P133" t="inlineStr">
        <is>
          <t>Mana</t>
        </is>
      </c>
      <c r="Q133" t="n">
        <v>2</v>
      </c>
      <c r="R133" t="inlineStr">
        <is>
          <t>No</t>
        </is>
      </c>
    </row>
    <row r="134" ht="15" customHeight="1">
      <c r="A134" t="inlineStr">
        <is>
          <t>133</t>
        </is>
      </c>
      <c r="B134" t="inlineStr">
        <is>
          <t>Hirara</t>
        </is>
      </c>
      <c r="C134" t="inlineStr">
        <is>
          <t>Assassin</t>
        </is>
      </c>
      <c r="E134" t="n">
        <v>80</v>
      </c>
      <c r="F134" t="n">
        <v>40</v>
      </c>
      <c r="G134" t="n">
        <v>40</v>
      </c>
      <c r="H134" t="n">
        <v>70</v>
      </c>
      <c r="I134" t="inlineStr">
        <is>
          <t>Burst</t>
        </is>
      </c>
      <c r="J134" t="inlineStr">
        <is>
          <t>High Mobility</t>
        </is>
      </c>
      <c r="K134" t="inlineStr">
        <is>
          <t>Physical</t>
        </is>
      </c>
      <c r="L134" t="inlineStr">
        <is>
          <t>Melee</t>
        </is>
      </c>
      <c r="M134" t="inlineStr">
        <is>
          <t>Jungle</t>
        </is>
      </c>
      <c r="O134" t="inlineStr">
        <is>
          <t>Early-Mid</t>
        </is>
      </c>
      <c r="P134" t="inlineStr">
        <is>
          <t>Energy</t>
        </is>
      </c>
      <c r="Q134" t="n">
        <v>2</v>
      </c>
      <c r="R134" t="inlineStr">
        <is>
          <t>No</t>
        </is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89"/>
  <sheetViews>
    <sheetView tabSelected="1" zoomScaleNormal="100" workbookViewId="0">
      <pane ySplit="3" topLeftCell="A43" activePane="bottomLeft" state="frozen"/>
      <selection pane="bottomLeft" activeCell="F109" sqref="F109"/>
    </sheetView>
  </sheetViews>
  <sheetFormatPr baseColWidth="8" defaultColWidth="8.6640625" defaultRowHeight="14.4"/>
  <cols>
    <col width="22" customWidth="1" min="1" max="1"/>
    <col width="16" customWidth="1" min="2" max="2"/>
    <col width="20" customWidth="1" min="3" max="3"/>
    <col width="16" customWidth="1" min="4" max="5"/>
    <col width="40" customWidth="1" min="6" max="6"/>
    <col width="14" customWidth="1" min="7" max="22"/>
    <col width="16" customWidth="1" min="23" max="23"/>
  </cols>
  <sheetData>
    <row r="1" ht="17.25" customHeight="1">
      <c r="A1" s="17" t="inlineStr">
        <is>
          <t>MLBB HERO COUNTER — DATA / INPUT SHEET</t>
        </is>
      </c>
    </row>
    <row r="3" ht="15" customHeight="1">
      <c r="A3" s="18" t="inlineStr">
        <is>
          <t>This is the ONLY sheet you should manually edit. Shaded yellow cells are safe to change. See the "Documentation - Computations Only" tab for exactly how every formula uses these values.</t>
        </is>
      </c>
    </row>
    <row r="5" ht="15" customHeight="1">
      <c r="A5" s="16" t="inlineStr">
        <is>
          <t>1) GLOBAL WEIGHTS / COEFFICIENTS</t>
        </is>
      </c>
    </row>
    <row r="6" ht="15" customHeight="1">
      <c r="A6" s="2" t="inlineStr">
        <is>
          <t>Coefficient</t>
        </is>
      </c>
      <c r="B6" s="2" t="inlineStr">
        <is>
          <t>Value</t>
        </is>
      </c>
      <c r="C6" s="2" t="inlineStr">
        <is>
          <t>Description</t>
        </is>
      </c>
    </row>
    <row r="7" ht="15" customHeight="1">
      <c r="A7" s="3" t="inlineStr">
        <is>
          <t>role_mult</t>
        </is>
      </c>
      <c r="B7" s="4" t="n">
        <v>5</v>
      </c>
      <c r="C7" s="3" t="inlineStr">
        <is>
          <t>Multiplier applied to the Role Matchup points (Block 2) to get the Role Advantage score component.</t>
        </is>
      </c>
    </row>
    <row r="8" ht="15" customHeight="1">
      <c r="A8" s="3" t="inlineStr">
        <is>
          <t>burst_mult</t>
        </is>
      </c>
      <c r="B8" s="4" t="n">
        <v>0.1</v>
      </c>
      <c r="C8" s="3" t="inlineStr">
        <is>
          <t>Multiplier applied to (attacker offense + ability_effects)/2 minus defender durability (the "Stat" component).</t>
        </is>
      </c>
    </row>
    <row r="9" ht="15" customHeight="1">
      <c r="A9" s="3" t="inlineStr">
        <is>
          <t>diff_mult</t>
        </is>
      </c>
      <c r="B9" s="4" t="n">
        <v>0.3</v>
      </c>
      <c r="C9" s="3" t="inlineStr">
        <is>
          <t>Multiplier applied to the difficulty gap (attacker difficulty - defender difficulty) when that gap exceeds 20.</t>
        </is>
      </c>
    </row>
    <row r="10" ht="15" customHeight="1">
      <c r="A10" s="3" t="inlineStr">
        <is>
          <t>style_mult</t>
        </is>
      </c>
      <c r="B10" s="4" t="n">
        <v>5</v>
      </c>
      <c r="C10" s="3" t="inlineStr">
        <is>
          <t>Multiplier applied to the Style/Tag Matchup points (Block 5) to get the Style Matchup score component.</t>
        </is>
      </c>
    </row>
    <row r="11" ht="15" customHeight="1">
      <c r="A11" s="3" t="inlineStr">
        <is>
          <t>spike_mult</t>
        </is>
      </c>
      <c r="B11" s="4" t="n">
        <v>3</v>
      </c>
      <c r="C11" s="3" t="inlineStr">
        <is>
          <t>Multiplier applied to the power-spike-order gap (attacker spike order - defender spike order).</t>
        </is>
      </c>
    </row>
    <row r="12" ht="15" customHeight="1">
      <c r="A12" s="3" t="inlineStr">
        <is>
          <t>dmgtype_same</t>
        </is>
      </c>
      <c r="B12" s="4" t="n">
        <v>-2</v>
      </c>
      <c r="C12" s="3" t="inlineStr">
        <is>
          <t>Score adjustment when attacker and defender share the same damage type (Physical/Physical or Magic/Magic).</t>
        </is>
      </c>
    </row>
    <row r="13" ht="15" customHeight="1">
      <c r="A13" s="3" t="inlineStr">
        <is>
          <t>dmgtype_diff</t>
        </is>
      </c>
      <c r="B13" s="4" t="n">
        <v>3</v>
      </c>
      <c r="C13" s="3" t="inlineStr">
        <is>
          <t>Score adjustment when attacker and defender have different, non-Mixed damage types.</t>
        </is>
      </c>
    </row>
    <row r="14" ht="15" customHeight="1">
      <c r="A14" s="3" t="inlineStr">
        <is>
          <t>dmgtype_mixed</t>
        </is>
      </c>
      <c r="B14" s="4" t="n">
        <v>5</v>
      </c>
      <c r="C14" s="3" t="inlineStr">
        <is>
          <t>Score adjustment when the attacker's damage type is "Mixed".</t>
        </is>
      </c>
    </row>
    <row r="15" ht="15" customHeight="1">
      <c r="A15" s="3" t="inlineStr">
        <is>
          <t>rangetype_mult</t>
        </is>
      </c>
      <c r="B15" s="4" t="n">
        <v>3</v>
      </c>
      <c r="C15" s="3" t="inlineStr">
        <is>
          <t>Bonus applied when Attacker has a mobility/engage tag (Dash/Blink, High Mobility, Global Dive, Mobility) and Defender.range_type = "Ranged" (harder for backline carries to disengage from an engage-tagged attacker).</t>
        </is>
      </c>
    </row>
    <row r="16" ht="15" customHeight="1">
      <c r="A16" s="3" t="inlineStr">
        <is>
          <t>antiheal_mult</t>
        </is>
      </c>
      <c r="B16" s="4" t="n">
        <v>6</v>
      </c>
      <c r="C16" s="3" t="inlineStr">
        <is>
          <t>Bonus applied when Attacker.has_antiheal = "Yes" (Heroes sheet) and Defender has a Sustain or Healing tag (negates the defender's core sustain identity).</t>
        </is>
      </c>
    </row>
    <row r="17" ht="15" customHeight="1">
      <c r="A17" s="16" t="inlineStr">
        <is>
          <t>2) ROLE MATCHUP MATRIX  (Attacker row -&gt; Defender column, points BEFORE role_mult)</t>
        </is>
      </c>
    </row>
    <row r="18" ht="15" customHeight="1">
      <c r="A18" s="2" t="inlineStr">
        <is>
          <t>Attacker\Defender</t>
        </is>
      </c>
      <c r="B18" s="2" t="inlineStr">
        <is>
          <t>Tank</t>
        </is>
      </c>
      <c r="C18" s="2" t="inlineStr">
        <is>
          <t>Fighter</t>
        </is>
      </c>
      <c r="D18" s="2" t="inlineStr">
        <is>
          <t>Assassin</t>
        </is>
      </c>
      <c r="E18" s="2" t="inlineStr">
        <is>
          <t>Mage</t>
        </is>
      </c>
      <c r="F18" s="2" t="inlineStr">
        <is>
          <t>Marksman</t>
        </is>
      </c>
      <c r="G18" s="2" t="inlineStr">
        <is>
          <t>Support</t>
        </is>
      </c>
    </row>
    <row r="19" ht="15" customHeight="1">
      <c r="A19" s="1" t="inlineStr">
        <is>
          <t>Tank</t>
        </is>
      </c>
      <c r="B19" s="4" t="n">
        <v>0</v>
      </c>
      <c r="C19" s="4" t="n">
        <v>0</v>
      </c>
      <c r="D19" s="4" t="n">
        <v>2</v>
      </c>
      <c r="E19" s="4" t="n">
        <v>-1</v>
      </c>
      <c r="F19" s="4" t="n">
        <v>-1</v>
      </c>
      <c r="G19" s="4" t="n">
        <v>-1</v>
      </c>
    </row>
    <row r="20" ht="15" customHeight="1">
      <c r="A20" s="1" t="inlineStr">
        <is>
          <t>Fighter</t>
        </is>
      </c>
      <c r="B20" s="4" t="n">
        <v>0</v>
      </c>
      <c r="C20" s="4" t="n">
        <v>0</v>
      </c>
      <c r="D20" s="4" t="n">
        <v>1</v>
      </c>
      <c r="E20" s="4" t="n">
        <v>1</v>
      </c>
      <c r="F20" s="4" t="n">
        <v>2</v>
      </c>
      <c r="G20" s="4" t="n">
        <v>0</v>
      </c>
    </row>
    <row r="21" ht="15" customHeight="1">
      <c r="A21" s="1" t="inlineStr">
        <is>
          <t>Assassin</t>
        </is>
      </c>
      <c r="B21" s="4" t="n">
        <v>-1</v>
      </c>
      <c r="C21" s="4" t="n">
        <v>0</v>
      </c>
      <c r="D21" s="4" t="n">
        <v>0</v>
      </c>
      <c r="E21" s="4" t="n">
        <v>2</v>
      </c>
      <c r="F21" s="4" t="n">
        <v>2</v>
      </c>
      <c r="G21" s="4" t="n">
        <v>1</v>
      </c>
    </row>
    <row r="22" ht="15" customHeight="1">
      <c r="A22" s="1" t="inlineStr">
        <is>
          <t>Mage</t>
        </is>
      </c>
      <c r="B22" s="4" t="n">
        <v>1</v>
      </c>
      <c r="C22" s="4" t="n">
        <v>1</v>
      </c>
      <c r="D22" s="4" t="n">
        <v>-1</v>
      </c>
      <c r="E22" s="4" t="n">
        <v>0</v>
      </c>
      <c r="F22" s="4" t="n">
        <v>1</v>
      </c>
      <c r="G22" s="4" t="n">
        <v>0</v>
      </c>
    </row>
    <row r="23" ht="15" customHeight="1">
      <c r="A23" s="1" t="inlineStr">
        <is>
          <t>Marksman</t>
        </is>
      </c>
      <c r="B23" s="4" t="n">
        <v>1</v>
      </c>
      <c r="C23" s="4" t="n">
        <v>-1</v>
      </c>
      <c r="D23" s="4" t="n">
        <v>-1</v>
      </c>
      <c r="E23" s="4" t="n">
        <v>0</v>
      </c>
      <c r="F23" s="4" t="n">
        <v>0</v>
      </c>
      <c r="G23" s="4" t="n">
        <v>0</v>
      </c>
    </row>
    <row r="24" ht="15" customHeight="1">
      <c r="A24" s="1" t="inlineStr">
        <is>
          <t>Support</t>
        </is>
      </c>
      <c r="B24" s="4" t="n">
        <v>-1</v>
      </c>
      <c r="C24" s="4" t="n">
        <v>-1</v>
      </c>
      <c r="D24" s="4" t="n">
        <v>-2</v>
      </c>
      <c r="E24" s="4" t="n">
        <v>-1</v>
      </c>
      <c r="F24" s="4" t="n">
        <v>-1</v>
      </c>
      <c r="G24" s="4" t="n">
        <v>0</v>
      </c>
    </row>
    <row r="27" ht="15" customHeight="1">
      <c r="A27" s="16" t="inlineStr">
        <is>
          <t>3) HARD COUNTER RULES  (named-hero or tag-based special matchups — added on top of everything else). Rows 29-128 are dropdown-ready: pick Attacker, ConditionType, and ConditionValue from the lists, just type the row below your last rule.</t>
        </is>
      </c>
    </row>
    <row r="28" ht="15" customHeight="1">
      <c r="A28" s="2" t="inlineStr">
        <is>
          <t>Attacker</t>
        </is>
      </c>
      <c r="B28" s="2" t="inlineStr">
        <is>
          <t>ConditionType (Tag/Hero)</t>
        </is>
      </c>
      <c r="C28" s="2" t="inlineStr">
        <is>
          <t>ConditionValue</t>
        </is>
      </c>
      <c r="D28" s="2" t="inlineStr">
        <is>
          <t>Bonus_To_Attacker</t>
        </is>
      </c>
      <c r="E28" s="2" t="inlineStr">
        <is>
          <t>Penalty_To_Defender</t>
        </is>
      </c>
      <c r="F28" s="2" t="inlineStr">
        <is>
          <t>Note</t>
        </is>
      </c>
      <c r="I28" s="1" t="inlineStr">
        <is>
          <t>Helper lists (auto - do not edit) for ConditionValue dropdown:</t>
        </is>
      </c>
    </row>
    <row r="29" ht="15" customHeight="1">
      <c r="A29" s="4" t="inlineStr">
        <is>
          <t>Phoveus</t>
        </is>
      </c>
      <c r="B29" s="4" t="inlineStr">
        <is>
          <t>Tag</t>
        </is>
      </c>
      <c r="C29" s="4" t="inlineStr">
        <is>
          <t>Dash/Blink</t>
        </is>
      </c>
      <c r="D29" s="4" t="n">
        <v>17</v>
      </c>
      <c r="E29" s="4" t="n">
        <v>-23</v>
      </c>
      <c r="F29" s="3" t="inlineStr">
        <is>
          <t>Anti-mobility Fighter: Contempt/Soul Reaper marks and executes blink/dash divers who commit onto him. (Merged with overlapping Mobility/High Mobility rows below, averaged + tag-count adjustment to prevent triple-stacking)</t>
        </is>
      </c>
      <c r="I29" s="1" t="inlineStr">
        <is>
          <t>DamageType</t>
        </is>
      </c>
      <c r="J29" t="inlineStr">
        <is>
          <t>Physical</t>
        </is>
      </c>
    </row>
    <row r="30" ht="15" customHeight="1">
      <c r="A30" s="4" t="inlineStr">
        <is>
          <t>Phoveus</t>
        </is>
      </c>
      <c r="B30" s="4" t="inlineStr">
        <is>
          <t>Tag</t>
        </is>
      </c>
      <c r="C30" s="4" t="inlineStr">
        <is>
          <t>High Mobility</t>
        </is>
      </c>
      <c r="D30" s="4" t="n">
        <v>17</v>
      </c>
      <c r="E30" s="4" t="n">
        <v>-23</v>
      </c>
      <c r="F30" s="3" t="inlineStr">
        <is>
          <t>Punishes sustained-mobility assassins that must stay in his kit range to deal damage. (Same merged value as Dash/Blink row - only highest single match should apply per target)</t>
        </is>
      </c>
      <c r="J30" t="inlineStr">
        <is>
          <t>Magic</t>
        </is>
      </c>
    </row>
    <row r="31" ht="15" customHeight="1">
      <c r="A31" s="4" t="inlineStr">
        <is>
          <t>Phoveus</t>
        </is>
      </c>
      <c r="B31" s="4" t="inlineStr">
        <is>
          <t>Tag</t>
        </is>
      </c>
      <c r="C31" s="4" t="inlineStr">
        <is>
          <t>Mobility</t>
        </is>
      </c>
      <c r="D31" s="4" t="n">
        <v>17</v>
      </c>
      <c r="E31" s="4" t="n">
        <v>-23</v>
      </c>
      <c r="F31" s="3" t="inlineStr">
        <is>
          <t>General mobility-tag matchup bonus for Phoveus. (Merged value - use as fallback only if neither narrower tag applies)</t>
        </is>
      </c>
      <c r="J31" t="inlineStr">
        <is>
          <t>Mixed</t>
        </is>
      </c>
    </row>
    <row r="32" ht="15" customHeight="1">
      <c r="A32" s="4" t="inlineStr">
        <is>
          <t>Faramis</t>
        </is>
      </c>
      <c r="B32" s="4" t="inlineStr">
        <is>
          <t>Hero</t>
        </is>
      </c>
      <c r="C32" s="4" t="inlineStr">
        <is>
          <t>Gloo</t>
        </is>
      </c>
      <c r="D32" s="4" t="n">
        <v>20</v>
      </c>
      <c r="E32" s="4" t="n">
        <v>-18</v>
      </c>
      <c r="F32" s="3" t="inlineStr">
        <is>
          <t>Faramis' ultimate burst plus Army of the Dead shred Gloo's split-body sustain before he can re-form.</t>
        </is>
      </c>
    </row>
    <row r="33" ht="15" customHeight="1">
      <c r="A33" s="4" t="inlineStr">
        <is>
          <t>Franco</t>
        </is>
      </c>
      <c r="B33" s="4" t="inlineStr">
        <is>
          <t>Tag</t>
        </is>
      </c>
      <c r="C33" s="4" t="inlineStr">
        <is>
          <t>Dash/Blink</t>
        </is>
      </c>
      <c r="D33" s="4" t="n">
        <v>10</v>
      </c>
      <c r="E33" s="4" t="n">
        <v>-12</v>
      </c>
      <c r="F33" s="3" t="inlineStr">
        <is>
          <t>Iron Hook interrupts dash/blink animations and yanks divers out of position.</t>
        </is>
      </c>
      <c r="I33" s="1" t="inlineStr">
        <is>
          <t>Resource</t>
        </is>
      </c>
      <c r="J33" t="inlineStr">
        <is>
          <t>Mana</t>
        </is>
      </c>
    </row>
    <row r="34" ht="15" customHeight="1">
      <c r="A34" s="4" t="inlineStr">
        <is>
          <t>Khufra</t>
        </is>
      </c>
      <c r="B34" s="4" t="inlineStr">
        <is>
          <t>Tag</t>
        </is>
      </c>
      <c r="C34" s="4" t="inlineStr">
        <is>
          <t>Dash/Blink</t>
        </is>
      </c>
      <c r="D34" s="4" t="n">
        <v>11</v>
      </c>
      <c r="E34" s="4" t="n">
        <v>-13</v>
      </c>
      <c r="F34" s="3" t="inlineStr">
        <is>
          <t>Bouncing Ball and Skill 2 knock-up cancel dashes/blinks mid-animation, hard-locking mobility divers. (Duplicate rows merged and averaged with tag-count adjustment)</t>
        </is>
      </c>
      <c r="J34" t="inlineStr">
        <is>
          <t>Energy</t>
        </is>
      </c>
    </row>
    <row r="35" ht="15" customHeight="1">
      <c r="A35" s="4" t="inlineStr">
        <is>
          <t>Khufra</t>
        </is>
      </c>
      <c r="B35" s="4" t="inlineStr">
        <is>
          <t>Tag</t>
        </is>
      </c>
      <c r="C35" s="4" t="inlineStr">
        <is>
          <t>High Mobility</t>
        </is>
      </c>
      <c r="D35" s="4" t="n">
        <v>11</v>
      </c>
      <c r="E35" s="4" t="n">
        <v>-13</v>
      </c>
      <c r="F35" s="3" t="inlineStr">
        <is>
          <t>Sturdiness plus Charging Roar punish sustained-mobility assassins. (Duplicate rows merged and averaged with tag-count adjustment)</t>
        </is>
      </c>
      <c r="J35" t="inlineStr">
        <is>
          <t>None</t>
        </is>
      </c>
    </row>
    <row r="36" ht="15" customHeight="1">
      <c r="A36" s="4" t="inlineStr">
        <is>
          <t>Lolita</t>
        </is>
      </c>
      <c r="B36" s="4" t="inlineStr">
        <is>
          <t>Tag</t>
        </is>
      </c>
      <c r="C36" s="4" t="inlineStr">
        <is>
          <t>Global Dive</t>
        </is>
      </c>
      <c r="D36" s="4" t="n">
        <v>15</v>
      </c>
      <c r="E36" s="4" t="n">
        <v>-20</v>
      </c>
      <c r="F36" s="3" t="inlineStr">
        <is>
          <t>Shield absorbs global ultimates and burst combos, hard-countering dive compositions.</t>
        </is>
      </c>
    </row>
    <row r="37" ht="15" customHeight="1">
      <c r="A37" s="4" t="inlineStr">
        <is>
          <t>Diggie</t>
        </is>
      </c>
      <c r="B37" s="4" t="inlineStr">
        <is>
          <t>Tag</t>
        </is>
      </c>
      <c r="C37" s="4" t="inlineStr">
        <is>
          <t>Hard CC</t>
        </is>
      </c>
      <c r="D37" s="4" t="n">
        <v>12</v>
      </c>
      <c r="E37" s="4" t="n">
        <v>-15</v>
      </c>
      <c r="F37" s="3" t="inlineStr">
        <is>
          <t>Reverse Delay and Time Journey purge crowd control, hard-countering CC-reliant heroes.</t>
        </is>
      </c>
    </row>
    <row r="38" ht="15" customHeight="1">
      <c r="A38" s="4" t="inlineStr">
        <is>
          <t>Baxia</t>
        </is>
      </c>
      <c r="B38" s="4" t="inlineStr">
        <is>
          <t>Tag</t>
        </is>
      </c>
      <c r="C38" s="4" t="inlineStr">
        <is>
          <t>AoE Damage</t>
        </is>
      </c>
      <c r="D38" s="4" t="n">
        <v>12</v>
      </c>
      <c r="E38" s="4" t="n">
        <v>-15</v>
      </c>
      <c r="F38" s="3" t="inlineStr">
        <is>
          <t>Aegis shield mitigates AoE poke/damage compositions.</t>
        </is>
      </c>
    </row>
    <row r="39" ht="15" customHeight="1">
      <c r="A39" s="4" t="inlineStr">
        <is>
          <t>Baxia</t>
        </is>
      </c>
      <c r="B39" s="4" t="inlineStr">
        <is>
          <t>Tag</t>
        </is>
      </c>
      <c r="C39" s="4" t="inlineStr">
        <is>
          <t>Poke</t>
        </is>
      </c>
      <c r="D39" s="4" t="n">
        <v>10</v>
      </c>
      <c r="E39" s="4" t="n">
        <v>-12</v>
      </c>
      <c r="F39" s="3" t="inlineStr">
        <is>
          <t>Damage reduction plus anti-heal wear down poke comps over time.</t>
        </is>
      </c>
    </row>
    <row r="40" ht="15" customHeight="1">
      <c r="A40" s="4" t="inlineStr">
        <is>
          <t>Helcurt</t>
        </is>
      </c>
      <c r="B40" s="4" t="inlineStr">
        <is>
          <t>Tag</t>
        </is>
      </c>
      <c r="C40" s="4" t="inlineStr">
        <is>
          <t>Poke</t>
        </is>
      </c>
      <c r="D40" s="4" t="n">
        <v>12</v>
      </c>
      <c r="E40" s="4" t="n">
        <v>-14</v>
      </c>
      <c r="F40" s="3" t="inlineStr">
        <is>
          <t>Stealth and silence punish backline poke mages before they can kite.</t>
        </is>
      </c>
    </row>
    <row r="41" ht="15" customHeight="1">
      <c r="A41" s="4" t="inlineStr">
        <is>
          <t>Ruby</t>
        </is>
      </c>
      <c r="B41" s="4" t="inlineStr">
        <is>
          <t>Tag</t>
        </is>
      </c>
      <c r="C41" s="4" t="inlineStr">
        <is>
          <t>Dash/Blink</t>
        </is>
      </c>
      <c r="D41" s="4" t="n">
        <v>8</v>
      </c>
      <c r="E41" s="4" t="n">
        <v>-10</v>
      </c>
      <c r="F41" s="3" t="inlineStr">
        <is>
          <t>Ruby's leash/pull chains punish overextending dash divers.</t>
        </is>
      </c>
    </row>
    <row r="42" ht="15" customHeight="1">
      <c r="A42" s="4" t="inlineStr">
        <is>
          <t>Chou</t>
        </is>
      </c>
      <c r="B42" s="4" t="inlineStr">
        <is>
          <t>Tag</t>
        </is>
      </c>
      <c r="C42" s="4" t="inlineStr">
        <is>
          <t>High Mobility</t>
        </is>
      </c>
      <c r="D42" s="4" t="n">
        <v>14</v>
      </c>
      <c r="E42" s="4" t="n">
        <v>-16</v>
      </c>
      <c r="F42" s="3" t="inlineStr">
        <is>
          <t>Kung-fu combo traps and out-trades divers who must commit to melee range.</t>
        </is>
      </c>
    </row>
    <row r="43" ht="15" customHeight="1">
      <c r="A43" s="4" t="inlineStr">
        <is>
          <t>Lylia</t>
        </is>
      </c>
      <c r="B43" s="4" t="inlineStr">
        <is>
          <t>Tag</t>
        </is>
      </c>
      <c r="C43" s="4" t="inlineStr">
        <is>
          <t>Dash/Blink</t>
        </is>
      </c>
      <c r="D43" s="4" t="n">
        <v>10</v>
      </c>
      <c r="E43" s="4" t="n">
        <v>-12</v>
      </c>
      <c r="F43" s="3" t="inlineStr">
        <is>
          <t>Nightmare Ferry wall punishes short-range engages before they land.</t>
        </is>
      </c>
    </row>
    <row r="44" ht="15" customHeight="1">
      <c r="A44" s="4" t="inlineStr">
        <is>
          <t>Angela</t>
        </is>
      </c>
      <c r="B44" t="inlineStr">
        <is>
          <t>Hero</t>
        </is>
      </c>
      <c r="C44" t="inlineStr">
        <is>
          <t>Fanny</t>
        </is>
      </c>
      <c r="D44" t="n">
        <v>12</v>
      </c>
      <c r="E44" t="n">
        <v>-10</v>
      </c>
      <c r="F44" t="inlineStr">
        <is>
          <t>Camellia's Ring root denies Fanny's cable-swing kiting window. (Corrected: kit is Smart Heal / Camellia's Ring / Punishment of Nature, not 'Camellia Sword')</t>
        </is>
      </c>
    </row>
    <row r="45" ht="15" customHeight="1">
      <c r="A45" s="4" t="inlineStr">
        <is>
          <t>Selena</t>
        </is>
      </c>
      <c r="B45" s="4" t="inlineStr">
        <is>
          <t>Tag</t>
        </is>
      </c>
      <c r="C45" s="4" t="inlineStr">
        <is>
          <t>Soft CC</t>
        </is>
      </c>
      <c r="D45" s="4" t="n">
        <v>8</v>
      </c>
      <c r="E45" s="4" t="n">
        <v>-8</v>
      </c>
      <c r="F45" s="3" t="inlineStr">
        <is>
          <t>Abyssal Trap chain-CC beats heroes that rely on soft disables to land damage.</t>
        </is>
      </c>
    </row>
    <row r="46" ht="15" customHeight="1">
      <c r="A46" s="4" t="inlineStr">
        <is>
          <t>Karrie</t>
        </is>
      </c>
      <c r="B46" s="4" t="inlineStr">
        <is>
          <t>Tag</t>
        </is>
      </c>
      <c r="C46" s="4" t="inlineStr">
        <is>
          <t>Sustain</t>
        </is>
      </c>
      <c r="D46" s="4" t="n">
        <v>10</v>
      </c>
      <c r="E46" s="4" t="n">
        <v>-10</v>
      </c>
      <c r="F46" s="3" t="inlineStr">
        <is>
          <t>True damage passive shreds lifesteal/regen-heavy sustain heroes.</t>
        </is>
      </c>
    </row>
    <row r="47" ht="15" customHeight="1">
      <c r="A47" s="4" t="inlineStr">
        <is>
          <t>Kaja</t>
        </is>
      </c>
      <c r="B47" s="4" t="inlineStr">
        <is>
          <t>Tag</t>
        </is>
      </c>
      <c r="C47" s="4" t="inlineStr">
        <is>
          <t>Global Dive</t>
        </is>
      </c>
      <c r="D47" s="4" t="n">
        <v>10</v>
      </c>
      <c r="E47" s="4" t="n">
        <v>-14</v>
      </c>
      <c r="F47" s="3" t="inlineStr">
        <is>
          <t>Divine Judgment locks down and executes global-ultimate divers specifically.</t>
        </is>
      </c>
    </row>
    <row r="48" ht="15" customHeight="1">
      <c r="A48" s="4" t="inlineStr">
        <is>
          <t>Esmeralda</t>
        </is>
      </c>
      <c r="B48" s="4" t="inlineStr">
        <is>
          <t>DamageType</t>
        </is>
      </c>
      <c r="C48" s="4" t="inlineStr">
        <is>
          <t>Magic</t>
        </is>
      </c>
      <c r="D48" s="4" t="n">
        <v>10</v>
      </c>
      <c r="E48" s="4" t="n">
        <v>-8</v>
      </c>
      <c r="F48" s="3" t="inlineStr">
        <is>
          <t>Shield-and-reflect kit is disproportionately strong vs magic burst.</t>
        </is>
      </c>
    </row>
    <row r="49" ht="15" customHeight="1">
      <c r="A49" s="4" t="inlineStr">
        <is>
          <t>Baxia</t>
        </is>
      </c>
      <c r="B49" s="4" t="inlineStr">
        <is>
          <t>Role</t>
        </is>
      </c>
      <c r="C49" s="4" t="inlineStr">
        <is>
          <t>Marksman</t>
        </is>
      </c>
      <c r="D49" s="4" t="n">
        <v>8</v>
      </c>
      <c r="E49" s="4" t="n">
        <v>-10</v>
      </c>
      <c r="F49" s="3" t="inlineStr">
        <is>
          <t>Peel/shield kit is disproportionately strong protecting/denying squishy marksman targets.</t>
        </is>
      </c>
    </row>
    <row r="50" ht="15" customHeight="1">
      <c r="A50" s="4" t="inlineStr">
        <is>
          <t>Aurora</t>
        </is>
      </c>
      <c r="B50" s="4" t="inlineStr">
        <is>
          <t>Resource</t>
        </is>
      </c>
      <c r="C50" s="4" t="inlineStr">
        <is>
          <t>Mana</t>
        </is>
      </c>
      <c r="D50" s="4" t="n">
        <v>6</v>
      </c>
      <c r="E50" s="4" t="n">
        <v>-8</v>
      </c>
      <c r="F50" s="3" t="inlineStr">
        <is>
          <t>Illustrative Resource-type rule (template) - adjust based on your read of the mana-dependent meta.</t>
        </is>
      </c>
    </row>
    <row r="51" ht="15" customHeight="1">
      <c r="A51" s="4" t="inlineStr">
        <is>
          <t>Kalea</t>
        </is>
      </c>
      <c r="B51" s="4" t="inlineStr">
        <is>
          <t>Tag</t>
        </is>
      </c>
      <c r="C51" s="4" t="inlineStr">
        <is>
          <t>High Mobility</t>
        </is>
      </c>
      <c r="D51" s="4" t="n">
        <v>13</v>
      </c>
      <c r="E51" s="4" t="n">
        <v>-13</v>
      </c>
      <c r="F51" s="3" t="inlineStr">
        <is>
          <t>High-damage charge combos punish sustained-mobility heroes. (Merged with overlapping Dash/Blink row, averaged with tag-count adjustment)</t>
        </is>
      </c>
    </row>
    <row r="52" ht="15" customHeight="1">
      <c r="A52" s="4" t="inlineStr">
        <is>
          <t>Kalea</t>
        </is>
      </c>
      <c r="B52" s="4" t="inlineStr">
        <is>
          <t>Tag</t>
        </is>
      </c>
      <c r="C52" s="4" t="inlineStr">
        <is>
          <t>Dash/Blink</t>
        </is>
      </c>
      <c r="D52" s="4" t="n">
        <v>13</v>
      </c>
      <c r="E52" s="4" t="n">
        <v>-13</v>
      </c>
      <c r="F52" s="3" t="inlineStr">
        <is>
          <t>Mobility skill and CC chain disrupt dash-reliant divers. (Merged value - only highest single match should apply per target)</t>
        </is>
      </c>
    </row>
    <row r="53" ht="15" customHeight="1">
      <c r="A53" s="4" t="inlineStr">
        <is>
          <t>Cici</t>
        </is>
      </c>
      <c r="B53" s="4" t="inlineStr">
        <is>
          <t>Tag</t>
        </is>
      </c>
      <c r="C53" s="4" t="inlineStr">
        <is>
          <t>Sustain</t>
        </is>
      </c>
      <c r="D53" s="4" t="n">
        <v>7</v>
      </c>
      <c r="E53" s="4" t="n">
        <v>-7</v>
      </c>
      <c r="F53" s="3" t="inlineStr">
        <is>
          <t>Continuous slow and movement speed kites sustain-melee heroes.</t>
        </is>
      </c>
    </row>
    <row r="54" ht="15" customHeight="1">
      <c r="A54" s="4" t="inlineStr">
        <is>
          <t>Hylos</t>
        </is>
      </c>
      <c r="B54" s="4" t="inlineStr">
        <is>
          <t>Tag</t>
        </is>
      </c>
      <c r="C54" s="4" t="inlineStr">
        <is>
          <t>Burst</t>
        </is>
      </c>
      <c r="D54" s="4" t="n">
        <v>12</v>
      </c>
      <c r="E54" s="4" t="n">
        <v>-12</v>
      </c>
      <c r="F54" s="3" t="inlineStr">
        <is>
          <t>HP-stacking frontliner absorbs and neutralizes burst attempts.</t>
        </is>
      </c>
    </row>
    <row r="55" ht="15" customHeight="1">
      <c r="A55" s="4" t="inlineStr">
        <is>
          <t>Karrie</t>
        </is>
      </c>
      <c r="B55" s="4" t="inlineStr">
        <is>
          <t>Role</t>
        </is>
      </c>
      <c r="C55" s="4" t="inlineStr">
        <is>
          <t>Tank</t>
        </is>
      </c>
      <c r="D55" s="4" t="n">
        <v>20</v>
      </c>
      <c r="E55" s="4" t="n">
        <v>-20</v>
      </c>
      <c r="F55" s="3" t="inlineStr">
        <is>
          <t>Passive converts physical attack into true damage on-hit, letting her out-scale defense-stacking tanks. (Corrected: not a flat percent-Max-HP effect)</t>
        </is>
      </c>
    </row>
    <row r="56" ht="15" customHeight="1">
      <c r="A56" s="4" t="inlineStr">
        <is>
          <t>Gatotkaca</t>
        </is>
      </c>
      <c r="B56" s="4" t="inlineStr">
        <is>
          <t>DamageType</t>
        </is>
      </c>
      <c r="C56" s="4" t="inlineStr">
        <is>
          <t>Physical</t>
        </is>
      </c>
      <c r="D56" s="4" t="n">
        <v>12</v>
      </c>
      <c r="E56" s="4" t="n">
        <v>-12</v>
      </c>
      <c r="F56" s="3" t="inlineStr">
        <is>
          <t>Passive retaliation punishes physical attackers, stacking with taunt.</t>
        </is>
      </c>
    </row>
    <row r="57" ht="15" customHeight="1">
      <c r="A57" s="4" t="inlineStr">
        <is>
          <t>Hilda</t>
        </is>
      </c>
      <c r="B57" s="4" t="inlineStr">
        <is>
          <t>Tag</t>
        </is>
      </c>
      <c r="C57" s="4" t="inlineStr">
        <is>
          <t>Burst</t>
        </is>
      </c>
      <c r="D57" s="4" t="n">
        <v>14</v>
      </c>
      <c r="E57" s="4" t="n">
        <v>-14</v>
      </c>
      <c r="F57" s="3" t="inlineStr">
        <is>
          <t>Bush-regen burst punishes burst heroes who overextend.</t>
        </is>
      </c>
    </row>
    <row r="58" ht="15" customHeight="1">
      <c r="A58" s="4" t="inlineStr">
        <is>
          <t>Saber</t>
        </is>
      </c>
      <c r="B58" s="4" t="inlineStr">
        <is>
          <t>Role</t>
        </is>
      </c>
      <c r="C58" s="4" t="inlineStr">
        <is>
          <t>Assassin</t>
        </is>
      </c>
      <c r="D58" s="4" t="n">
        <v>10</v>
      </c>
      <c r="E58" s="4" t="n">
        <v>-10</v>
      </c>
      <c r="F58" s="3" t="inlineStr">
        <is>
          <t>Point-and-click airborne kills squishy assassin divers.</t>
        </is>
      </c>
    </row>
    <row r="59" ht="15" customHeight="1">
      <c r="A59" s="4" t="inlineStr">
        <is>
          <t>Harley</t>
        </is>
      </c>
      <c r="B59" s="4" t="inlineStr">
        <is>
          <t>Hero</t>
        </is>
      </c>
      <c r="C59" s="4" t="inlineStr">
        <is>
          <t>Hanzo</t>
        </is>
      </c>
      <c r="D59" s="4" t="n">
        <v>20</v>
      </c>
      <c r="E59" s="4" t="n">
        <v>-20</v>
      </c>
      <c r="F59" s="3" t="inlineStr">
        <is>
          <t>Lock-on ring ultimate deletes Hanzo before he can escape.</t>
        </is>
      </c>
    </row>
    <row r="60" ht="15" customHeight="1">
      <c r="A60" s="4" t="inlineStr">
        <is>
          <t>Angela</t>
        </is>
      </c>
      <c r="B60" s="4" t="inlineStr">
        <is>
          <t>Hero</t>
        </is>
      </c>
      <c r="C60" s="4" t="inlineStr">
        <is>
          <t>Harley</t>
        </is>
      </c>
      <c r="D60" s="4" t="n">
        <v>18</v>
      </c>
      <c r="E60" s="4" t="n">
        <v>-18</v>
      </c>
      <c r="F60" s="3" t="inlineStr">
        <is>
          <t>Slow and root deny Harley teleport-in burst window, preventing burst kill setup on Harley.</t>
        </is>
      </c>
    </row>
    <row r="61" ht="15" customHeight="1">
      <c r="A61" s="4" t="inlineStr">
        <is>
          <t>Baxia</t>
        </is>
      </c>
      <c r="B61" s="4" t="inlineStr">
        <is>
          <t>Tag</t>
        </is>
      </c>
      <c r="C61" s="4" t="inlineStr">
        <is>
          <t>Healing</t>
        </is>
      </c>
      <c r="D61" s="4" t="n">
        <v>14</v>
      </c>
      <c r="E61" s="4" t="n">
        <v>-12</v>
      </c>
      <c r="F61" s="3" t="inlineStr">
        <is>
          <t>Passive reduces enemy healing and shield output, wearing down sustain/heal comps.</t>
        </is>
      </c>
    </row>
    <row r="62" ht="15" customHeight="1">
      <c r="A62" s="4" t="inlineStr">
        <is>
          <t>Lunox</t>
        </is>
      </c>
      <c r="B62" s="4" t="inlineStr">
        <is>
          <t>Role</t>
        </is>
      </c>
      <c r="C62" s="4" t="inlineStr">
        <is>
          <t>Tank</t>
        </is>
      </c>
      <c r="D62" s="4" t="n">
        <v>14</v>
      </c>
      <c r="E62" s="4" t="n">
        <v>-12</v>
      </c>
      <c r="F62" s="3" t="inlineStr">
        <is>
          <t>Dark Form converts Magic Pen into percent HP magic damage.</t>
        </is>
      </c>
    </row>
    <row r="63" ht="15" customHeight="1">
      <c r="A63" s="4" t="inlineStr">
        <is>
          <t>Dyrroth</t>
        </is>
      </c>
      <c r="B63" s="4" t="inlineStr">
        <is>
          <t>Role</t>
        </is>
      </c>
      <c r="C63" s="4" t="inlineStr">
        <is>
          <t>Tank</t>
        </is>
      </c>
      <c r="D63" s="4" t="n">
        <v>12</v>
      </c>
      <c r="E63" s="4" t="n">
        <v>-10</v>
      </c>
      <c r="F63" s="3" t="inlineStr">
        <is>
          <t>Skill 2 shreds Physical Defense for early trade wins.</t>
        </is>
      </c>
    </row>
    <row r="64" ht="15" customHeight="1">
      <c r="A64" s="4" t="inlineStr">
        <is>
          <t>Dyrroth</t>
        </is>
      </c>
      <c r="B64" s="4" t="inlineStr">
        <is>
          <t>Tag</t>
        </is>
      </c>
      <c r="C64" s="4" t="inlineStr">
        <is>
          <t>Sustain</t>
        </is>
      </c>
      <c r="D64" s="4" t="n">
        <v>10</v>
      </c>
      <c r="E64" s="4" t="n">
        <v>-8</v>
      </c>
      <c r="F64" s="3" t="inlineStr">
        <is>
          <t>Defense shred negates sustain-tank regen.</t>
        </is>
      </c>
    </row>
    <row r="65" ht="15" customHeight="1">
      <c r="A65" s="4" t="inlineStr">
        <is>
          <t>Minsitthar</t>
        </is>
      </c>
      <c r="B65" s="4" t="inlineStr">
        <is>
          <t>Tag</t>
        </is>
      </c>
      <c r="C65" s="4" t="inlineStr">
        <is>
          <t>Dash/Blink</t>
        </is>
      </c>
      <c r="D65" s="4" t="n">
        <v>19</v>
      </c>
      <c r="E65" s="4" t="n">
        <v>-21</v>
      </c>
      <c r="F65" s="3" t="inlineStr">
        <is>
          <t>Ultimate disables dash, blink, and mobility skills. (Merged with overlapping High Mobility row, averaged with tag-count adjustment)</t>
        </is>
      </c>
    </row>
    <row r="66" ht="15" customHeight="1">
      <c r="A66" s="4" t="inlineStr">
        <is>
          <t>Minsitthar</t>
        </is>
      </c>
      <c r="B66" s="4" t="inlineStr">
        <is>
          <t>Tag</t>
        </is>
      </c>
      <c r="C66" s="4" t="inlineStr">
        <is>
          <t>High Mobility</t>
        </is>
      </c>
      <c r="D66" s="4" t="n">
        <v>19</v>
      </c>
      <c r="E66" s="4" t="n">
        <v>-21</v>
      </c>
      <c r="F66" s="3" t="inlineStr">
        <is>
          <t>King Calling denies wall-climbing and continuous mobility. (Merged value - only highest single match should apply per target)</t>
        </is>
      </c>
    </row>
    <row r="67" ht="15" customHeight="1">
      <c r="A67" s="4" t="inlineStr">
        <is>
          <t>Kaja</t>
        </is>
      </c>
      <c r="B67" s="4" t="inlineStr">
        <is>
          <t>Tag</t>
        </is>
      </c>
      <c r="C67" s="4" t="inlineStr">
        <is>
          <t>Dash/Blink</t>
        </is>
      </c>
      <c r="D67" s="4" t="n">
        <v>8</v>
      </c>
      <c r="E67" s="4" t="n">
        <v>-10</v>
      </c>
      <c r="F67" s="3" t="inlineStr">
        <is>
          <t>Suppression drags blink divers into the team.</t>
        </is>
      </c>
    </row>
    <row r="68" ht="15" customHeight="1">
      <c r="A68" s="4" t="inlineStr">
        <is>
          <t>Belerick</t>
        </is>
      </c>
      <c r="B68" s="4" t="inlineStr">
        <is>
          <t>Tag</t>
        </is>
      </c>
      <c r="C68" s="4" t="inlineStr">
        <is>
          <t>DPS</t>
        </is>
      </c>
      <c r="D68" s="4" t="n">
        <v>12</v>
      </c>
      <c r="E68" s="4" t="n">
        <v>-12</v>
      </c>
      <c r="F68" s="3" t="inlineStr">
        <is>
          <t>Passive thorns reflect Max HP damage at attack-speed heroes.</t>
        </is>
      </c>
    </row>
    <row r="69" ht="15" customHeight="1">
      <c r="A69" s="4" t="inlineStr">
        <is>
          <t>Belerick</t>
        </is>
      </c>
      <c r="B69" s="4" t="inlineStr">
        <is>
          <t>Role</t>
        </is>
      </c>
      <c r="C69" s="4" t="inlineStr">
        <is>
          <t>Marksman</t>
        </is>
      </c>
      <c r="D69" s="4" t="n">
        <v>8</v>
      </c>
      <c r="E69" s="4" t="n">
        <v>-8</v>
      </c>
      <c r="F69" s="3" t="inlineStr">
        <is>
          <t>Thorned retaliation punishes sustained marksman output.</t>
        </is>
      </c>
    </row>
    <row r="70" ht="15" customHeight="1">
      <c r="A70" s="4" t="inlineStr">
        <is>
          <t>Wanwan</t>
        </is>
      </c>
      <c r="B70" s="4" t="inlineStr">
        <is>
          <t>Tag</t>
        </is>
      </c>
      <c r="C70" s="4" t="inlineStr">
        <is>
          <t>Targeted CC</t>
        </is>
      </c>
      <c r="D70" s="4" t="n">
        <v>10</v>
      </c>
      <c r="E70" s="4" t="n">
        <v>-10</v>
      </c>
      <c r="F70" s="3" t="inlineStr">
        <is>
          <t>Skill 2 Purify removes point-and-click stuns.</t>
        </is>
      </c>
    </row>
    <row r="71" ht="15" customHeight="1">
      <c r="A71" s="4" t="inlineStr">
        <is>
          <t>Wanwan</t>
        </is>
      </c>
      <c r="B71" s="4" t="inlineStr">
        <is>
          <t>Tag</t>
        </is>
      </c>
      <c r="C71" s="4" t="inlineStr">
        <is>
          <t>Hard CC</t>
        </is>
      </c>
      <c r="D71" s="4" t="n">
        <v>8</v>
      </c>
      <c r="E71" s="4" t="n">
        <v>-8</v>
      </c>
      <c r="F71" s="3" t="inlineStr">
        <is>
          <t>Built-in CC cleanse denies hard-engage ults.</t>
        </is>
      </c>
    </row>
    <row r="72" ht="15" customHeight="1">
      <c r="A72" s="4" t="inlineStr">
        <is>
          <t>Valir</t>
        </is>
      </c>
      <c r="B72" s="4" t="inlineStr">
        <is>
          <t>Tag</t>
        </is>
      </c>
      <c r="C72" s="4" t="inlineStr">
        <is>
          <t>Dash/Blink</t>
        </is>
      </c>
      <c r="D72" s="4" t="n">
        <v>10</v>
      </c>
      <c r="E72" s="4" t="n">
        <v>-12</v>
      </c>
      <c r="F72" s="3" t="inlineStr">
        <is>
          <t>Continuous knockbacks keep melee divers at distance.</t>
        </is>
      </c>
    </row>
    <row r="73" ht="15" customHeight="1">
      <c r="A73" s="4" t="inlineStr">
        <is>
          <t>Valir</t>
        </is>
      </c>
      <c r="B73" s="4" t="inlineStr">
        <is>
          <t>Tag</t>
        </is>
      </c>
      <c r="C73" s="4" t="inlineStr">
        <is>
          <t>Sustain</t>
        </is>
      </c>
      <c r="D73" s="4" t="n">
        <v>8</v>
      </c>
      <c r="E73" s="4" t="n">
        <v>-8</v>
      </c>
      <c r="F73" s="3" t="inlineStr">
        <is>
          <t>Burning damage kites sustain brawlers before they close.</t>
        </is>
      </c>
    </row>
    <row r="74" ht="15" customHeight="1">
      <c r="A74" s="4" t="inlineStr">
        <is>
          <t>Martis</t>
        </is>
      </c>
      <c r="B74" s="4" t="inlineStr">
        <is>
          <t>Tag</t>
        </is>
      </c>
      <c r="C74" s="4" t="inlineStr">
        <is>
          <t>Hard CC</t>
        </is>
      </c>
      <c r="D74" s="4" t="n">
        <v>8</v>
      </c>
      <c r="E74" s="4" t="n">
        <v>-8</v>
      </c>
      <c r="F74" s="3" t="inlineStr">
        <is>
          <t>Skill 2 grants full CC immunity during execution.</t>
        </is>
      </c>
    </row>
    <row r="75" ht="15" customHeight="1">
      <c r="A75" s="4" t="inlineStr">
        <is>
          <t>Martis</t>
        </is>
      </c>
      <c r="B75" t="inlineStr">
        <is>
          <t>Tag</t>
        </is>
      </c>
      <c r="C75" t="inlineStr">
        <is>
          <t>AoE CC</t>
        </is>
      </c>
      <c r="D75" t="n">
        <v>6</v>
      </c>
      <c r="E75" t="n">
        <v>-6</v>
      </c>
      <c r="F75" t="inlineStr">
        <is>
          <t>CC immunity ignores multi-target crowd control.</t>
        </is>
      </c>
    </row>
    <row r="76" ht="15" customHeight="1">
      <c r="A76" s="4" t="inlineStr">
        <is>
          <t>Akai</t>
        </is>
      </c>
      <c r="B76" s="4" t="inlineStr">
        <is>
          <t>Tag</t>
        </is>
      </c>
      <c r="C76" s="4" t="inlineStr">
        <is>
          <t>AoE Damage</t>
        </is>
      </c>
      <c r="D76" s="4" t="n">
        <v>8</v>
      </c>
      <c r="E76" s="4" t="n">
        <v>-8</v>
      </c>
      <c r="F76" s="3" t="inlineStr">
        <is>
          <t>Ultimate knockback interrupts channeled area ults.</t>
        </is>
      </c>
    </row>
    <row r="77" ht="15" customHeight="1">
      <c r="A77" s="4" t="inlineStr">
        <is>
          <t>Irithel</t>
        </is>
      </c>
      <c r="B77" s="4" t="inlineStr">
        <is>
          <t>Tag</t>
        </is>
      </c>
      <c r="C77" s="4" t="inlineStr">
        <is>
          <t>Poke</t>
        </is>
      </c>
      <c r="D77" s="4" t="n">
        <v>8</v>
      </c>
      <c r="E77" s="4" t="n">
        <v>-8</v>
      </c>
      <c r="F77" s="3" t="inlineStr">
        <is>
          <t>Move-while-attacking circles directional skillshots.</t>
        </is>
      </c>
    </row>
    <row r="78" ht="15" customHeight="1">
      <c r="A78" s="4" t="inlineStr">
        <is>
          <t>Claude</t>
        </is>
      </c>
      <c r="B78" s="4" t="inlineStr">
        <is>
          <t>Tag</t>
        </is>
      </c>
      <c r="C78" s="4" t="inlineStr">
        <is>
          <t>Summoner</t>
        </is>
      </c>
      <c r="D78" s="4" t="n">
        <v>10</v>
      </c>
      <c r="E78" s="4" t="n">
        <v>-10</v>
      </c>
      <c r="F78" s="3" t="inlineStr">
        <is>
          <t>Passive clone gains extra proc targets against summoner comps. (Corrected: ultimate mirrors enemy hero attacks, not summon-triggered stacking; value reduced to reflect thinner justification)</t>
        </is>
      </c>
    </row>
    <row r="79" ht="15" customHeight="1">
      <c r="A79" s="4" t="inlineStr">
        <is>
          <t>Lesley</t>
        </is>
      </c>
      <c r="B79" s="4" t="inlineStr">
        <is>
          <t>Role</t>
        </is>
      </c>
      <c r="C79" s="4" t="inlineStr">
        <is>
          <t>Marksman</t>
        </is>
      </c>
      <c r="D79" s="4" t="n">
        <v>8</v>
      </c>
      <c r="E79" s="4" t="n">
        <v>-8</v>
      </c>
      <c r="F79" s="3" t="inlineStr">
        <is>
          <t>Stealth range and True Damage poke down short-range MMs.</t>
        </is>
      </c>
    </row>
    <row r="80" ht="15" customHeight="1">
      <c r="A80" s="4" t="inlineStr">
        <is>
          <t>Lesley</t>
        </is>
      </c>
      <c r="B80" s="4" t="inlineStr">
        <is>
          <t>Tag</t>
        </is>
      </c>
      <c r="C80" s="4" t="inlineStr">
        <is>
          <t>DPS</t>
        </is>
      </c>
      <c r="D80" s="4" t="n">
        <v>6</v>
      </c>
      <c r="E80" s="4" t="n">
        <v>-6</v>
      </c>
      <c r="F80" s="3" t="inlineStr">
        <is>
          <t>Invisible repositioning punishes sustained DPS heroes.</t>
        </is>
      </c>
    </row>
    <row r="81" ht="15" customHeight="1">
      <c r="A81" s="4" t="inlineStr">
        <is>
          <t>Natan</t>
        </is>
      </c>
      <c r="B81" s="4" t="inlineStr">
        <is>
          <t>Role</t>
        </is>
      </c>
      <c r="C81" s="4" t="inlineStr">
        <is>
          <t>Tank</t>
        </is>
      </c>
      <c r="D81" s="4" t="n">
        <v>10</v>
      </c>
      <c r="E81" s="4" t="n">
        <v>-10</v>
      </c>
      <c r="F81" s="3" t="inlineStr">
        <is>
          <t>Bonus magic power scaling from physical attack lets him bypass armor-stacking tanks. (Corrected: hybrid on-hit scaling, not a Pen-conversion mechanic)</t>
        </is>
      </c>
    </row>
    <row r="82" ht="15" customHeight="1">
      <c r="A82" s="4" t="inlineStr">
        <is>
          <t>Brody</t>
        </is>
      </c>
      <c r="B82" s="4" t="inlineStr">
        <is>
          <t>Role</t>
        </is>
      </c>
      <c r="C82" s="4" t="inlineStr">
        <is>
          <t>Marksman</t>
        </is>
      </c>
      <c r="D82" s="4" t="n">
        <v>8</v>
      </c>
      <c r="E82" s="4" t="n">
        <v>-8</v>
      </c>
      <c r="F82" s="3" t="inlineStr">
        <is>
          <t>Passive mark locking executes squishy backliners.</t>
        </is>
      </c>
    </row>
    <row r="83" ht="15" customHeight="1">
      <c r="A83" s="4" t="inlineStr">
        <is>
          <t>Brody</t>
        </is>
      </c>
      <c r="B83" s="4" t="inlineStr">
        <is>
          <t>Role</t>
        </is>
      </c>
      <c r="C83" s="4" t="inlineStr">
        <is>
          <t>Mage</t>
        </is>
      </c>
      <c r="D83" s="4" t="n">
        <v>8</v>
      </c>
      <c r="E83" s="4" t="n">
        <v>-8</v>
      </c>
      <c r="F83" s="3" t="inlineStr">
        <is>
          <t>Physical burst deletes immobile mages.</t>
        </is>
      </c>
    </row>
    <row r="84" ht="15" customHeight="1">
      <c r="A84" s="4" t="inlineStr">
        <is>
          <t>Eudora</t>
        </is>
      </c>
      <c r="B84" s="4" t="inlineStr">
        <is>
          <t>Tag</t>
        </is>
      </c>
      <c r="C84" s="4" t="inlineStr">
        <is>
          <t>High Mobility</t>
        </is>
      </c>
      <c r="D84" s="4" t="n">
        <v>10</v>
      </c>
      <c r="E84" s="4" t="n">
        <v>-10</v>
      </c>
      <c r="F84" s="3" t="inlineStr">
        <is>
          <t>Point-and-click stun chain freezes fast assassins.</t>
        </is>
      </c>
    </row>
    <row r="85" ht="15" customHeight="1">
      <c r="A85" s="4" t="inlineStr">
        <is>
          <t>Aurora</t>
        </is>
      </c>
      <c r="B85" s="4" t="inlineStr">
        <is>
          <t>Tag</t>
        </is>
      </c>
      <c r="C85" s="4" t="inlineStr">
        <is>
          <t>High Mobility</t>
        </is>
      </c>
      <c r="D85" s="4" t="n">
        <v>10</v>
      </c>
      <c r="E85" s="4" t="n">
        <v>-10</v>
      </c>
      <c r="F85" s="3" t="inlineStr">
        <is>
          <t>AoE freeze punishes high-mobility divers.</t>
        </is>
      </c>
    </row>
    <row r="86" ht="15" customHeight="1">
      <c r="A86" s="4" t="inlineStr">
        <is>
          <t>Kagura</t>
        </is>
      </c>
      <c r="B86" s="4" t="inlineStr">
        <is>
          <t>Tag</t>
        </is>
      </c>
      <c r="C86" s="4" t="inlineStr">
        <is>
          <t>Targeted CC</t>
        </is>
      </c>
      <c r="D86" s="4" t="n">
        <v>8</v>
      </c>
      <c r="E86" s="4" t="n">
        <v>-8</v>
      </c>
      <c r="F86" s="3" t="inlineStr">
        <is>
          <t>Umbrella purge removes debuffs and grants dash.</t>
        </is>
      </c>
    </row>
    <row r="87" ht="15" customHeight="1">
      <c r="A87" s="4" t="inlineStr">
        <is>
          <t>Zhask</t>
        </is>
      </c>
      <c r="B87" s="4" t="inlineStr">
        <is>
          <t>Tag</t>
        </is>
      </c>
      <c r="C87" s="4" t="inlineStr">
        <is>
          <t>Burst</t>
        </is>
      </c>
      <c r="D87" s="4" t="n">
        <v>8</v>
      </c>
      <c r="E87" s="4" t="n">
        <v>-8</v>
      </c>
      <c r="F87" s="3" t="inlineStr">
        <is>
          <t>Nightmarish Spawn disjoints targeted burst spells.</t>
        </is>
      </c>
    </row>
    <row r="88" ht="15" customHeight="1">
      <c r="A88" s="4" t="inlineStr">
        <is>
          <t>Zhask</t>
        </is>
      </c>
      <c r="B88" s="4" t="inlineStr">
        <is>
          <t>Tag</t>
        </is>
      </c>
      <c r="C88" s="4" t="inlineStr">
        <is>
          <t>Targeted CC</t>
        </is>
      </c>
      <c r="D88" s="4" t="n">
        <v>6</v>
      </c>
      <c r="E88" s="4" t="n">
        <v>-6</v>
      </c>
      <c r="F88" s="3" t="inlineStr">
        <is>
          <t>Spawn body-blocks point-and-click control.</t>
        </is>
      </c>
    </row>
    <row r="89" ht="15" customHeight="1">
      <c r="A89" s="4" t="inlineStr">
        <is>
          <t>Kadita</t>
        </is>
      </c>
      <c r="B89" s="4" t="inlineStr">
        <is>
          <t>Tag</t>
        </is>
      </c>
      <c r="C89" s="4" t="inlineStr">
        <is>
          <t>Hard CC</t>
        </is>
      </c>
      <c r="D89" s="4" t="n">
        <v>8</v>
      </c>
      <c r="E89" s="4" t="n">
        <v>-8</v>
      </c>
      <c r="F89" s="3" t="inlineStr">
        <is>
          <t>Skill 1 grants CC immunity on initiation.</t>
        </is>
      </c>
    </row>
    <row r="90" ht="15" customHeight="1">
      <c r="A90" s="4" t="inlineStr">
        <is>
          <t>Kadita</t>
        </is>
      </c>
      <c r="B90" s="4" t="inlineStr">
        <is>
          <t>Tag</t>
        </is>
      </c>
      <c r="C90" s="4" t="inlineStr">
        <is>
          <t>Dash/Blink</t>
        </is>
      </c>
      <c r="D90" s="4" t="n">
        <v>6</v>
      </c>
      <c r="E90" s="4" t="n">
        <v>-6</v>
      </c>
      <c r="F90" s="3" t="inlineStr">
        <is>
          <t>CC immunity lets her dive through disengage blinks.</t>
        </is>
      </c>
    </row>
    <row r="91" ht="15" customHeight="1">
      <c r="A91" s="4" t="inlineStr">
        <is>
          <t>Gord</t>
        </is>
      </c>
      <c r="B91" s="4" t="inlineStr">
        <is>
          <t>Tag</t>
        </is>
      </c>
      <c r="C91" s="4" t="inlineStr">
        <is>
          <t>Sustain</t>
        </is>
      </c>
      <c r="D91" s="4" t="n">
        <v>8</v>
      </c>
      <c r="E91" s="4" t="n">
        <v>-8</v>
      </c>
      <c r="F91" s="3" t="inlineStr">
        <is>
          <t>True Damage melts sustain tanks before they reach backline.</t>
        </is>
      </c>
    </row>
    <row r="92" ht="15" customHeight="1">
      <c r="A92" s="4" t="inlineStr">
        <is>
          <t>Gord</t>
        </is>
      </c>
      <c r="B92" s="4" t="inlineStr">
        <is>
          <t>Tag</t>
        </is>
      </c>
      <c r="C92" s="4" t="inlineStr">
        <is>
          <t>Shield</t>
        </is>
      </c>
      <c r="D92" s="4" t="n">
        <v>6</v>
      </c>
      <c r="E92" s="4" t="n">
        <v>-6</v>
      </c>
      <c r="F92" s="3" t="inlineStr">
        <is>
          <t>Skill 1 poke burns through shields from safe distance.</t>
        </is>
      </c>
    </row>
    <row r="93" ht="15" customHeight="1">
      <c r="A93" s="4" t="inlineStr">
        <is>
          <t>Harley</t>
        </is>
      </c>
      <c r="B93" s="4" t="inlineStr">
        <is>
          <t>Role</t>
        </is>
      </c>
      <c r="C93" s="4" t="inlineStr">
        <is>
          <t>Mage</t>
        </is>
      </c>
      <c r="D93" s="4" t="n">
        <v>8</v>
      </c>
      <c r="E93" s="4" t="n">
        <v>-8</v>
      </c>
      <c r="F93" s="3" t="inlineStr">
        <is>
          <t>Teleport and lock-on ultimate dive static mages.</t>
        </is>
      </c>
    </row>
    <row r="94" ht="15" customHeight="1">
      <c r="A94" s="4" t="inlineStr">
        <is>
          <t>Terizla</t>
        </is>
      </c>
      <c r="B94" s="4" t="inlineStr">
        <is>
          <t>Tag</t>
        </is>
      </c>
      <c r="C94" s="4" t="inlineStr">
        <is>
          <t>DPS</t>
        </is>
      </c>
      <c r="D94" s="4" t="n">
        <v>8</v>
      </c>
      <c r="E94" s="4" t="n">
        <v>-8</v>
      </c>
      <c r="F94" s="3" t="inlineStr">
        <is>
          <t>Passive damage reduction wins long trades vs sustained DPS.</t>
        </is>
      </c>
    </row>
    <row r="95" ht="15" customHeight="1">
      <c r="A95" s="4" t="inlineStr">
        <is>
          <t>X.Borg</t>
        </is>
      </c>
      <c r="B95" s="4" t="inlineStr">
        <is>
          <t>Tag</t>
        </is>
      </c>
      <c r="C95" s="4" t="inlineStr">
        <is>
          <t>Sustain</t>
        </is>
      </c>
      <c r="D95" s="4" t="n">
        <v>12</v>
      </c>
      <c r="E95" s="4" t="n">
        <v>-12</v>
      </c>
      <c r="F95" s="3" t="inlineStr">
        <is>
          <t>Skill 1 True Damage ignores armor and lifesteal.</t>
        </is>
      </c>
    </row>
    <row r="96" ht="15" customHeight="1">
      <c r="A96" s="4" t="inlineStr">
        <is>
          <t>X.Borg</t>
        </is>
      </c>
      <c r="B96" s="4" t="inlineStr">
        <is>
          <t>Tag</t>
        </is>
      </c>
      <c r="C96" s="4" t="inlineStr">
        <is>
          <t>Shield</t>
        </is>
      </c>
      <c r="D96" s="4" t="n">
        <v>10</v>
      </c>
      <c r="E96" s="4" t="n">
        <v>-10</v>
      </c>
      <c r="F96" s="3" t="inlineStr">
        <is>
          <t>True Damage bypasses shield mechanics.</t>
        </is>
      </c>
    </row>
    <row r="97" ht="15" customHeight="1">
      <c r="A97" s="4" t="inlineStr">
        <is>
          <t>Thamuz</t>
        </is>
      </c>
      <c r="B97" s="4" t="inlineStr">
        <is>
          <t>Tag</t>
        </is>
      </c>
      <c r="C97" s="4" t="inlineStr">
        <is>
          <t>DPS</t>
        </is>
      </c>
      <c r="D97" s="4" t="n">
        <v>8</v>
      </c>
      <c r="E97" s="4" t="n">
        <v>-8</v>
      </c>
      <c r="F97" s="3" t="inlineStr">
        <is>
          <t>Lava True Damage and regen out-sustain basic-attack brawlers.</t>
        </is>
      </c>
    </row>
    <row r="98" ht="15" customHeight="1">
      <c r="A98" s="4" t="inlineStr">
        <is>
          <t>Carmilla</t>
        </is>
      </c>
      <c r="B98" s="4" t="inlineStr">
        <is>
          <t>Hero</t>
        </is>
      </c>
      <c r="C98" s="4" t="inlineStr">
        <is>
          <t>Gloo</t>
        </is>
      </c>
      <c r="D98" s="4" t="n">
        <v>16</v>
      </c>
      <c r="E98" s="4" t="n">
        <v>-16</v>
      </c>
      <c r="F98" s="3" t="inlineStr">
        <is>
          <t>Ultimate links Gloo clones to chain entire team.</t>
        </is>
      </c>
    </row>
    <row r="99" ht="15" customHeight="1">
      <c r="A99" s="4" t="inlineStr">
        <is>
          <t>Yu Zhong</t>
        </is>
      </c>
      <c r="B99" s="4" t="inlineStr">
        <is>
          <t>Role</t>
        </is>
      </c>
      <c r="C99" s="4" t="inlineStr">
        <is>
          <t>Marksman</t>
        </is>
      </c>
      <c r="D99" s="4" t="n">
        <v>10</v>
      </c>
      <c r="E99" s="4" t="n">
        <v>-10</v>
      </c>
      <c r="F99" s="3" t="inlineStr">
        <is>
          <t>Black Dragon bypasses frontliners to hit backline.</t>
        </is>
      </c>
    </row>
    <row r="100" ht="15" customHeight="1">
      <c r="A100" s="4" t="inlineStr">
        <is>
          <t>Yu Zhong</t>
        </is>
      </c>
      <c r="B100" s="4" t="inlineStr">
        <is>
          <t>Role</t>
        </is>
      </c>
      <c r="C100" s="4" t="inlineStr">
        <is>
          <t>Mage</t>
        </is>
      </c>
      <c r="D100" s="4" t="n">
        <v>10</v>
      </c>
      <c r="E100" s="4" t="n">
        <v>-10</v>
      </c>
      <c r="F100" s="3" t="inlineStr">
        <is>
          <t>Flight and CC immunity dive immobile mages.</t>
        </is>
      </c>
    </row>
    <row r="101" ht="15" customHeight="1">
      <c r="A101" s="4" t="inlineStr">
        <is>
          <t>Arlott</t>
        </is>
      </c>
      <c r="B101" t="inlineStr">
        <is>
          <t>Tag</t>
        </is>
      </c>
      <c r="C101" t="inlineStr">
        <is>
          <t>Dash/Blink</t>
        </is>
      </c>
      <c r="D101" t="n">
        <v>10</v>
      </c>
      <c r="E101" t="n">
        <v>-10</v>
      </c>
      <c r="F101" s="3" t="inlineStr">
        <is>
          <t>Passive grants Skill 2 dash resets vs mobile heroes.</t>
        </is>
      </c>
    </row>
    <row r="102" ht="15" customHeight="1">
      <c r="A102" s="4" t="inlineStr">
        <is>
          <t>Benedetta</t>
        </is>
      </c>
      <c r="B102" s="4" t="inlineStr">
        <is>
          <t>Tag</t>
        </is>
      </c>
      <c r="C102" s="4" t="inlineStr">
        <is>
          <t>Hard CC</t>
        </is>
      </c>
      <c r="D102" s="4" t="n">
        <v>10</v>
      </c>
      <c r="E102" s="4" t="n">
        <v>-10</v>
      </c>
      <c r="F102" s="3" t="inlineStr">
        <is>
          <t>Skill 2 grants CC immunity and reflects stuns.</t>
        </is>
      </c>
    </row>
    <row r="103" ht="15" customHeight="1">
      <c r="A103" s="4" t="inlineStr">
        <is>
          <t>Vexana</t>
        </is>
      </c>
      <c r="B103" s="4" t="inlineStr">
        <is>
          <t>Tag</t>
        </is>
      </c>
      <c r="C103" s="4" t="inlineStr">
        <is>
          <t>Summoner</t>
        </is>
      </c>
      <c r="D103" s="4" t="n">
        <v>14</v>
      </c>
      <c r="E103" s="4" t="n">
        <v>-14</v>
      </c>
      <c r="F103" s="3" t="inlineStr">
        <is>
          <t>Passive causes summons to explode for chain AoE.</t>
        </is>
      </c>
    </row>
    <row r="104" ht="15" customHeight="1">
      <c r="A104" s="4" t="inlineStr">
        <is>
          <t>Lancelot</t>
        </is>
      </c>
      <c r="B104" s="4" t="inlineStr">
        <is>
          <t>Tag</t>
        </is>
      </c>
      <c r="C104" s="4" t="inlineStr">
        <is>
          <t>Summoner</t>
        </is>
      </c>
      <c r="D104" s="4" t="n">
        <v>10</v>
      </c>
      <c r="E104" s="4" t="n">
        <v>-10</v>
      </c>
      <c r="F104" s="3" t="inlineStr">
        <is>
          <t>Summons create extra hitboxes for Skill 1 resets.</t>
        </is>
      </c>
    </row>
    <row r="105" ht="15" customHeight="1">
      <c r="A105" s="4" t="inlineStr">
        <is>
          <t>Fanny</t>
        </is>
      </c>
      <c r="B105" s="4" t="inlineStr">
        <is>
          <t>Tag</t>
        </is>
      </c>
      <c r="C105" s="4" t="inlineStr">
        <is>
          <t>Summoner</t>
        </is>
      </c>
      <c r="D105" s="4" t="n">
        <v>10</v>
      </c>
      <c r="E105" s="4" t="n">
        <v>-10</v>
      </c>
      <c r="F105" s="3" t="inlineStr">
        <is>
          <t>Extra targets grant cable energy and stacks.</t>
        </is>
      </c>
    </row>
    <row r="106" ht="15" customHeight="1">
      <c r="A106" s="4" t="inlineStr">
        <is>
          <t>Masha</t>
        </is>
      </c>
      <c r="B106" s="4" t="inlineStr">
        <is>
          <t>Tag</t>
        </is>
      </c>
      <c r="C106" s="4" t="inlineStr">
        <is>
          <t>Burst</t>
        </is>
      </c>
      <c r="D106" s="4" t="n">
        <v>11</v>
      </c>
      <c r="E106" s="4" t="n">
        <v>-11</v>
      </c>
      <c r="F106" s="3" t="inlineStr">
        <is>
          <t>Three HP bars absorb burst combos, leaving Masha alive. (Bumped slightly to match comparable burst-absorption value on Hylos)</t>
        </is>
      </c>
    </row>
    <row r="107" ht="15" customHeight="1">
      <c r="A107" s="4" t="inlineStr">
        <is>
          <t>Masha</t>
        </is>
      </c>
      <c r="B107" s="4" t="inlineStr">
        <is>
          <t>Tag</t>
        </is>
      </c>
      <c r="C107" s="4" t="inlineStr">
        <is>
          <t>Targeted CC</t>
        </is>
      </c>
      <c r="D107" s="4" t="n">
        <v>9</v>
      </c>
      <c r="E107" s="4" t="n">
        <v>-9</v>
      </c>
      <c r="F107" s="3" t="inlineStr">
        <is>
          <t>HP bars absorb point-and-click burst rotations. (Bumped slightly for consistency with Burst row)</t>
        </is>
      </c>
    </row>
    <row r="108" ht="15" customHeight="1">
      <c r="A108" s="4" t="inlineStr">
        <is>
          <t>Atlas</t>
        </is>
      </c>
      <c r="B108" s="4" t="inlineStr">
        <is>
          <t>Tag</t>
        </is>
      </c>
      <c r="C108" s="4" t="inlineStr">
        <is>
          <t>Global Dive</t>
        </is>
      </c>
      <c r="D108" s="4" t="n">
        <v>15</v>
      </c>
      <c r="E108" s="4" t="n">
        <v>-18</v>
      </c>
      <c r="F108" s="3" t="inlineStr">
        <is>
          <t>Abyssal Pull ultimate drags and binds the entire enemy team, hard-countering global-dive engage comps before they can scatter.</t>
        </is>
      </c>
    </row>
    <row r="109" ht="15" customHeight="1">
      <c r="A109" s="4" t="inlineStr">
        <is>
          <t>Grock</t>
        </is>
      </c>
      <c r="B109" s="4" t="inlineStr">
        <is>
          <t>Tag</t>
        </is>
      </c>
      <c r="C109" s="4" t="inlineStr">
        <is>
          <t>Dash/Blink</t>
        </is>
      </c>
      <c r="D109" s="4" t="n">
        <v>10</v>
      </c>
      <c r="E109" s="4" t="n">
        <v>-10</v>
      </c>
      <c r="F109" s="3" t="inlineStr">
        <is>
          <t>Boulder Toss wall physically blocks dash/blink paths, denying clean engage routes for divers.</t>
        </is>
      </c>
    </row>
    <row r="110" ht="15" customHeight="1">
      <c r="A110" s="4" t="inlineStr">
        <is>
          <t>Estes</t>
        </is>
      </c>
      <c r="B110" s="4" t="inlineStr">
        <is>
          <t>Tag</t>
        </is>
      </c>
      <c r="C110" s="4" t="inlineStr">
        <is>
          <t>Burst</t>
        </is>
      </c>
      <c r="D110" s="4" t="n">
        <v>8</v>
      </c>
      <c r="E110" s="4" t="n">
        <v>-8</v>
      </c>
      <c r="F110" s="3" t="inlineStr">
        <is>
          <t>Passive AoE regeneration to the whole team blunts coordinated burst-kill attempts.</t>
        </is>
      </c>
    </row>
    <row r="111" ht="15" customHeight="1">
      <c r="A111" s="4" t="inlineStr">
        <is>
          <t>Floryn</t>
        </is>
      </c>
      <c r="B111" s="4" t="inlineStr">
        <is>
          <t>Tag</t>
        </is>
      </c>
      <c r="C111" s="4" t="inlineStr">
        <is>
          <t>Burst</t>
        </is>
      </c>
      <c r="D111" s="4" t="n">
        <v>8</v>
      </c>
      <c r="E111" s="4" t="n">
        <v>-8</v>
      </c>
      <c r="F111" s="3" t="inlineStr">
        <is>
          <t>Ultimate bonds to an ally with heal-over-time and mitigation, denying burst execution windows on the carry.</t>
        </is>
      </c>
    </row>
    <row r="112" ht="15" customHeight="1">
      <c r="A112" s="4" t="inlineStr">
        <is>
          <t>Nolan</t>
        </is>
      </c>
      <c r="B112" s="4" t="inlineStr">
        <is>
          <t>Tag</t>
        </is>
      </c>
      <c r="C112" s="4" t="inlineStr">
        <is>
          <t>Sustain</t>
        </is>
      </c>
      <c r="D112" s="4" t="n">
        <v>10</v>
      </c>
      <c r="E112" s="4" t="n">
        <v>-10</v>
      </c>
      <c r="F112" s="3" t="inlineStr">
        <is>
          <t>Void Strike's true-damage proc ignores defense and lifesteal, wearing down sustain-heavy opponents over extended trades.</t>
        </is>
      </c>
    </row>
    <row r="113" ht="15" customHeight="1">
      <c r="A113" s="4" t="inlineStr">
        <is>
          <t>Yin</t>
        </is>
      </c>
      <c r="B113" s="4" t="inlineStr">
        <is>
          <t>Role</t>
        </is>
      </c>
      <c r="C113" s="4" t="inlineStr">
        <is>
          <t>Tank</t>
        </is>
      </c>
      <c r="D113" s="4" t="n">
        <v>12</v>
      </c>
      <c r="E113" s="4" t="n">
        <v>-12</v>
      </c>
      <c r="F113" s="3" t="inlineStr">
        <is>
          <t>Passive true-damage marks stack up over a fight, shredding tank HP pools that scale purely on defense.</t>
        </is>
      </c>
    </row>
    <row r="114" ht="15" customHeight="1">
      <c r="A114" s="4" t="inlineStr">
        <is>
          <t>Valentina</t>
        </is>
      </c>
      <c r="B114" s="4" t="inlineStr">
        <is>
          <t>Role</t>
        </is>
      </c>
      <c r="C114" s="4" t="inlineStr">
        <is>
          <t>Mage</t>
        </is>
      </c>
      <c r="D114" s="4" t="n">
        <v>10</v>
      </c>
      <c r="E114" s="4" t="n">
        <v>-10</v>
      </c>
      <c r="F114" s="3" t="inlineStr">
        <is>
          <t>Ultimate copies an enemy mage's own ultimate, turning their signature burst tool directly against them.</t>
        </is>
      </c>
    </row>
    <row r="115" ht="15" customHeight="1">
      <c r="A115" s="4" t="inlineStr">
        <is>
          <t>Joy</t>
        </is>
      </c>
      <c r="B115" s="4" t="inlineStr">
        <is>
          <t>Tag</t>
        </is>
      </c>
      <c r="C115" s="4" t="inlineStr">
        <is>
          <t>Dash/Blink</t>
        </is>
      </c>
      <c r="D115" s="4" t="n">
        <v>10</v>
      </c>
      <c r="E115" s="4" t="n">
        <v>-10</v>
      </c>
      <c r="F115" s="3" t="inlineStr">
        <is>
          <t>Resonating Point's mark-and-dash chain lets her reposition through and punish melee divers who commit onto her.</t>
        </is>
      </c>
    </row>
    <row r="116" ht="15" customHeight="1">
      <c r="A116" s="4" t="inlineStr">
        <is>
          <t>Barats</t>
        </is>
      </c>
      <c r="B116" s="4" t="inlineStr">
        <is>
          <t>Tag</t>
        </is>
      </c>
      <c r="C116" s="4" t="inlineStr">
        <is>
          <t>Dash/Blink</t>
        </is>
      </c>
      <c r="D116" s="4" t="n">
        <v>8</v>
      </c>
      <c r="E116" s="4" t="n">
        <v>-8</v>
      </c>
      <c r="F116" s="3" t="inlineStr">
        <is>
          <t>Charge and grapple mechanics yank dash-committed divers off their intended path.</t>
        </is>
      </c>
    </row>
    <row r="117" ht="15" customHeight="1">
      <c r="A117" s="4" t="inlineStr">
        <is>
          <t>Novaria</t>
        </is>
      </c>
      <c r="B117" s="4" t="inlineStr">
        <is>
          <t>Role</t>
        </is>
      </c>
      <c r="C117" s="4" t="inlineStr">
        <is>
          <t>Marksman</t>
        </is>
      </c>
      <c r="D117" s="4" t="n">
        <v>8</v>
      </c>
      <c r="E117" s="4" t="n">
        <v>-8</v>
      </c>
      <c r="F117" s="3" t="inlineStr">
        <is>
          <t>Illusion clone poke and true-damage marks whittle down squishy marksmen from range before they can retaliate.</t>
        </is>
      </c>
    </row>
    <row r="118" ht="15" customHeight="1">
      <c r="A118" s="4" t="inlineStr">
        <is>
          <t>Tigreal</t>
        </is>
      </c>
      <c r="B118" s="4" t="inlineStr">
        <is>
          <t>Role</t>
        </is>
      </c>
      <c r="C118" s="4" t="inlineStr">
        <is>
          <t>Mage</t>
        </is>
      </c>
      <c r="D118" s="4" t="n">
        <v>8</v>
      </c>
      <c r="E118" s="4" t="n">
        <v>-8</v>
      </c>
      <c r="F118" s="3" t="inlineStr">
        <is>
          <t>Implosion's knock-up and displacement punish immobile backline mages who get caught out of position.</t>
        </is>
      </c>
    </row>
    <row r="119" ht="15" customHeight="1">
      <c r="A119" s="4" t="inlineStr">
        <is>
          <t>Julian</t>
        </is>
      </c>
      <c r="B119" s="4" t="inlineStr">
        <is>
          <t>Tag</t>
        </is>
      </c>
      <c r="C119" s="4" t="inlineStr">
        <is>
          <t>High Mobility</t>
        </is>
      </c>
      <c r="D119" s="4" t="n">
        <v>10</v>
      </c>
      <c r="E119" s="4" t="n">
        <v>-10</v>
      </c>
      <c r="F119" s="3" t="inlineStr">
        <is>
          <t>Mark-fueled movement speed and dash let him stick to and run down sustained-mobility divers.</t>
        </is>
      </c>
    </row>
    <row r="120" ht="15" customHeight="1">
      <c r="A120" s="4" t="inlineStr">
        <is>
          <t>Lukas</t>
        </is>
      </c>
      <c r="B120" s="4" t="inlineStr">
        <is>
          <t>Role</t>
        </is>
      </c>
      <c r="C120" s="4" t="inlineStr">
        <is>
          <t>Marksman</t>
        </is>
      </c>
      <c r="D120" s="4" t="n">
        <v>8</v>
      </c>
      <c r="E120" s="4" t="n">
        <v>-8</v>
      </c>
      <c r="F120" s="3" t="inlineStr">
        <is>
          <t>Burst combo plus innate mobility deletes squishy marksmen before they can kite to safety.</t>
        </is>
      </c>
    </row>
    <row r="121" ht="15" customHeight="1">
      <c r="A121" s="4" t="inlineStr">
        <is>
          <t>Silvanna</t>
        </is>
      </c>
      <c r="B121" s="4" t="inlineStr">
        <is>
          <t>Tag</t>
        </is>
      </c>
      <c r="C121" s="4" t="inlineStr">
        <is>
          <t>Sustain</t>
        </is>
      </c>
      <c r="D121" s="4" t="n">
        <v>8</v>
      </c>
      <c r="E121" s="4" t="n">
        <v>-8</v>
      </c>
      <c r="F121" s="3" t="inlineStr">
        <is>
          <t>Judgment of Talas execute damage scales off missing HP, punishing sustain heroes who try to outlast her in prolonged trades.</t>
        </is>
      </c>
    </row>
    <row r="122" ht="15" customHeight="1">
      <c r="A122" s="4" t="inlineStr">
        <is>
          <t>Aulus</t>
        </is>
      </c>
      <c r="B122" s="4" t="inlineStr">
        <is>
          <t>Tag</t>
        </is>
      </c>
      <c r="C122" s="4" t="inlineStr">
        <is>
          <t>Sustain</t>
        </is>
      </c>
      <c r="D122" s="4" t="n">
        <v>8</v>
      </c>
      <c r="E122" s="4" t="n">
        <v>-8</v>
      </c>
      <c r="F122" s="3" t="inlineStr">
        <is>
          <t>Passive stacking rewards prolonged engagements, letting him out-trade sustain-heavy opponents the longer a fight runs.</t>
        </is>
      </c>
    </row>
    <row r="123" ht="15" customHeight="1">
      <c r="A123" s="4" t="inlineStr">
        <is>
          <t>Kimmy</t>
        </is>
      </c>
      <c r="B123" s="4" t="inlineStr">
        <is>
          <t>Tag</t>
        </is>
      </c>
      <c r="C123" s="4" t="inlineStr">
        <is>
          <t>Poke</t>
        </is>
      </c>
      <c r="D123" s="4" t="n">
        <v>8</v>
      </c>
      <c r="E123" s="4" t="n">
        <v>-8</v>
      </c>
      <c r="F123" s="3" t="inlineStr">
        <is>
          <t>Passive slow-immunity and hybrid damage switching let her out-range and out-poke rival poke mages.</t>
        </is>
      </c>
    </row>
    <row r="124" ht="15" customHeight="1">
      <c r="A124" s="4" t="inlineStr">
        <is>
          <t>Popol and Kupa</t>
        </is>
      </c>
      <c r="B124" s="4" t="inlineStr">
        <is>
          <t>Tag</t>
        </is>
      </c>
      <c r="C124" s="4" t="inlineStr">
        <is>
          <t>Poke</t>
        </is>
      </c>
      <c r="D124" s="4" t="n">
        <v>8</v>
      </c>
      <c r="E124" s="4" t="n">
        <v>-8</v>
      </c>
      <c r="F124" s="3" t="inlineStr">
        <is>
          <t>Totem zone denial and long-range traps contest space and out-position poke compositions.</t>
        </is>
      </c>
    </row>
    <row r="125" ht="15" customHeight="1">
      <c r="A125" s="4" t="inlineStr">
        <is>
          <t>Beatrix</t>
        </is>
      </c>
      <c r="B125" s="4" t="inlineStr">
        <is>
          <t>Role</t>
        </is>
      </c>
      <c r="C125" s="4" t="inlineStr">
        <is>
          <t>Mage</t>
        </is>
      </c>
      <c r="D125" s="4" t="n">
        <v>8</v>
      </c>
      <c r="E125" s="4" t="n">
        <v>-8</v>
      </c>
      <c r="F125" s="3" t="inlineStr">
        <is>
          <t>Weapon-swap burst combo (Renner into Wesker) deletes low-HP mages before they can retaliate.</t>
        </is>
      </c>
    </row>
    <row r="126" ht="15" customHeight="1">
      <c r="A126" s="4" t="inlineStr">
        <is>
          <t>Yve</t>
        </is>
      </c>
      <c r="B126" s="4" t="inlineStr">
        <is>
          <t>Tag</t>
        </is>
      </c>
      <c r="C126" s="4" t="inlineStr">
        <is>
          <t>Poke</t>
        </is>
      </c>
      <c r="D126" s="4" t="n">
        <v>8</v>
      </c>
      <c r="E126" s="4" t="n">
        <v>-8</v>
      </c>
      <c r="F126" s="3" t="inlineStr">
        <is>
          <t>Zone-control burst outranges and out-damages rival poke mages contesting the same lane space.</t>
        </is>
      </c>
    </row>
    <row r="127" ht="15" customHeight="1">
      <c r="A127" s="4" t="inlineStr">
        <is>
          <t>Ixia</t>
        </is>
      </c>
      <c r="B127" s="4" t="inlineStr">
        <is>
          <t>Role</t>
        </is>
      </c>
      <c r="C127" s="4" t="inlineStr">
        <is>
          <t>Mage</t>
        </is>
      </c>
      <c r="D127" s="4" t="n">
        <v>8</v>
      </c>
      <c r="E127" s="4" t="n">
        <v>-8</v>
      </c>
      <c r="F127" s="3" t="inlineStr">
        <is>
          <t>Rapid-fire piercing shots delete squishy, immobile mages before they can complete their cast animation.</t>
        </is>
      </c>
    </row>
    <row r="128" ht="15" customHeight="1">
      <c r="A128" s="4" t="n"/>
      <c r="B128" s="4" t="n"/>
      <c r="C128" s="4" t="n"/>
      <c r="D128" s="4" t="n"/>
      <c r="E128" s="4" t="n"/>
      <c r="F128" s="3" t="n"/>
    </row>
    <row r="129" ht="15" customHeight="1"/>
    <row r="130" ht="15" customHeight="1"/>
    <row r="131" ht="15" customHeight="1">
      <c r="A131" s="16" t="inlineStr">
        <is>
          <t>4) TAG GLOSSARY / REFERENCE  (informational — the 22 tags marked "In-use" are wired into Block 5 below)</t>
        </is>
      </c>
    </row>
    <row r="132" ht="15" customHeight="1">
      <c r="A132" s="2" t="inlineStr">
        <is>
          <t>Category</t>
        </is>
      </c>
      <c r="B132" s="2" t="inlineStr">
        <is>
          <t>Tag</t>
        </is>
      </c>
      <c r="C132" s="2" t="inlineStr">
        <is>
          <t>Description</t>
        </is>
      </c>
      <c r="D132" s="2" t="inlineStr">
        <is>
          <t>Example Heroes</t>
        </is>
      </c>
      <c r="E132" s="2" t="inlineStr">
        <is>
          <t>Status</t>
        </is>
      </c>
    </row>
    <row r="133" ht="15" customHeight="1">
      <c r="A133" s="3" t="inlineStr">
        <is>
          <t>Damage Profile</t>
        </is>
      </c>
      <c r="B133" s="3" t="inlineStr">
        <is>
          <t>Burst</t>
        </is>
      </c>
      <c r="C133" s="3" t="inlineStr">
        <is>
          <t>High, immediate damage designed to delete squishy targets.</t>
        </is>
      </c>
      <c r="D133" s="3" t="inlineStr">
        <is>
          <t>Saber, Eudora, Kadita</t>
        </is>
      </c>
      <c r="E133" s="3" t="inlineStr">
        <is>
          <t>In-use</t>
        </is>
      </c>
    </row>
    <row r="134" ht="15" customHeight="1">
      <c r="A134" s="3" t="inlineStr">
        <is>
          <t>Damage Profile</t>
        </is>
      </c>
      <c r="B134" s="3" t="inlineStr">
        <is>
          <t>DPS</t>
        </is>
      </c>
      <c r="C134" s="3" t="inlineStr">
        <is>
          <t>Sustained, continuous damage over time, usually from basic attacks.</t>
        </is>
      </c>
      <c r="D134" s="3" t="inlineStr">
        <is>
          <t>Miya, Claude, Moskov</t>
        </is>
      </c>
      <c r="E134" s="3" t="inlineStr">
        <is>
          <t>In-use</t>
        </is>
      </c>
    </row>
    <row r="135" ht="15" customHeight="1">
      <c r="A135" s="3" t="inlineStr">
        <is>
          <t>Damage Profile</t>
        </is>
      </c>
      <c r="B135" s="3" t="inlineStr">
        <is>
          <t>Poke</t>
        </is>
      </c>
      <c r="C135" s="3" t="inlineStr">
        <is>
          <t>Long-range, safe chip damage to weaken enemies before a fight.</t>
        </is>
      </c>
      <c r="D135" s="3" t="inlineStr">
        <is>
          <t>Nana, Pharsa, Xavier</t>
        </is>
      </c>
      <c r="E135" s="3" t="inlineStr">
        <is>
          <t>In-use</t>
        </is>
      </c>
    </row>
    <row r="136" ht="15" customHeight="1">
      <c r="A136" s="3" t="inlineStr">
        <is>
          <t>Damage Profile</t>
        </is>
      </c>
      <c r="B136" s="3" t="inlineStr">
        <is>
          <t>AoE Damage</t>
        </is>
      </c>
      <c r="C136" s="3" t="inlineStr">
        <is>
          <t>Area of Effect damage that hits multiple targets.</t>
        </is>
      </c>
      <c r="D136" s="3" t="inlineStr">
        <is>
          <t>Alice, Odette, Vale</t>
        </is>
      </c>
      <c r="E136" s="3" t="inlineStr">
        <is>
          <t>In-use</t>
        </is>
      </c>
    </row>
    <row r="137" ht="15" customHeight="1">
      <c r="A137" s="3" t="inlineStr">
        <is>
          <t>Damage Profile</t>
        </is>
      </c>
      <c r="B137" s="3" t="inlineStr">
        <is>
          <t>True Damage</t>
        </is>
      </c>
      <c r="C137" s="3" t="inlineStr">
        <is>
          <t>Damage that ignores physical armor and magic resistance.</t>
        </is>
      </c>
      <c r="D137" s="3" t="inlineStr">
        <is>
          <t>Karrie, Lesley, X.Borg</t>
        </is>
      </c>
      <c r="E137" s="3" t="inlineStr">
        <is>
          <t>In-use</t>
        </is>
      </c>
    </row>
    <row r="138" ht="15" customHeight="1">
      <c r="A138" s="3" t="inlineStr">
        <is>
          <t>Damage Profile</t>
        </is>
      </c>
      <c r="B138" s="3" t="inlineStr">
        <is>
          <t>Execute</t>
        </is>
      </c>
      <c r="C138" s="3" t="inlineStr">
        <is>
          <t>Damage that scales based on the target's missing HP.</t>
        </is>
      </c>
      <c r="D138" s="3" t="inlineStr">
        <is>
          <t>Balmond, Karina, Martis</t>
        </is>
      </c>
      <c r="E138" s="3" t="inlineStr">
        <is>
          <t>In-use</t>
        </is>
      </c>
    </row>
    <row r="139" ht="15" customHeight="1">
      <c r="A139" s="3" t="inlineStr">
        <is>
          <t>Crowd Control</t>
        </is>
      </c>
      <c r="B139" s="3" t="inlineStr">
        <is>
          <t>Hard CC</t>
        </is>
      </c>
      <c r="C139" s="3" t="inlineStr">
        <is>
          <t>Completely stops enemy actions (Stun, Knock-up, Suppress, Freeze).</t>
        </is>
      </c>
      <c r="D139" s="3" t="inlineStr">
        <is>
          <t>Franco, Chou, Aurora</t>
        </is>
      </c>
      <c r="E139" s="3" t="inlineStr">
        <is>
          <t>In-use</t>
        </is>
      </c>
    </row>
    <row r="140" ht="15" customHeight="1">
      <c r="A140" s="3" t="inlineStr">
        <is>
          <t>Crowd Control</t>
        </is>
      </c>
      <c r="B140" s="3" t="inlineStr">
        <is>
          <t>Soft CC</t>
        </is>
      </c>
      <c r="C140" s="3" t="inlineStr">
        <is>
          <t>Impairs movement or specific actions but allows retaliation (Slow, Root).</t>
        </is>
      </c>
      <c r="D140" s="3" t="inlineStr">
        <is>
          <t>Yve, Helcurt, Belerick</t>
        </is>
      </c>
      <c r="E140" s="3" t="inlineStr">
        <is>
          <t>In-use</t>
        </is>
      </c>
    </row>
    <row r="141" ht="15" customHeight="1">
      <c r="A141" s="3" t="inlineStr">
        <is>
          <t>Crowd Control</t>
        </is>
      </c>
      <c r="B141" s="3" t="inlineStr">
        <is>
          <t>AoE CC</t>
        </is>
      </c>
      <c r="C141" s="3" t="inlineStr">
        <is>
          <t>Controls multiple enemies in an area.</t>
        </is>
      </c>
      <c r="D141" s="3" t="inlineStr">
        <is>
          <t>Tigreal, Atlas, Minotaur</t>
        </is>
      </c>
      <c r="E141" s="3" t="inlineStr">
        <is>
          <t>In-use</t>
        </is>
      </c>
    </row>
    <row r="142" ht="15" customHeight="1">
      <c r="A142" s="3" t="inlineStr">
        <is>
          <t>Crowd Control</t>
        </is>
      </c>
      <c r="B142" s="3" t="inlineStr">
        <is>
          <t>Targeted CC</t>
        </is>
      </c>
      <c r="C142" s="3" t="inlineStr">
        <is>
          <t>Point-and-click control that cannot be dodged by moving.</t>
        </is>
      </c>
      <c r="D142" s="3" t="inlineStr">
        <is>
          <t>Saber, Kaja, Eudora</t>
        </is>
      </c>
      <c r="E142" s="3" t="inlineStr">
        <is>
          <t>In-use</t>
        </is>
      </c>
    </row>
    <row r="143" ht="15" customHeight="1">
      <c r="A143" s="3" t="inlineStr">
        <is>
          <t>Mobility</t>
        </is>
      </c>
      <c r="B143" s="3" t="inlineStr">
        <is>
          <t>Dash/Blink</t>
        </is>
      </c>
      <c r="C143" s="3" t="inlineStr">
        <is>
          <t>Instant or quick repositioning to engage or escape.</t>
        </is>
      </c>
      <c r="D143" s="3" t="inlineStr">
        <is>
          <t>Lancelot, Chou, Harith</t>
        </is>
      </c>
      <c r="E143" s="3" t="inlineStr">
        <is>
          <t>In-use</t>
        </is>
      </c>
    </row>
    <row r="144" ht="15" customHeight="1">
      <c r="A144" s="3" t="inlineStr">
        <is>
          <t>Mobility</t>
        </is>
      </c>
      <c r="B144" s="3" t="inlineStr">
        <is>
          <t>High Mobility</t>
        </is>
      </c>
      <c r="C144" s="3" t="inlineStr">
        <is>
          <t>Continuous movement abilities or wall-scaling.</t>
        </is>
      </c>
      <c r="D144" s="3" t="inlineStr">
        <is>
          <t>Ling, Fanny, Joy</t>
        </is>
      </c>
      <c r="E144" s="3" t="inlineStr">
        <is>
          <t>In-use</t>
        </is>
      </c>
    </row>
    <row r="145" ht="15" customHeight="1">
      <c r="A145" s="3" t="inlineStr">
        <is>
          <t>Mobility</t>
        </is>
      </c>
      <c r="B145" s="3" t="inlineStr">
        <is>
          <t>Global Dive</t>
        </is>
      </c>
      <c r="C145" s="3" t="inlineStr">
        <is>
          <t>Abilities that allow traversal across the entire map quickly.</t>
        </is>
      </c>
      <c r="D145" s="3" t="inlineStr">
        <is>
          <t>Aldous, Yu Zhong, Johnson</t>
        </is>
      </c>
      <c r="E145" s="3" t="inlineStr">
        <is>
          <t>In-use</t>
        </is>
      </c>
    </row>
    <row r="146" ht="15" customHeight="1">
      <c r="A146" s="3" t="inlineStr">
        <is>
          <t>Mobility</t>
        </is>
      </c>
      <c r="B146" s="3" t="inlineStr">
        <is>
          <t>Mobility</t>
        </is>
      </c>
      <c r="C146" s="3" t="inlineStr">
        <is>
          <t>General movement-enhancing abilities without extreme range.</t>
        </is>
      </c>
      <c r="D146" s="3" t="inlineStr">
        <is>
          <t>Baxia</t>
        </is>
      </c>
      <c r="E146" s="3" t="inlineStr">
        <is>
          <t>Correction</t>
        </is>
      </c>
    </row>
    <row r="147" ht="15" customHeight="1">
      <c r="A147" s="3" t="inlineStr">
        <is>
          <t>Survivability</t>
        </is>
      </c>
      <c r="B147" s="3" t="inlineStr">
        <is>
          <t>Sustain</t>
        </is>
      </c>
      <c r="C147" s="3" t="inlineStr">
        <is>
          <t>High innate HP regeneration, Lifesteal, or Spell Vamp.</t>
        </is>
      </c>
      <c r="D147" s="3" t="inlineStr">
        <is>
          <t>Uranus, Alice, Ruby</t>
        </is>
      </c>
      <c r="E147" s="3" t="inlineStr">
        <is>
          <t>In-use</t>
        </is>
      </c>
    </row>
    <row r="148" ht="15" customHeight="1">
      <c r="A148" s="3" t="inlineStr">
        <is>
          <t>Survivability</t>
        </is>
      </c>
      <c r="B148" s="3" t="inlineStr">
        <is>
          <t>Shield</t>
        </is>
      </c>
      <c r="C148" s="3" t="inlineStr">
        <is>
          <t>Generation of temporary hit points to absorb burst damage.</t>
        </is>
      </c>
      <c r="D148" s="3" t="inlineStr">
        <is>
          <t>Esmeralda, Mathilda, Lolita</t>
        </is>
      </c>
      <c r="E148" s="3" t="inlineStr">
        <is>
          <t>In-use</t>
        </is>
      </c>
    </row>
    <row r="149" ht="15" customHeight="1">
      <c r="A149" s="3" t="inlineStr">
        <is>
          <t>Survivability</t>
        </is>
      </c>
      <c r="B149" s="3" t="inlineStr">
        <is>
          <t>I-Frame</t>
        </is>
      </c>
      <c r="C149" s="3" t="inlineStr">
        <is>
          <t>Invulnerability or untargetability frames to dodge skills.</t>
        </is>
      </c>
      <c r="D149" s="3" t="inlineStr">
        <is>
          <t>Lancelot, Benedetta, Wanwan</t>
        </is>
      </c>
      <c r="E149" s="3" t="inlineStr">
        <is>
          <t>In-use</t>
        </is>
      </c>
    </row>
    <row r="150" ht="15" customHeight="1">
      <c r="A150" s="3" t="inlineStr">
        <is>
          <t>Survivability</t>
        </is>
      </c>
      <c r="B150" s="3" t="inlineStr">
        <is>
          <t>Damage Reduction</t>
        </is>
      </c>
      <c r="C150" s="3" t="inlineStr">
        <is>
          <t>Innate percentage-based damage mitigation.</t>
        </is>
      </c>
      <c r="D150" s="3" t="inlineStr">
        <is>
          <t>Terizla, Baxia, Khufra</t>
        </is>
      </c>
      <c r="E150" s="3" t="inlineStr">
        <is>
          <t>In-use</t>
        </is>
      </c>
    </row>
    <row r="151" ht="15" customHeight="1">
      <c r="A151" s="3" t="inlineStr">
        <is>
          <t>Utility</t>
        </is>
      </c>
      <c r="B151" s="3" t="inlineStr">
        <is>
          <t>Healing</t>
        </is>
      </c>
      <c r="C151" s="3" t="inlineStr">
        <is>
          <t>Restoring HP to allies.</t>
        </is>
      </c>
      <c r="D151" s="3" t="inlineStr">
        <is>
          <t>Estes, Rafaela, Floryn</t>
        </is>
      </c>
      <c r="E151" s="3" t="inlineStr">
        <is>
          <t>In-use</t>
        </is>
      </c>
    </row>
    <row r="152" ht="15" customHeight="1">
      <c r="A152" s="3" t="inlineStr">
        <is>
          <t>Utility</t>
        </is>
      </c>
      <c r="B152" s="3" t="inlineStr">
        <is>
          <t>Anti-Heal</t>
        </is>
      </c>
      <c r="C152" s="3" t="inlineStr">
        <is>
          <t>Innate reduction of enemy lifesteal/regen without needing items.</t>
        </is>
      </c>
      <c r="D152" s="3" t="inlineStr">
        <is>
          <t>Baxia</t>
        </is>
      </c>
      <c r="E152" s="3" t="inlineStr">
        <is>
          <t>In-use</t>
        </is>
      </c>
    </row>
    <row r="153" ht="15" customHeight="1">
      <c r="A153" s="3" t="inlineStr">
        <is>
          <t>Utility</t>
        </is>
      </c>
      <c r="B153" s="3" t="inlineStr">
        <is>
          <t>Vision</t>
        </is>
      </c>
      <c r="C153" s="3" t="inlineStr">
        <is>
          <t>Abilities that reveal hidden enemies or map areas.</t>
        </is>
      </c>
      <c r="D153" s="3" t="inlineStr">
        <is>
          <t>Yi Sun-shin, Aldous, Selena</t>
        </is>
      </c>
      <c r="E153" s="3" t="inlineStr">
        <is>
          <t>In-use</t>
        </is>
      </c>
    </row>
    <row r="154" ht="15" customHeight="1">
      <c r="A154" s="3" t="inlineStr">
        <is>
          <t>Utility</t>
        </is>
      </c>
      <c r="B154" s="3" t="inlineStr">
        <is>
          <t>Summoner</t>
        </is>
      </c>
      <c r="C154" s="3" t="inlineStr">
        <is>
          <t>Spawns units to fight, tank, or push.</t>
        </is>
      </c>
      <c r="D154" s="3" t="inlineStr">
        <is>
          <t>Zhask, Popol and Kupa, Sun</t>
        </is>
      </c>
      <c r="E154" s="3" t="inlineStr">
        <is>
          <t>In-use</t>
        </is>
      </c>
    </row>
    <row r="155" ht="15" customHeight="1">
      <c r="A155" s="3" t="inlineStr">
        <is>
          <t>Utility</t>
        </is>
      </c>
      <c r="B155" s="3" t="inlineStr">
        <is>
          <t>Buff</t>
        </is>
      </c>
      <c r="C155" s="3" t="inlineStr">
        <is>
          <t>Grants bonus damage, CC immunity, or speed boost to self or allies.</t>
        </is>
      </c>
      <c r="D155" s="3" t="inlineStr">
        <is>
          <t>Mathilda, Rafaela, Angela</t>
        </is>
      </c>
      <c r="E155" s="3" t="inlineStr">
        <is>
          <t>Fandom wiki</t>
        </is>
      </c>
    </row>
    <row r="156" ht="15" customHeight="1">
      <c r="A156" s="3" t="inlineStr">
        <is>
          <t>Damage Profile</t>
        </is>
      </c>
      <c r="B156" s="3" t="inlineStr">
        <is>
          <t>Morph</t>
        </is>
      </c>
      <c r="C156" s="3" t="inlineStr">
        <is>
          <t>The caster transforms with a unique set of abilities.</t>
        </is>
      </c>
      <c r="D156" s="3" t="inlineStr">
        <is>
          <t>Roger, X.Borg, Silvanna</t>
        </is>
      </c>
      <c r="E156" s="3" t="inlineStr">
        <is>
          <t>Fandom wiki</t>
        </is>
      </c>
    </row>
    <row r="157" ht="15" customHeight="1">
      <c r="A157" s="3" t="inlineStr">
        <is>
          <t>Utility</t>
        </is>
      </c>
      <c r="B157" s="3" t="inlineStr">
        <is>
          <t>Stealth</t>
        </is>
      </c>
      <c r="C157" s="3" t="inlineStr">
        <is>
          <t>Camouflage or invisibility that hides the hero from enemies.</t>
        </is>
      </c>
      <c r="D157" s="3" t="inlineStr">
        <is>
          <t>Natalia, Aamon, Lesley</t>
        </is>
      </c>
      <c r="E157" s="3" t="inlineStr">
        <is>
          <t>Fandom wiki</t>
        </is>
      </c>
    </row>
    <row r="158" ht="15" customHeight="1">
      <c r="A158" s="3" t="inlineStr">
        <is>
          <t>Utility</t>
        </is>
      </c>
      <c r="B158" s="3" t="inlineStr">
        <is>
          <t>Remove CC</t>
        </is>
      </c>
      <c r="C158" s="3" t="inlineStr">
        <is>
          <t>Removes debuffs or crowd control from self or allies.</t>
        </is>
      </c>
      <c r="D158" s="3" t="inlineStr">
        <is>
          <t>Diggie</t>
        </is>
      </c>
      <c r="E158" s="3" t="inlineStr">
        <is>
          <t>Fandom wiki</t>
        </is>
      </c>
    </row>
    <row r="159" ht="15" customHeight="1">
      <c r="A159" s="3" t="inlineStr">
        <is>
          <t>Survivability</t>
        </is>
      </c>
      <c r="B159" s="3" t="inlineStr">
        <is>
          <t>Death Immunity</t>
        </is>
      </c>
      <c r="C159" s="3" t="inlineStr">
        <is>
          <t>The caster cannot die from damage for the duration.</t>
        </is>
      </c>
      <c r="D159" s="3" t="inlineStr">
        <is>
          <t>Martis</t>
        </is>
      </c>
      <c r="E159" s="3" t="inlineStr">
        <is>
          <t>Fandom wiki</t>
        </is>
      </c>
    </row>
    <row r="160" ht="15" customHeight="1"/>
    <row r="161" ht="15" customHeight="1"/>
    <row r="162" ht="15" customHeight="1">
      <c r="A162" s="16" t="inlineStr">
        <is>
          <t>5) STYLE / TAG INTERACTION MATRIX  (Attacker tag row -&gt; Defender tag column, points BEFORE style_mult)</t>
        </is>
      </c>
    </row>
    <row r="163" ht="15" customHeight="1">
      <c r="A163" s="2" t="inlineStr">
        <is>
          <t>Attacker\Defender</t>
        </is>
      </c>
      <c r="B163" s="2" t="inlineStr">
        <is>
          <t>Burst</t>
        </is>
      </c>
      <c r="C163" s="2" t="inlineStr">
        <is>
          <t>DPS</t>
        </is>
      </c>
      <c r="D163" s="2" t="inlineStr">
        <is>
          <t>Poke</t>
        </is>
      </c>
      <c r="E163" s="2" t="inlineStr">
        <is>
          <t>AoE Damage</t>
        </is>
      </c>
      <c r="F163" s="2" t="inlineStr">
        <is>
          <t>True Damage</t>
        </is>
      </c>
      <c r="G163" s="2" t="inlineStr">
        <is>
          <t>Execute</t>
        </is>
      </c>
      <c r="H163" s="2" t="inlineStr">
        <is>
          <t>Hard CC</t>
        </is>
      </c>
      <c r="I163" s="2" t="inlineStr">
        <is>
          <t>Soft CC</t>
        </is>
      </c>
      <c r="J163" s="2" t="inlineStr">
        <is>
          <t>AoE CC</t>
        </is>
      </c>
      <c r="K163" s="2" t="inlineStr">
        <is>
          <t>Targeted CC</t>
        </is>
      </c>
      <c r="L163" s="2" t="inlineStr">
        <is>
          <t>Dash/Blink</t>
        </is>
      </c>
      <c r="M163" s="2" t="inlineStr">
        <is>
          <t>High Mobility</t>
        </is>
      </c>
      <c r="N163" s="2" t="inlineStr">
        <is>
          <t>Global Dive</t>
        </is>
      </c>
      <c r="O163" s="2" t="inlineStr">
        <is>
          <t>Mobility</t>
        </is>
      </c>
      <c r="P163" s="2" t="inlineStr">
        <is>
          <t>Sustain</t>
        </is>
      </c>
      <c r="Q163" s="2" t="inlineStr">
        <is>
          <t>Shield</t>
        </is>
      </c>
      <c r="R163" s="2" t="inlineStr">
        <is>
          <t>I-Frame</t>
        </is>
      </c>
      <c r="S163" s="2" t="inlineStr">
        <is>
          <t>Damage Reduction</t>
        </is>
      </c>
      <c r="T163" s="2" t="inlineStr">
        <is>
          <t>Healing</t>
        </is>
      </c>
      <c r="U163" s="2" t="inlineStr">
        <is>
          <t>Anti-Heal</t>
        </is>
      </c>
      <c r="V163" s="2" t="inlineStr">
        <is>
          <t>Vision</t>
        </is>
      </c>
      <c r="W163" s="2" t="inlineStr">
        <is>
          <t>Summoner</t>
        </is>
      </c>
    </row>
    <row r="164" ht="15" customHeight="1">
      <c r="A164" s="1" t="inlineStr">
        <is>
          <t>Burst</t>
        </is>
      </c>
      <c r="B164" s="4" t="n">
        <v>0</v>
      </c>
      <c r="C164" s="4" t="n">
        <v>2</v>
      </c>
      <c r="D164" s="4" t="n">
        <v>1</v>
      </c>
      <c r="E164" s="4" t="n">
        <v>1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-1</v>
      </c>
      <c r="N164" s="4" t="n">
        <v>0</v>
      </c>
      <c r="O164" s="4" t="n">
        <v>0</v>
      </c>
      <c r="P164" s="4" t="n">
        <v>-1</v>
      </c>
      <c r="Q164" s="4" t="n">
        <v>-1</v>
      </c>
      <c r="R164" s="4" t="n">
        <v>-2</v>
      </c>
      <c r="S164" s="4" t="n">
        <v>-1</v>
      </c>
      <c r="T164" s="4" t="n">
        <v>-1</v>
      </c>
      <c r="U164" s="4" t="n">
        <v>0</v>
      </c>
      <c r="V164" s="4" t="n">
        <v>0</v>
      </c>
      <c r="W164" s="4" t="n">
        <v>1</v>
      </c>
    </row>
    <row r="165" ht="15" customHeight="1">
      <c r="A165" s="1" t="inlineStr">
        <is>
          <t>DPS</t>
        </is>
      </c>
      <c r="B165" s="4" t="n">
        <v>-2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-1</v>
      </c>
      <c r="M165" s="4" t="n">
        <v>-1</v>
      </c>
      <c r="N165" s="4" t="n">
        <v>0</v>
      </c>
      <c r="O165" s="4" t="n">
        <v>0</v>
      </c>
      <c r="P165" s="4" t="n">
        <v>-1</v>
      </c>
      <c r="Q165" s="4" t="n">
        <v>0</v>
      </c>
      <c r="R165" s="4" t="n">
        <v>0</v>
      </c>
      <c r="S165" s="4" t="n">
        <v>0</v>
      </c>
      <c r="T165" s="4" t="n">
        <v>-1</v>
      </c>
      <c r="U165" s="4" t="n">
        <v>1</v>
      </c>
      <c r="V165" s="4" t="n">
        <v>0</v>
      </c>
      <c r="W165" s="4" t="n">
        <v>1</v>
      </c>
    </row>
    <row r="166" ht="15" customHeight="1">
      <c r="A166" s="1" t="inlineStr">
        <is>
          <t>Poke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-1</v>
      </c>
      <c r="O166" s="4" t="n">
        <v>0</v>
      </c>
      <c r="P166" s="4" t="n">
        <v>-2</v>
      </c>
      <c r="Q166" s="4" t="n">
        <v>-1</v>
      </c>
      <c r="R166" s="4" t="n">
        <v>0</v>
      </c>
      <c r="S166" s="4" t="n">
        <v>0</v>
      </c>
      <c r="T166" s="4" t="n">
        <v>-1</v>
      </c>
      <c r="U166" s="4" t="n">
        <v>1</v>
      </c>
      <c r="V166" s="4" t="n">
        <v>0</v>
      </c>
      <c r="W166" s="4" t="n">
        <v>0</v>
      </c>
    </row>
    <row r="167" ht="15" customHeight="1">
      <c r="A167" s="1" t="inlineStr">
        <is>
          <t>AoE Damage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-1</v>
      </c>
      <c r="M167" s="4" t="n">
        <v>-1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-1</v>
      </c>
      <c r="U167" s="4" t="n">
        <v>1</v>
      </c>
      <c r="V167" s="4" t="n">
        <v>0</v>
      </c>
      <c r="W167" s="4" t="n">
        <v>2</v>
      </c>
    </row>
    <row r="168" ht="15" customHeight="1">
      <c r="A168" s="1" t="inlineStr">
        <is>
          <t>True Damage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1</v>
      </c>
      <c r="Q168" s="4" t="n">
        <v>2</v>
      </c>
      <c r="R168" s="4" t="n">
        <v>0</v>
      </c>
      <c r="S168" s="4" t="n">
        <v>2</v>
      </c>
      <c r="T168" s="4" t="n">
        <v>0</v>
      </c>
      <c r="U168" s="4" t="n">
        <v>0</v>
      </c>
      <c r="V168" s="4" t="n">
        <v>0</v>
      </c>
      <c r="W168" s="4" t="n">
        <v>0</v>
      </c>
    </row>
    <row r="169" ht="15" customHeight="1">
      <c r="A169" s="1" t="inlineStr">
        <is>
          <t>Execute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2</v>
      </c>
      <c r="Q169" s="4" t="n">
        <v>0</v>
      </c>
      <c r="R169" s="4" t="n">
        <v>-2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</row>
    <row r="170" ht="15" customHeight="1">
      <c r="A170" s="1" t="inlineStr">
        <is>
          <t>Hard CC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2</v>
      </c>
      <c r="N170" s="4" t="n">
        <v>1</v>
      </c>
      <c r="O170" s="4" t="n">
        <v>2</v>
      </c>
      <c r="P170" s="4" t="n">
        <v>0</v>
      </c>
      <c r="Q170" s="4" t="n">
        <v>0</v>
      </c>
      <c r="R170" s="4" t="n">
        <v>-2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</row>
    <row r="171" ht="15" customHeight="1">
      <c r="A171" s="1" t="inlineStr">
        <is>
          <t>Soft CC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</v>
      </c>
      <c r="P171" s="4" t="n">
        <v>0</v>
      </c>
      <c r="Q171" s="4" t="n">
        <v>0</v>
      </c>
      <c r="R171" s="4" t="n">
        <v>-1</v>
      </c>
      <c r="S171" s="4" t="n">
        <v>0</v>
      </c>
      <c r="T171" s="4" t="n">
        <v>-1</v>
      </c>
      <c r="U171" s="4" t="n">
        <v>0</v>
      </c>
      <c r="V171" s="4" t="n">
        <v>0</v>
      </c>
      <c r="W171" s="4" t="n">
        <v>0</v>
      </c>
    </row>
    <row r="172" ht="15" customHeight="1">
      <c r="A172" s="1" t="inlineStr">
        <is>
          <t>AoE CC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-1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-1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2</v>
      </c>
    </row>
    <row r="173" ht="15" customHeight="1">
      <c r="A173" s="1" t="inlineStr">
        <is>
          <t>Targeted CC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2</v>
      </c>
      <c r="N173" s="4" t="n">
        <v>0</v>
      </c>
      <c r="O173" s="4" t="n">
        <v>2</v>
      </c>
      <c r="P173" s="4" t="n">
        <v>0</v>
      </c>
      <c r="Q173" s="4" t="n">
        <v>0</v>
      </c>
      <c r="R173" s="4" t="n">
        <v>-1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</row>
    <row r="174" ht="15" customHeight="1">
      <c r="A174" s="1" t="inlineStr">
        <is>
          <t>Dash/Blink</t>
        </is>
      </c>
      <c r="B174" s="4" t="n">
        <v>0</v>
      </c>
      <c r="C174" s="4" t="n">
        <v>0</v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-1</v>
      </c>
      <c r="I174" s="4" t="n">
        <v>0</v>
      </c>
      <c r="J174" s="4" t="n">
        <v>0</v>
      </c>
      <c r="K174" s="4" t="n">
        <v>-1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</row>
    <row r="175" ht="15" customHeight="1">
      <c r="A175" s="1" t="inlineStr">
        <is>
          <t>High Mobility</t>
        </is>
      </c>
      <c r="B175" s="4" t="n">
        <v>0</v>
      </c>
      <c r="C175" s="4" t="n">
        <v>0</v>
      </c>
      <c r="D175" s="4" t="n">
        <v>-1</v>
      </c>
      <c r="E175" s="4" t="n">
        <v>1</v>
      </c>
      <c r="F175" s="4" t="n">
        <v>0</v>
      </c>
      <c r="G175" s="4" t="n">
        <v>0</v>
      </c>
      <c r="H175" s="4" t="n">
        <v>-2</v>
      </c>
      <c r="I175" s="4" t="n">
        <v>-1</v>
      </c>
      <c r="J175" s="4" t="n">
        <v>1</v>
      </c>
      <c r="K175" s="4" t="n">
        <v>-2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</row>
    <row r="176" ht="15" customHeight="1">
      <c r="A176" s="1" t="inlineStr">
        <is>
          <t>Global Dive</t>
        </is>
      </c>
      <c r="B176" s="4" t="n">
        <v>0</v>
      </c>
      <c r="C176" s="4" t="n">
        <v>0</v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-1</v>
      </c>
      <c r="U176" s="4" t="n">
        <v>0</v>
      </c>
      <c r="V176" s="4" t="n">
        <v>0</v>
      </c>
      <c r="W176" s="4" t="n">
        <v>0</v>
      </c>
    </row>
    <row r="177" ht="15" customHeight="1">
      <c r="A177" s="1" t="inlineStr">
        <is>
          <t>Mobility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-1</v>
      </c>
      <c r="I177" s="4" t="n">
        <v>0</v>
      </c>
      <c r="J177" s="4" t="n">
        <v>0</v>
      </c>
      <c r="K177" s="4" t="n">
        <v>-1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</row>
    <row r="178" ht="15" customHeight="1">
      <c r="A178" s="1" t="inlineStr">
        <is>
          <t>Sustain</t>
        </is>
      </c>
      <c r="B178" s="4" t="n">
        <v>-1</v>
      </c>
      <c r="C178" s="4" t="n">
        <v>1</v>
      </c>
      <c r="D178" s="4" t="n">
        <v>2</v>
      </c>
      <c r="E178" s="4" t="n">
        <v>0</v>
      </c>
      <c r="F178" s="4" t="n">
        <v>-1</v>
      </c>
      <c r="G178" s="4" t="n">
        <v>-2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-2</v>
      </c>
      <c r="V178" s="4" t="n">
        <v>0</v>
      </c>
      <c r="W178" s="4" t="n">
        <v>1</v>
      </c>
    </row>
    <row r="179" ht="15" customHeight="1">
      <c r="A179" s="1" t="inlineStr">
        <is>
          <t>Shield</t>
        </is>
      </c>
      <c r="B179" s="4" t="n">
        <v>1</v>
      </c>
      <c r="C179" s="4" t="n">
        <v>0</v>
      </c>
      <c r="D179" s="4" t="n">
        <v>1</v>
      </c>
      <c r="E179" s="4" t="n">
        <v>0</v>
      </c>
      <c r="F179" s="4" t="n">
        <v>-2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</row>
    <row r="180" ht="15" customHeight="1">
      <c r="A180" s="1" t="inlineStr">
        <is>
          <t>I-Frame</t>
        </is>
      </c>
      <c r="B180" s="4" t="n">
        <v>2</v>
      </c>
      <c r="C180" s="4" t="n">
        <v>0</v>
      </c>
      <c r="D180" s="4" t="n">
        <v>0</v>
      </c>
      <c r="E180" s="4" t="n">
        <v>0</v>
      </c>
      <c r="F180" s="4" t="n">
        <v>1</v>
      </c>
      <c r="G180" s="4" t="n">
        <v>2</v>
      </c>
      <c r="H180" s="4" t="n">
        <v>2</v>
      </c>
      <c r="I180" s="4" t="n">
        <v>1</v>
      </c>
      <c r="J180" s="4" t="n">
        <v>1</v>
      </c>
      <c r="K180" s="4" t="n">
        <v>1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</row>
    <row r="181" ht="15" customHeight="1">
      <c r="A181" s="1" t="inlineStr">
        <is>
          <t>Damage Reduction</t>
        </is>
      </c>
      <c r="B181" s="4" t="n">
        <v>1</v>
      </c>
      <c r="C181" s="4" t="n">
        <v>1</v>
      </c>
      <c r="D181" s="4" t="n">
        <v>1</v>
      </c>
      <c r="E181" s="4" t="n">
        <v>0</v>
      </c>
      <c r="F181" s="4" t="n">
        <v>-2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</row>
    <row r="182" ht="15" customHeight="1">
      <c r="A182" s="1" t="inlineStr">
        <is>
          <t>Healing</t>
        </is>
      </c>
      <c r="B182" s="4" t="n">
        <v>-1</v>
      </c>
      <c r="C182" s="4" t="n">
        <v>0</v>
      </c>
      <c r="D182" s="4" t="n">
        <v>2</v>
      </c>
      <c r="E182" s="4" t="n">
        <v>0</v>
      </c>
      <c r="F182" s="4" t="n">
        <v>0</v>
      </c>
      <c r="G182" s="4" t="n">
        <v>-1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-2</v>
      </c>
      <c r="V182" s="4" t="n">
        <v>0</v>
      </c>
      <c r="W182" s="4" t="n">
        <v>0</v>
      </c>
    </row>
    <row r="183" ht="15" customHeight="1">
      <c r="A183" s="1" t="inlineStr">
        <is>
          <t>Anti-Heal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2</v>
      </c>
      <c r="Q183" s="4" t="n">
        <v>0</v>
      </c>
      <c r="R183" s="4" t="n">
        <v>0</v>
      </c>
      <c r="S183" s="4" t="n">
        <v>0</v>
      </c>
      <c r="T183" s="4" t="n">
        <v>2</v>
      </c>
      <c r="U183" s="4" t="n">
        <v>0</v>
      </c>
      <c r="V183" s="4" t="n">
        <v>0</v>
      </c>
      <c r="W183" s="4" t="n">
        <v>0</v>
      </c>
    </row>
    <row r="184" ht="15" customHeight="1">
      <c r="A184" s="1" t="inlineStr">
        <is>
          <t>Vision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</row>
    <row r="185" ht="15" customHeight="1">
      <c r="A185" s="1" t="inlineStr">
        <is>
          <t>Summoner</t>
        </is>
      </c>
      <c r="B185" s="4" t="n">
        <v>0</v>
      </c>
      <c r="C185" s="4" t="n">
        <v>0</v>
      </c>
      <c r="D185" s="4" t="n">
        <v>0</v>
      </c>
      <c r="E185" s="4" t="n">
        <v>-2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-2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</row>
    <row r="186" ht="15" customHeight="1"/>
    <row r="187" ht="15" customHeight="1"/>
    <row r="188" ht="15" customHeight="1">
      <c r="A188" s="16" t="inlineStr">
        <is>
          <t>6) MANUAL OVERRIDES  (force an EXACT score for one specific Attacker -&gt; Defender pair; overrides all formulas above)</t>
        </is>
      </c>
    </row>
    <row r="189" ht="15" customHeight="1">
      <c r="A189" s="2" t="inlineStr">
        <is>
          <t>Attacker</t>
        </is>
      </c>
      <c r="B189" s="2" t="inlineStr">
        <is>
          <t>Defender</t>
        </is>
      </c>
      <c r="C189" s="2" t="inlineStr">
        <is>
          <t>Score</t>
        </is>
      </c>
      <c r="D189" s="2" t="inlineStr">
        <is>
          <t>Note</t>
        </is>
      </c>
      <c r="E189" s="2" t="inlineStr">
        <is>
          <t>Key (auto - do not edit)</t>
        </is>
      </c>
    </row>
    <row r="190" ht="15" customHeight="1">
      <c r="A190" s="5" t="n"/>
      <c r="B190" s="5" t="n"/>
      <c r="C190" s="5" t="n"/>
      <c r="D190" s="5" t="n"/>
      <c r="E190">
        <f>A190&amp;"|"&amp;B190</f>
        <v/>
      </c>
    </row>
    <row r="191" ht="15" customHeight="1">
      <c r="A191" s="5" t="n"/>
      <c r="B191" s="5" t="n"/>
      <c r="C191" s="5" t="n"/>
      <c r="D191" s="5" t="n"/>
      <c r="E191">
        <f>A191&amp;"|"&amp;B191</f>
        <v/>
      </c>
    </row>
    <row r="192" ht="15" customHeight="1">
      <c r="A192" s="5" t="n"/>
      <c r="B192" s="5" t="n"/>
      <c r="C192" s="5" t="n"/>
      <c r="D192" s="5" t="n"/>
      <c r="E192">
        <f>A192&amp;"|"&amp;B192</f>
        <v/>
      </c>
    </row>
    <row r="193" ht="15" customHeight="1">
      <c r="A193" s="5" t="n"/>
      <c r="B193" s="5" t="n"/>
      <c r="C193" s="5" t="n"/>
      <c r="D193" s="5" t="n"/>
      <c r="E193">
        <f>A193&amp;"|"&amp;B193</f>
        <v/>
      </c>
    </row>
    <row r="194" ht="15" customHeight="1">
      <c r="A194" s="5" t="n"/>
      <c r="B194" s="5" t="n"/>
      <c r="C194" s="5" t="n"/>
      <c r="D194" s="5" t="n"/>
      <c r="E194">
        <f>A194&amp;"|"&amp;B194</f>
        <v/>
      </c>
    </row>
    <row r="195" ht="15" customHeight="1">
      <c r="A195" s="5" t="n"/>
      <c r="B195" s="5" t="n"/>
      <c r="C195" s="5" t="n"/>
      <c r="D195" s="5" t="n"/>
      <c r="E195">
        <f>A195&amp;"|"&amp;B195</f>
        <v/>
      </c>
    </row>
    <row r="196" ht="15" customHeight="1">
      <c r="A196" s="5" t="n"/>
      <c r="B196" s="5" t="n"/>
      <c r="C196" s="5" t="n"/>
      <c r="D196" s="5" t="n"/>
      <c r="E196">
        <f>A196&amp;"|"&amp;B196</f>
        <v/>
      </c>
    </row>
    <row r="197" ht="15" customHeight="1">
      <c r="A197" s="5" t="n"/>
      <c r="B197" s="5" t="n"/>
      <c r="C197" s="5" t="n"/>
      <c r="D197" s="5" t="n"/>
      <c r="E197">
        <f>A197&amp;"|"&amp;B197</f>
        <v/>
      </c>
    </row>
    <row r="198" ht="15" customHeight="1">
      <c r="A198" s="5" t="n"/>
      <c r="B198" s="5" t="n"/>
      <c r="C198" s="5" t="n"/>
      <c r="D198" s="5" t="n"/>
      <c r="E198">
        <f>A198&amp;"|"&amp;B198</f>
        <v/>
      </c>
    </row>
    <row r="199" ht="15" customHeight="1">
      <c r="A199" s="5" t="n"/>
      <c r="B199" s="5" t="n"/>
      <c r="C199" s="5" t="n"/>
      <c r="D199" s="5" t="n"/>
      <c r="E199">
        <f>A199&amp;"|"&amp;B199</f>
        <v/>
      </c>
    </row>
    <row r="200" ht="15" customHeight="1">
      <c r="A200" s="5" t="n"/>
      <c r="B200" s="5" t="n"/>
      <c r="C200" s="5" t="n"/>
      <c r="D200" s="5" t="n"/>
      <c r="E200">
        <f>A200&amp;"|"&amp;B200</f>
        <v/>
      </c>
    </row>
    <row r="201" ht="15" customHeight="1">
      <c r="A201" s="5" t="n"/>
      <c r="B201" s="5" t="n"/>
      <c r="C201" s="5" t="n"/>
      <c r="D201" s="5" t="n"/>
      <c r="E201">
        <f>A201&amp;"|"&amp;B201</f>
        <v/>
      </c>
    </row>
    <row r="202" ht="15" customHeight="1">
      <c r="A202" s="5" t="n"/>
      <c r="B202" s="5" t="n"/>
      <c r="C202" s="5" t="n"/>
      <c r="D202" s="5" t="n"/>
      <c r="E202">
        <f>A202&amp;"|"&amp;B202</f>
        <v/>
      </c>
    </row>
    <row r="203" ht="15" customHeight="1">
      <c r="A203" s="5" t="n"/>
      <c r="B203" s="5" t="n"/>
      <c r="C203" s="5" t="n"/>
      <c r="D203" s="5" t="n"/>
      <c r="E203">
        <f>A203&amp;"|"&amp;B203</f>
        <v/>
      </c>
    </row>
    <row r="204" ht="15" customHeight="1">
      <c r="A204" s="5" t="n"/>
      <c r="B204" s="5" t="n"/>
      <c r="C204" s="5" t="n"/>
      <c r="D204" s="5" t="n"/>
      <c r="E204">
        <f>A204&amp;"|"&amp;B204</f>
        <v/>
      </c>
    </row>
    <row r="205" ht="15" customHeight="1">
      <c r="A205" s="5" t="n"/>
      <c r="B205" s="5" t="n"/>
      <c r="C205" s="5" t="n"/>
      <c r="D205" s="5" t="n"/>
      <c r="E205">
        <f>A205&amp;"|"&amp;B205</f>
        <v/>
      </c>
    </row>
    <row r="206" ht="15" customHeight="1">
      <c r="A206" s="5" t="n"/>
      <c r="B206" s="5" t="n"/>
      <c r="C206" s="5" t="n"/>
      <c r="D206" s="5" t="n"/>
      <c r="E206">
        <f>A206&amp;"|"&amp;B206</f>
        <v/>
      </c>
    </row>
    <row r="207" ht="15" customHeight="1">
      <c r="A207" s="5" t="n"/>
      <c r="B207" s="5" t="n"/>
      <c r="C207" s="5" t="n"/>
      <c r="D207" s="5" t="n"/>
      <c r="E207">
        <f>A207&amp;"|"&amp;B207</f>
        <v/>
      </c>
    </row>
    <row r="208" ht="15" customHeight="1">
      <c r="A208" s="5" t="n"/>
      <c r="B208" s="5" t="n"/>
      <c r="C208" s="5" t="n"/>
      <c r="D208" s="5" t="n"/>
      <c r="E208">
        <f>A208&amp;"|"&amp;B208</f>
        <v/>
      </c>
    </row>
    <row r="209" ht="15" customHeight="1">
      <c r="A209" s="5" t="n"/>
      <c r="B209" s="5" t="n"/>
      <c r="C209" s="5" t="n"/>
      <c r="D209" s="5" t="n"/>
      <c r="E209">
        <f>A209&amp;"|"&amp;B209</f>
        <v/>
      </c>
    </row>
    <row r="210" ht="15" customHeight="1">
      <c r="A210" s="5" t="n"/>
      <c r="B210" s="5" t="n"/>
      <c r="C210" s="5" t="n"/>
      <c r="D210" s="5" t="n"/>
      <c r="E210">
        <f>A210&amp;"|"&amp;B210</f>
        <v/>
      </c>
    </row>
    <row r="211" ht="15" customHeight="1">
      <c r="A211" s="5" t="n"/>
      <c r="B211" s="5" t="n"/>
      <c r="C211" s="5" t="n"/>
      <c r="D211" s="5" t="n"/>
      <c r="E211">
        <f>A211&amp;"|"&amp;B211</f>
        <v/>
      </c>
    </row>
    <row r="212" ht="15" customHeight="1">
      <c r="A212" s="5" t="n"/>
      <c r="B212" s="5" t="n"/>
      <c r="C212" s="5" t="n"/>
      <c r="D212" s="5" t="n"/>
      <c r="E212">
        <f>A212&amp;"|"&amp;B212</f>
        <v/>
      </c>
    </row>
    <row r="213" ht="15" customHeight="1">
      <c r="A213" s="5" t="n"/>
      <c r="B213" s="5" t="n"/>
      <c r="C213" s="5" t="n"/>
      <c r="D213" s="5" t="n"/>
      <c r="E213">
        <f>A213&amp;"|"&amp;B213</f>
        <v/>
      </c>
    </row>
    <row r="214" ht="15" customHeight="1">
      <c r="A214" s="5" t="n"/>
      <c r="B214" s="5" t="n"/>
      <c r="C214" s="5" t="n"/>
      <c r="D214" s="5" t="n"/>
      <c r="E214">
        <f>A214&amp;"|"&amp;B214</f>
        <v/>
      </c>
    </row>
    <row r="215" ht="15" customHeight="1">
      <c r="A215" s="5" t="n"/>
      <c r="B215" s="5" t="n"/>
      <c r="C215" s="5" t="n"/>
      <c r="D215" s="5" t="n"/>
      <c r="E215">
        <f>A215&amp;"|"&amp;B215</f>
        <v/>
      </c>
    </row>
    <row r="216" ht="15" customHeight="1">
      <c r="A216" s="5" t="n"/>
      <c r="B216" s="5" t="n"/>
      <c r="C216" s="5" t="n"/>
      <c r="D216" s="5" t="n"/>
      <c r="E216">
        <f>A216&amp;"|"&amp;B216</f>
        <v/>
      </c>
    </row>
    <row r="217" ht="15" customHeight="1">
      <c r="A217" s="5" t="n"/>
      <c r="B217" s="5" t="n"/>
      <c r="C217" s="5" t="n"/>
      <c r="D217" s="5" t="n"/>
      <c r="E217">
        <f>A217&amp;"|"&amp;B217</f>
        <v/>
      </c>
    </row>
    <row r="218" ht="15" customHeight="1">
      <c r="A218" s="5" t="n"/>
      <c r="B218" s="5" t="n"/>
      <c r="C218" s="5" t="n"/>
      <c r="D218" s="5" t="n"/>
      <c r="E218">
        <f>A218&amp;"|"&amp;B218</f>
        <v/>
      </c>
    </row>
    <row r="219" ht="15" customHeight="1">
      <c r="A219" s="5" t="n"/>
      <c r="B219" s="5" t="n"/>
      <c r="C219" s="5" t="n"/>
      <c r="D219" s="5" t="n"/>
      <c r="E219">
        <f>A219&amp;"|"&amp;B219</f>
        <v/>
      </c>
    </row>
    <row r="220" ht="15" customHeight="1">
      <c r="A220" s="5" t="n"/>
      <c r="B220" s="5" t="n"/>
      <c r="C220" s="5" t="n"/>
      <c r="D220" s="5" t="n"/>
      <c r="E220">
        <f>A220&amp;"|"&amp;B220</f>
        <v/>
      </c>
    </row>
    <row r="221" ht="15" customHeight="1">
      <c r="A221" s="5" t="n"/>
      <c r="B221" s="5" t="n"/>
      <c r="C221" s="5" t="n"/>
      <c r="D221" s="5" t="n"/>
      <c r="E221">
        <f>A221&amp;"|"&amp;B221</f>
        <v/>
      </c>
    </row>
    <row r="222" ht="15" customHeight="1">
      <c r="A222" s="5" t="n"/>
      <c r="B222" s="5" t="n"/>
      <c r="C222" s="5" t="n"/>
      <c r="D222" s="5" t="n"/>
      <c r="E222">
        <f>A222&amp;"|"&amp;B222</f>
        <v/>
      </c>
    </row>
    <row r="223" ht="15" customHeight="1">
      <c r="A223" s="5" t="n"/>
      <c r="B223" s="5" t="n"/>
      <c r="C223" s="5" t="n"/>
      <c r="D223" s="5" t="n"/>
      <c r="E223">
        <f>A223&amp;"|"&amp;B223</f>
        <v/>
      </c>
    </row>
    <row r="224" ht="15" customHeight="1">
      <c r="A224" s="5" t="n"/>
      <c r="B224" s="5" t="n"/>
      <c r="C224" s="5" t="n"/>
      <c r="D224" s="5" t="n"/>
      <c r="E224">
        <f>A224&amp;"|"&amp;B224</f>
        <v/>
      </c>
    </row>
    <row r="225" ht="15" customHeight="1">
      <c r="A225" s="5" t="n"/>
      <c r="B225" s="5" t="n"/>
      <c r="C225" s="5" t="n"/>
      <c r="D225" s="5" t="n"/>
      <c r="E225">
        <f>A225&amp;"|"&amp;B225</f>
        <v/>
      </c>
    </row>
    <row r="226" ht="15" customHeight="1">
      <c r="A226" s="5" t="n"/>
      <c r="B226" s="5" t="n"/>
      <c r="C226" s="5" t="n"/>
      <c r="D226" s="5" t="n"/>
      <c r="E226">
        <f>A226&amp;"|"&amp;B226</f>
        <v/>
      </c>
    </row>
    <row r="227" ht="15" customHeight="1">
      <c r="A227" s="5" t="n"/>
      <c r="B227" s="5" t="n"/>
      <c r="C227" s="5" t="n"/>
      <c r="D227" s="5" t="n"/>
      <c r="E227">
        <f>A227&amp;"|"&amp;B227</f>
        <v/>
      </c>
    </row>
    <row r="228" ht="15" customHeight="1">
      <c r="A228" s="5" t="n"/>
      <c r="B228" s="5" t="n"/>
      <c r="C228" s="5" t="n"/>
      <c r="D228" s="5" t="n"/>
      <c r="E228">
        <f>A228&amp;"|"&amp;B228</f>
        <v/>
      </c>
    </row>
    <row r="229" ht="15" customHeight="1">
      <c r="A229" s="5" t="n"/>
      <c r="B229" s="5" t="n"/>
      <c r="C229" s="5" t="n"/>
      <c r="D229" s="5" t="n"/>
      <c r="E229">
        <f>A229&amp;"|"&amp;B229</f>
        <v/>
      </c>
    </row>
    <row r="230" ht="15" customHeight="1">
      <c r="A230" s="5" t="n"/>
      <c r="B230" s="5" t="n"/>
      <c r="C230" s="5" t="n"/>
      <c r="D230" s="5" t="n"/>
      <c r="E230">
        <f>A230&amp;"|"&amp;B230</f>
        <v/>
      </c>
    </row>
    <row r="231" ht="15" customHeight="1">
      <c r="A231" s="5" t="n"/>
      <c r="B231" s="5" t="n"/>
      <c r="C231" s="5" t="n"/>
      <c r="D231" s="5" t="n"/>
      <c r="E231">
        <f>A231&amp;"|"&amp;B231</f>
        <v/>
      </c>
    </row>
    <row r="232" ht="15" customHeight="1">
      <c r="A232" s="5" t="n"/>
      <c r="B232" s="5" t="n"/>
      <c r="C232" s="5" t="n"/>
      <c r="D232" s="5" t="n"/>
      <c r="E232">
        <f>A232&amp;"|"&amp;B232</f>
        <v/>
      </c>
    </row>
    <row r="233" ht="15" customHeight="1">
      <c r="A233" s="5" t="n"/>
      <c r="B233" s="5" t="n"/>
      <c r="C233" s="5" t="n"/>
      <c r="D233" s="5" t="n"/>
      <c r="E233">
        <f>A233&amp;"|"&amp;B233</f>
        <v/>
      </c>
    </row>
    <row r="234" ht="15" customHeight="1">
      <c r="A234" s="5" t="n"/>
      <c r="B234" s="5" t="n"/>
      <c r="C234" s="5" t="n"/>
      <c r="D234" s="5" t="n"/>
      <c r="E234">
        <f>A234&amp;"|"&amp;B234</f>
        <v/>
      </c>
    </row>
    <row r="235" ht="15" customHeight="1">
      <c r="A235" s="5" t="n"/>
      <c r="B235" s="5" t="n"/>
      <c r="C235" s="5" t="n"/>
      <c r="D235" s="5" t="n"/>
      <c r="E235">
        <f>A235&amp;"|"&amp;B235</f>
        <v/>
      </c>
    </row>
    <row r="236" ht="15" customHeight="1">
      <c r="A236" s="5" t="n"/>
      <c r="B236" s="5" t="n"/>
      <c r="C236" s="5" t="n"/>
      <c r="D236" s="5" t="n"/>
      <c r="E236">
        <f>A236&amp;"|"&amp;B236</f>
        <v/>
      </c>
    </row>
    <row r="237" ht="15" customHeight="1">
      <c r="A237" s="5" t="n"/>
      <c r="B237" s="5" t="n"/>
      <c r="C237" s="5" t="n"/>
      <c r="D237" s="5" t="n"/>
      <c r="E237">
        <f>A237&amp;"|"&amp;B237</f>
        <v/>
      </c>
    </row>
    <row r="238" ht="15" customHeight="1">
      <c r="A238" s="5" t="n"/>
      <c r="B238" s="5" t="n"/>
      <c r="C238" s="5" t="n"/>
      <c r="D238" s="5" t="n"/>
      <c r="E238">
        <f>A238&amp;"|"&amp;B238</f>
        <v/>
      </c>
    </row>
    <row r="239" ht="15" customHeight="1">
      <c r="A239" s="5" t="n"/>
      <c r="B239" s="5" t="n"/>
      <c r="C239" s="5" t="n"/>
      <c r="D239" s="5" t="n"/>
      <c r="E239">
        <f>A239&amp;"|"&amp;B239</f>
        <v/>
      </c>
    </row>
    <row r="240" ht="15" customHeight="1">
      <c r="A240" s="5" t="n"/>
      <c r="B240" s="5" t="n"/>
      <c r="C240" s="5" t="n"/>
      <c r="D240" s="5" t="n"/>
      <c r="E240">
        <f>A240&amp;"|"&amp;B240</f>
        <v/>
      </c>
    </row>
    <row r="241" ht="15" customHeight="1">
      <c r="A241" s="5" t="n"/>
      <c r="B241" s="5" t="n"/>
      <c r="C241" s="5" t="n"/>
      <c r="D241" s="5" t="n"/>
      <c r="E241">
        <f>A241&amp;"|"&amp;B241</f>
        <v/>
      </c>
    </row>
    <row r="242" ht="15" customHeight="1">
      <c r="A242" s="5" t="n"/>
      <c r="B242" s="5" t="n"/>
      <c r="C242" s="5" t="n"/>
      <c r="D242" s="5" t="n"/>
      <c r="E242">
        <f>A242&amp;"|"&amp;B242</f>
        <v/>
      </c>
    </row>
    <row r="243" ht="15" customHeight="1">
      <c r="A243" s="5" t="n"/>
      <c r="B243" s="5" t="n"/>
      <c r="C243" s="5" t="n"/>
      <c r="D243" s="5" t="n"/>
      <c r="E243">
        <f>A243&amp;"|"&amp;B243</f>
        <v/>
      </c>
    </row>
    <row r="244" ht="15" customHeight="1">
      <c r="A244" s="5" t="n"/>
      <c r="B244" s="5" t="n"/>
      <c r="C244" s="5" t="n"/>
      <c r="D244" s="5" t="n"/>
      <c r="E244">
        <f>A244&amp;"|"&amp;B244</f>
        <v/>
      </c>
    </row>
    <row r="245" ht="15" customHeight="1">
      <c r="A245" s="5" t="n"/>
      <c r="B245" s="5" t="n"/>
      <c r="C245" s="5" t="n"/>
      <c r="D245" s="5" t="n"/>
      <c r="E245">
        <f>A245&amp;"|"&amp;B245</f>
        <v/>
      </c>
    </row>
    <row r="246" ht="15" customHeight="1">
      <c r="A246" s="5" t="n"/>
      <c r="B246" s="5" t="n"/>
      <c r="C246" s="5" t="n"/>
      <c r="D246" s="5" t="n"/>
      <c r="E246">
        <f>A246&amp;"|"&amp;B246</f>
        <v/>
      </c>
    </row>
    <row r="247" ht="15" customHeight="1">
      <c r="A247" s="5" t="n"/>
      <c r="B247" s="5" t="n"/>
      <c r="C247" s="5" t="n"/>
      <c r="D247" s="5" t="n"/>
      <c r="E247">
        <f>A247&amp;"|"&amp;B247</f>
        <v/>
      </c>
    </row>
    <row r="248" ht="15" customHeight="1">
      <c r="A248" s="5" t="n"/>
      <c r="B248" s="5" t="n"/>
      <c r="C248" s="5" t="n"/>
      <c r="D248" s="5" t="n"/>
      <c r="E248">
        <f>A248&amp;"|"&amp;B248</f>
        <v/>
      </c>
    </row>
    <row r="249" ht="15" customHeight="1">
      <c r="A249" s="5" t="n"/>
      <c r="B249" s="5" t="n"/>
      <c r="C249" s="5" t="n"/>
      <c r="D249" s="5" t="n"/>
      <c r="E249">
        <f>A249&amp;"|"&amp;B249</f>
        <v/>
      </c>
    </row>
    <row r="250" ht="15" customHeight="1">
      <c r="A250" s="5" t="n"/>
      <c r="B250" s="5" t="n"/>
      <c r="C250" s="5" t="n"/>
      <c r="D250" s="5" t="n"/>
      <c r="E250">
        <f>A250&amp;"|"&amp;B250</f>
        <v/>
      </c>
    </row>
    <row r="251" ht="15" customHeight="1">
      <c r="A251" s="5" t="n"/>
      <c r="B251" s="5" t="n"/>
      <c r="C251" s="5" t="n"/>
      <c r="D251" s="5" t="n"/>
      <c r="E251">
        <f>A251&amp;"|"&amp;B251</f>
        <v/>
      </c>
    </row>
    <row r="252" ht="15" customHeight="1">
      <c r="A252" s="5" t="n"/>
      <c r="B252" s="5" t="n"/>
      <c r="C252" s="5" t="n"/>
      <c r="D252" s="5" t="n"/>
      <c r="E252">
        <f>A252&amp;"|"&amp;B252</f>
        <v/>
      </c>
    </row>
    <row r="253" ht="15" customHeight="1">
      <c r="A253" s="5" t="n"/>
      <c r="B253" s="5" t="n"/>
      <c r="C253" s="5" t="n"/>
      <c r="D253" s="5" t="n"/>
      <c r="E253">
        <f>A253&amp;"|"&amp;B253</f>
        <v/>
      </c>
    </row>
    <row r="254" ht="15" customHeight="1">
      <c r="A254" s="5" t="n"/>
      <c r="B254" s="5" t="n"/>
      <c r="C254" s="5" t="n"/>
      <c r="D254" s="5" t="n"/>
      <c r="E254">
        <f>A254&amp;"|"&amp;B254</f>
        <v/>
      </c>
    </row>
    <row r="255" ht="15" customHeight="1">
      <c r="A255" s="5" t="n"/>
      <c r="B255" s="5" t="n"/>
      <c r="C255" s="5" t="n"/>
      <c r="D255" s="5" t="n"/>
      <c r="E255">
        <f>A255&amp;"|"&amp;B255</f>
        <v/>
      </c>
    </row>
    <row r="256" ht="15" customHeight="1">
      <c r="A256" s="5" t="n"/>
      <c r="B256" s="5" t="n"/>
      <c r="C256" s="5" t="n"/>
      <c r="D256" s="5" t="n"/>
      <c r="E256">
        <f>A256&amp;"|"&amp;B256</f>
        <v/>
      </c>
    </row>
    <row r="257" ht="15" customHeight="1">
      <c r="A257" s="5" t="n"/>
      <c r="B257" s="5" t="n"/>
      <c r="C257" s="5" t="n"/>
      <c r="D257" s="5" t="n"/>
      <c r="E257">
        <f>A257&amp;"|"&amp;B257</f>
        <v/>
      </c>
    </row>
    <row r="258" ht="15" customHeight="1">
      <c r="A258" s="5" t="n"/>
      <c r="B258" s="5" t="n"/>
      <c r="C258" s="5" t="n"/>
      <c r="D258" s="5" t="n"/>
      <c r="E258">
        <f>A258&amp;"|"&amp;B258</f>
        <v/>
      </c>
    </row>
    <row r="259" ht="15" customHeight="1">
      <c r="A259" s="5" t="n"/>
      <c r="B259" s="5" t="n"/>
      <c r="C259" s="5" t="n"/>
      <c r="D259" s="5" t="n"/>
      <c r="E259">
        <f>A259&amp;"|"&amp;B259</f>
        <v/>
      </c>
    </row>
    <row r="260" ht="15" customHeight="1">
      <c r="A260" s="5" t="n"/>
      <c r="B260" s="5" t="n"/>
      <c r="C260" s="5" t="n"/>
      <c r="D260" s="5" t="n"/>
      <c r="E260">
        <f>A260&amp;"|"&amp;B260</f>
        <v/>
      </c>
    </row>
    <row r="261" ht="15" customHeight="1">
      <c r="A261" s="5" t="n"/>
      <c r="B261" s="5" t="n"/>
      <c r="C261" s="5" t="n"/>
      <c r="D261" s="5" t="n"/>
      <c r="E261">
        <f>A261&amp;"|"&amp;B261</f>
        <v/>
      </c>
    </row>
    <row r="262" ht="15" customHeight="1">
      <c r="A262" s="5" t="n"/>
      <c r="B262" s="5" t="n"/>
      <c r="C262" s="5" t="n"/>
      <c r="D262" s="5" t="n"/>
      <c r="E262">
        <f>A262&amp;"|"&amp;B262</f>
        <v/>
      </c>
    </row>
    <row r="263" ht="15" customHeight="1">
      <c r="A263" s="5" t="n"/>
      <c r="B263" s="5" t="n"/>
      <c r="C263" s="5" t="n"/>
      <c r="D263" s="5" t="n"/>
      <c r="E263">
        <f>A263&amp;"|"&amp;B263</f>
        <v/>
      </c>
    </row>
    <row r="264" ht="15" customHeight="1">
      <c r="A264" s="5" t="n"/>
      <c r="B264" s="5" t="n"/>
      <c r="C264" s="5" t="n"/>
      <c r="D264" s="5" t="n"/>
      <c r="E264">
        <f>A264&amp;"|"&amp;B264</f>
        <v/>
      </c>
    </row>
    <row r="265" ht="15" customHeight="1">
      <c r="A265" s="5" t="n"/>
      <c r="B265" s="5" t="n"/>
      <c r="C265" s="5" t="n"/>
      <c r="D265" s="5" t="n"/>
      <c r="E265">
        <f>A265&amp;"|"&amp;B265</f>
        <v/>
      </c>
    </row>
    <row r="266" ht="15" customHeight="1">
      <c r="A266" s="5" t="n"/>
      <c r="B266" s="5" t="n"/>
      <c r="C266" s="5" t="n"/>
      <c r="D266" s="5" t="n"/>
      <c r="E266">
        <f>A266&amp;"|"&amp;B266</f>
        <v/>
      </c>
    </row>
    <row r="267" ht="15" customHeight="1">
      <c r="A267" s="5" t="n"/>
      <c r="B267" s="5" t="n"/>
      <c r="C267" s="5" t="n"/>
      <c r="D267" s="5" t="n"/>
      <c r="E267">
        <f>A267&amp;"|"&amp;B267</f>
        <v/>
      </c>
    </row>
    <row r="268" ht="15" customHeight="1">
      <c r="A268" s="5" t="n"/>
      <c r="B268" s="5" t="n"/>
      <c r="C268" s="5" t="n"/>
      <c r="D268" s="5" t="n"/>
      <c r="E268">
        <f>A268&amp;"|"&amp;B268</f>
        <v/>
      </c>
    </row>
    <row r="269" ht="15" customHeight="1">
      <c r="A269" s="5" t="n"/>
      <c r="B269" s="5" t="n"/>
      <c r="C269" s="5" t="n"/>
      <c r="D269" s="5" t="n"/>
      <c r="E269">
        <f>A269&amp;"|"&amp;B269</f>
        <v/>
      </c>
    </row>
    <row r="270" ht="15" customHeight="1">
      <c r="A270" s="5" t="n"/>
      <c r="B270" s="5" t="n"/>
      <c r="C270" s="5" t="n"/>
      <c r="D270" s="5" t="n"/>
      <c r="E270">
        <f>A270&amp;"|"&amp;B270</f>
        <v/>
      </c>
    </row>
    <row r="271" ht="15" customHeight="1">
      <c r="A271" s="5" t="n"/>
      <c r="B271" s="5" t="n"/>
      <c r="C271" s="5" t="n"/>
      <c r="D271" s="5" t="n"/>
      <c r="E271">
        <f>A271&amp;"|"&amp;B271</f>
        <v/>
      </c>
    </row>
    <row r="272" ht="15" customHeight="1">
      <c r="A272" s="5" t="n"/>
      <c r="B272" s="5" t="n"/>
      <c r="C272" s="5" t="n"/>
      <c r="D272" s="5" t="n"/>
      <c r="E272">
        <f>A272&amp;"|"&amp;B272</f>
        <v/>
      </c>
    </row>
    <row r="273" ht="15" customHeight="1">
      <c r="A273" s="5" t="n"/>
      <c r="B273" s="5" t="n"/>
      <c r="C273" s="5" t="n"/>
      <c r="D273" s="5" t="n"/>
      <c r="E273">
        <f>A273&amp;"|"&amp;B273</f>
        <v/>
      </c>
    </row>
    <row r="274" ht="15" customHeight="1">
      <c r="A274" s="5" t="n"/>
      <c r="B274" s="5" t="n"/>
      <c r="C274" s="5" t="n"/>
      <c r="D274" s="5" t="n"/>
      <c r="E274">
        <f>A274&amp;"|"&amp;B274</f>
        <v/>
      </c>
    </row>
    <row r="275" ht="15" customHeight="1">
      <c r="A275" s="5" t="n"/>
      <c r="B275" s="5" t="n"/>
      <c r="C275" s="5" t="n"/>
      <c r="D275" s="5" t="n"/>
      <c r="E275">
        <f>A275&amp;"|"&amp;B275</f>
        <v/>
      </c>
    </row>
    <row r="276" ht="15" customHeight="1">
      <c r="A276" s="5" t="n"/>
      <c r="B276" s="5" t="n"/>
      <c r="C276" s="5" t="n"/>
      <c r="D276" s="5" t="n"/>
      <c r="E276">
        <f>A276&amp;"|"&amp;B276</f>
        <v/>
      </c>
    </row>
    <row r="277" ht="15" customHeight="1">
      <c r="A277" s="5" t="n"/>
      <c r="B277" s="5" t="n"/>
      <c r="C277" s="5" t="n"/>
      <c r="D277" s="5" t="n"/>
      <c r="E277">
        <f>A277&amp;"|"&amp;B277</f>
        <v/>
      </c>
    </row>
    <row r="278" ht="15" customHeight="1">
      <c r="A278" s="5" t="n"/>
      <c r="B278" s="5" t="n"/>
      <c r="C278" s="5" t="n"/>
      <c r="D278" s="5" t="n"/>
      <c r="E278">
        <f>A278&amp;"|"&amp;B278</f>
        <v/>
      </c>
    </row>
    <row r="279" ht="15" customHeight="1">
      <c r="A279" s="5" t="n"/>
      <c r="B279" s="5" t="n"/>
      <c r="C279" s="5" t="n"/>
      <c r="D279" s="5" t="n"/>
      <c r="E279">
        <f>A279&amp;"|"&amp;B279</f>
        <v/>
      </c>
    </row>
    <row r="280" ht="15" customHeight="1">
      <c r="A280" s="5" t="n"/>
      <c r="B280" s="5" t="n"/>
      <c r="C280" s="5" t="n"/>
      <c r="D280" s="5" t="n"/>
      <c r="E280">
        <f>A280&amp;"|"&amp;B280</f>
        <v/>
      </c>
    </row>
    <row r="281" ht="15" customHeight="1">
      <c r="A281" s="5" t="n"/>
      <c r="B281" s="5" t="n"/>
      <c r="C281" s="5" t="n"/>
      <c r="D281" s="5" t="n"/>
      <c r="E281">
        <f>A281&amp;"|"&amp;B281</f>
        <v/>
      </c>
    </row>
    <row r="282" ht="15" customHeight="1">
      <c r="A282" s="5" t="n"/>
      <c r="B282" s="5" t="n"/>
      <c r="C282" s="5" t="n"/>
      <c r="D282" s="5" t="n"/>
      <c r="E282">
        <f>A282&amp;"|"&amp;B282</f>
        <v/>
      </c>
    </row>
    <row r="283" ht="15" customHeight="1">
      <c r="A283" s="5" t="n"/>
      <c r="B283" s="5" t="n"/>
      <c r="C283" s="5" t="n"/>
      <c r="D283" s="5" t="n"/>
      <c r="E283">
        <f>A283&amp;"|"&amp;B283</f>
        <v/>
      </c>
    </row>
    <row r="284" ht="15" customHeight="1">
      <c r="A284" s="5" t="n"/>
      <c r="B284" s="5" t="n"/>
      <c r="C284" s="5" t="n"/>
      <c r="D284" s="5" t="n"/>
      <c r="E284">
        <f>A284&amp;"|"&amp;B284</f>
        <v/>
      </c>
    </row>
    <row r="285" ht="15" customHeight="1">
      <c r="A285" s="5" t="n"/>
      <c r="B285" s="5" t="n"/>
      <c r="C285" s="5" t="n"/>
      <c r="D285" s="5" t="n"/>
      <c r="E285">
        <f>A285&amp;"|"&amp;B285</f>
        <v/>
      </c>
    </row>
    <row r="286" ht="15" customHeight="1">
      <c r="A286" s="5" t="n"/>
      <c r="B286" s="5" t="n"/>
      <c r="C286" s="5" t="n"/>
      <c r="D286" s="5" t="n"/>
      <c r="E286">
        <f>A286&amp;"|"&amp;B286</f>
        <v/>
      </c>
    </row>
    <row r="287" ht="15" customHeight="1">
      <c r="A287" s="5" t="n"/>
      <c r="B287" s="5" t="n"/>
      <c r="C287" s="5" t="n"/>
      <c r="D287" s="5" t="n"/>
      <c r="E287">
        <f>A287&amp;"|"&amp;B287</f>
        <v/>
      </c>
    </row>
    <row r="288" ht="15" customHeight="1">
      <c r="A288" s="5" t="n"/>
      <c r="B288" s="5" t="n"/>
      <c r="C288" s="5" t="n"/>
      <c r="D288" s="5" t="n"/>
      <c r="E288">
        <f>A288&amp;"|"&amp;B288</f>
        <v/>
      </c>
    </row>
    <row r="289" ht="15" customHeight="1">
      <c r="A289" s="5" t="n"/>
      <c r="B289" s="5" t="n"/>
      <c r="C289" s="5" t="n"/>
      <c r="D289" s="5" t="n"/>
      <c r="E289">
        <f>A289&amp;"|"&amp;B289</f>
        <v/>
      </c>
    </row>
    <row r="290" ht="15" customHeight="1">
      <c r="A290" s="5" t="n"/>
      <c r="B290" s="5" t="n"/>
      <c r="C290" s="5" t="n"/>
      <c r="D290" s="5" t="n"/>
      <c r="E290">
        <f>A290&amp;"|"&amp;B290</f>
        <v/>
      </c>
    </row>
    <row r="291" ht="15" customHeight="1">
      <c r="A291" s="5" t="n"/>
      <c r="B291" s="5" t="n"/>
      <c r="C291" s="5" t="n"/>
      <c r="D291" s="5" t="n"/>
      <c r="E291">
        <f>A291&amp;"|"&amp;B291</f>
        <v/>
      </c>
    </row>
    <row r="292" ht="15" customHeight="1">
      <c r="A292" s="5" t="n"/>
      <c r="B292" s="5" t="n"/>
      <c r="C292" s="5" t="n"/>
      <c r="D292" s="5" t="n"/>
      <c r="E292">
        <f>A292&amp;"|"&amp;B292</f>
        <v/>
      </c>
    </row>
    <row r="293" ht="15" customHeight="1">
      <c r="A293" s="5" t="n"/>
      <c r="B293" s="5" t="n"/>
      <c r="C293" s="5" t="n"/>
      <c r="D293" s="5" t="n"/>
      <c r="E293">
        <f>A293&amp;"|"&amp;B293</f>
        <v/>
      </c>
    </row>
    <row r="294" ht="15" customHeight="1">
      <c r="A294" s="5" t="n"/>
      <c r="B294" s="5" t="n"/>
      <c r="C294" s="5" t="n"/>
      <c r="D294" s="5" t="n"/>
      <c r="E294">
        <f>A294&amp;"|"&amp;B294</f>
        <v/>
      </c>
    </row>
    <row r="295" ht="15" customHeight="1">
      <c r="A295" s="5" t="n"/>
      <c r="B295" s="5" t="n"/>
      <c r="C295" s="5" t="n"/>
      <c r="D295" s="5" t="n"/>
      <c r="E295">
        <f>A295&amp;"|"&amp;B295</f>
        <v/>
      </c>
    </row>
    <row r="296" ht="15" customHeight="1">
      <c r="A296" s="5" t="n"/>
      <c r="B296" s="5" t="n"/>
      <c r="C296" s="5" t="n"/>
      <c r="D296" s="5" t="n"/>
      <c r="E296">
        <f>A296&amp;"|"&amp;B296</f>
        <v/>
      </c>
    </row>
    <row r="297" ht="15" customHeight="1">
      <c r="A297" s="5" t="n"/>
      <c r="B297" s="5" t="n"/>
      <c r="C297" s="5" t="n"/>
      <c r="D297" s="5" t="n"/>
      <c r="E297">
        <f>A297&amp;"|"&amp;B297</f>
        <v/>
      </c>
    </row>
    <row r="298" ht="15" customHeight="1">
      <c r="A298" s="5" t="n"/>
      <c r="B298" s="5" t="n"/>
      <c r="C298" s="5" t="n"/>
      <c r="D298" s="5" t="n"/>
      <c r="E298">
        <f>A298&amp;"|"&amp;B298</f>
        <v/>
      </c>
    </row>
    <row r="299" ht="15" customHeight="1">
      <c r="A299" s="5" t="n"/>
      <c r="B299" s="5" t="n"/>
      <c r="C299" s="5" t="n"/>
      <c r="D299" s="5" t="n"/>
      <c r="E299">
        <f>A299&amp;"|"&amp;B299</f>
        <v/>
      </c>
    </row>
    <row r="300" ht="15" customHeight="1">
      <c r="A300" s="5" t="n"/>
      <c r="B300" s="5" t="n"/>
      <c r="C300" s="5" t="n"/>
      <c r="D300" s="5" t="n"/>
      <c r="E300">
        <f>A300&amp;"|"&amp;B300</f>
        <v/>
      </c>
    </row>
    <row r="301" ht="15" customHeight="1">
      <c r="A301" s="5" t="n"/>
      <c r="B301" s="5" t="n"/>
      <c r="C301" s="5" t="n"/>
      <c r="D301" s="5" t="n"/>
      <c r="E301">
        <f>A301&amp;"|"&amp;B301</f>
        <v/>
      </c>
    </row>
    <row r="302" ht="15" customHeight="1">
      <c r="A302" s="5" t="n"/>
      <c r="B302" s="5" t="n"/>
      <c r="C302" s="5" t="n"/>
      <c r="D302" s="5" t="n"/>
      <c r="E302">
        <f>A302&amp;"|"&amp;B302</f>
        <v/>
      </c>
    </row>
    <row r="303" ht="15" customHeight="1">
      <c r="A303" s="5" t="n"/>
      <c r="B303" s="5" t="n"/>
      <c r="C303" s="5" t="n"/>
      <c r="D303" s="5" t="n"/>
      <c r="E303">
        <f>A303&amp;"|"&amp;B303</f>
        <v/>
      </c>
    </row>
    <row r="304" ht="15" customHeight="1">
      <c r="A304" s="5" t="n"/>
      <c r="B304" s="5" t="n"/>
      <c r="C304" s="5" t="n"/>
      <c r="D304" s="5" t="n"/>
      <c r="E304">
        <f>A304&amp;"|"&amp;B304</f>
        <v/>
      </c>
    </row>
    <row r="305" ht="15" customHeight="1">
      <c r="A305" s="5" t="n"/>
      <c r="B305" s="5" t="n"/>
      <c r="C305" s="5" t="n"/>
      <c r="D305" s="5" t="n"/>
      <c r="E305">
        <f>A305&amp;"|"&amp;B305</f>
        <v/>
      </c>
    </row>
    <row r="306" ht="15" customHeight="1">
      <c r="A306" s="5" t="n"/>
      <c r="B306" s="5" t="n"/>
      <c r="C306" s="5" t="n"/>
      <c r="D306" s="5" t="n"/>
      <c r="E306">
        <f>A306&amp;"|"&amp;B306</f>
        <v/>
      </c>
    </row>
    <row r="307" ht="15" customHeight="1">
      <c r="A307" s="5" t="n"/>
      <c r="B307" s="5" t="n"/>
      <c r="C307" s="5" t="n"/>
      <c r="D307" s="5" t="n"/>
      <c r="E307">
        <f>A307&amp;"|"&amp;B307</f>
        <v/>
      </c>
    </row>
    <row r="308" ht="15" customHeight="1">
      <c r="A308" s="5" t="n"/>
      <c r="B308" s="5" t="n"/>
      <c r="C308" s="5" t="n"/>
      <c r="D308" s="5" t="n"/>
      <c r="E308">
        <f>A308&amp;"|"&amp;B308</f>
        <v/>
      </c>
    </row>
    <row r="309" ht="15" customHeight="1">
      <c r="A309" s="5" t="n"/>
      <c r="B309" s="5" t="n"/>
      <c r="C309" s="5" t="n"/>
      <c r="D309" s="5" t="n"/>
      <c r="E309">
        <f>A309&amp;"|"&amp;B309</f>
        <v/>
      </c>
    </row>
    <row r="310" ht="15" customHeight="1">
      <c r="A310" s="5" t="n"/>
      <c r="B310" s="5" t="n"/>
      <c r="C310" s="5" t="n"/>
      <c r="D310" s="5" t="n"/>
      <c r="E310">
        <f>A310&amp;"|"&amp;B310</f>
        <v/>
      </c>
    </row>
    <row r="311" ht="15" customHeight="1">
      <c r="A311" s="5" t="n"/>
      <c r="B311" s="5" t="n"/>
      <c r="C311" s="5" t="n"/>
      <c r="D311" s="5" t="n"/>
      <c r="E311">
        <f>A311&amp;"|"&amp;B311</f>
        <v/>
      </c>
    </row>
    <row r="312" ht="15" customHeight="1">
      <c r="A312" s="5" t="n"/>
      <c r="B312" s="5" t="n"/>
      <c r="C312" s="5" t="n"/>
      <c r="D312" s="5" t="n"/>
      <c r="E312">
        <f>A312&amp;"|"&amp;B312</f>
        <v/>
      </c>
    </row>
    <row r="313" ht="15" customHeight="1">
      <c r="A313" s="5" t="n"/>
      <c r="B313" s="5" t="n"/>
      <c r="C313" s="5" t="n"/>
      <c r="D313" s="5" t="n"/>
      <c r="E313">
        <f>A313&amp;"|"&amp;B313</f>
        <v/>
      </c>
    </row>
    <row r="314" ht="15" customHeight="1">
      <c r="A314" s="5" t="n"/>
      <c r="B314" s="5" t="n"/>
      <c r="C314" s="5" t="n"/>
      <c r="D314" s="5" t="n"/>
      <c r="E314">
        <f>A314&amp;"|"&amp;B314</f>
        <v/>
      </c>
    </row>
    <row r="315" ht="15" customHeight="1">
      <c r="A315" s="5" t="n"/>
      <c r="B315" s="5" t="n"/>
      <c r="C315" s="5" t="n"/>
      <c r="D315" s="5" t="n"/>
      <c r="E315">
        <f>A315&amp;"|"&amp;B315</f>
        <v/>
      </c>
    </row>
    <row r="316" ht="15" customHeight="1">
      <c r="A316" s="5" t="n"/>
      <c r="B316" s="5" t="n"/>
      <c r="C316" s="5" t="n"/>
      <c r="D316" s="5" t="n"/>
      <c r="E316">
        <f>A316&amp;"|"&amp;B316</f>
        <v/>
      </c>
    </row>
    <row r="317" ht="15" customHeight="1">
      <c r="A317" s="5" t="n"/>
      <c r="B317" s="5" t="n"/>
      <c r="C317" s="5" t="n"/>
      <c r="D317" s="5" t="n"/>
      <c r="E317">
        <f>A317&amp;"|"&amp;B317</f>
        <v/>
      </c>
    </row>
    <row r="318" ht="15" customHeight="1">
      <c r="A318" s="5" t="n"/>
      <c r="B318" s="5" t="n"/>
      <c r="C318" s="5" t="n"/>
      <c r="D318" s="5" t="n"/>
      <c r="E318">
        <f>A318&amp;"|"&amp;B318</f>
        <v/>
      </c>
    </row>
    <row r="319" ht="15" customHeight="1">
      <c r="A319" s="5" t="n"/>
      <c r="B319" s="5" t="n"/>
      <c r="C319" s="5" t="n"/>
      <c r="D319" s="5" t="n"/>
      <c r="E319">
        <f>A319&amp;"|"&amp;B319</f>
        <v/>
      </c>
    </row>
    <row r="320" ht="15" customHeight="1">
      <c r="A320" s="5" t="n"/>
      <c r="B320" s="5" t="n"/>
      <c r="C320" s="5" t="n"/>
      <c r="D320" s="5" t="n"/>
      <c r="E320">
        <f>A320&amp;"|"&amp;B320</f>
        <v/>
      </c>
    </row>
    <row r="321" ht="15" customHeight="1">
      <c r="A321" s="5" t="n"/>
      <c r="B321" s="5" t="n"/>
      <c r="C321" s="5" t="n"/>
      <c r="D321" s="5" t="n"/>
      <c r="E321">
        <f>A321&amp;"|"&amp;B321</f>
        <v/>
      </c>
    </row>
    <row r="322" ht="15" customHeight="1">
      <c r="A322" s="5" t="n"/>
      <c r="B322" s="5" t="n"/>
      <c r="C322" s="5" t="n"/>
      <c r="D322" s="5" t="n"/>
      <c r="E322">
        <f>A322&amp;"|"&amp;B322</f>
        <v/>
      </c>
    </row>
    <row r="323" ht="15" customHeight="1">
      <c r="A323" s="5" t="n"/>
      <c r="B323" s="5" t="n"/>
      <c r="C323" s="5" t="n"/>
      <c r="D323" s="5" t="n"/>
      <c r="E323">
        <f>A323&amp;"|"&amp;B323</f>
        <v/>
      </c>
    </row>
    <row r="324" ht="15" customHeight="1">
      <c r="A324" s="5" t="n"/>
      <c r="B324" s="5" t="n"/>
      <c r="C324" s="5" t="n"/>
      <c r="D324" s="5" t="n"/>
      <c r="E324">
        <f>A324&amp;"|"&amp;B324</f>
        <v/>
      </c>
    </row>
    <row r="325" ht="15" customHeight="1">
      <c r="A325" s="5" t="n"/>
      <c r="B325" s="5" t="n"/>
      <c r="C325" s="5" t="n"/>
      <c r="D325" s="5" t="n"/>
      <c r="E325">
        <f>A325&amp;"|"&amp;B325</f>
        <v/>
      </c>
    </row>
    <row r="326" ht="15" customHeight="1">
      <c r="A326" s="5" t="n"/>
      <c r="B326" s="5" t="n"/>
      <c r="C326" s="5" t="n"/>
      <c r="D326" s="5" t="n"/>
      <c r="E326">
        <f>A326&amp;"|"&amp;B326</f>
        <v/>
      </c>
    </row>
    <row r="327" ht="15" customHeight="1">
      <c r="A327" s="5" t="n"/>
      <c r="B327" s="5" t="n"/>
      <c r="C327" s="5" t="n"/>
      <c r="D327" s="5" t="n"/>
      <c r="E327">
        <f>A327&amp;"|"&amp;B327</f>
        <v/>
      </c>
    </row>
    <row r="328" ht="15" customHeight="1">
      <c r="A328" s="5" t="n"/>
      <c r="B328" s="5" t="n"/>
      <c r="C328" s="5" t="n"/>
      <c r="D328" s="5" t="n"/>
      <c r="E328">
        <f>A328&amp;"|"&amp;B328</f>
        <v/>
      </c>
    </row>
    <row r="329" ht="15" customHeight="1">
      <c r="A329" s="5" t="n"/>
      <c r="B329" s="5" t="n"/>
      <c r="C329" s="5" t="n"/>
      <c r="D329" s="5" t="n"/>
      <c r="E329">
        <f>A329&amp;"|"&amp;B329</f>
        <v/>
      </c>
    </row>
    <row r="330" ht="15" customHeight="1">
      <c r="A330" s="5" t="n"/>
      <c r="B330" s="5" t="n"/>
      <c r="C330" s="5" t="n"/>
      <c r="D330" s="5" t="n"/>
      <c r="E330">
        <f>A330&amp;"|"&amp;B330</f>
        <v/>
      </c>
    </row>
    <row r="331" ht="15" customHeight="1">
      <c r="A331" s="5" t="n"/>
      <c r="B331" s="5" t="n"/>
      <c r="C331" s="5" t="n"/>
      <c r="D331" s="5" t="n"/>
      <c r="E331">
        <f>A331&amp;"|"&amp;B331</f>
        <v/>
      </c>
    </row>
    <row r="332" ht="15" customHeight="1">
      <c r="A332" s="5" t="n"/>
      <c r="B332" s="5" t="n"/>
      <c r="C332" s="5" t="n"/>
      <c r="D332" s="5" t="n"/>
      <c r="E332">
        <f>A332&amp;"|"&amp;B332</f>
        <v/>
      </c>
    </row>
    <row r="333" ht="15" customHeight="1">
      <c r="A333" s="5" t="n"/>
      <c r="B333" s="5" t="n"/>
      <c r="C333" s="5" t="n"/>
      <c r="D333" s="5" t="n"/>
      <c r="E333">
        <f>A333&amp;"|"&amp;B333</f>
        <v/>
      </c>
    </row>
    <row r="334" ht="15" customHeight="1">
      <c r="A334" s="5" t="n"/>
      <c r="B334" s="5" t="n"/>
      <c r="C334" s="5" t="n"/>
      <c r="D334" s="5" t="n"/>
      <c r="E334">
        <f>A334&amp;"|"&amp;B334</f>
        <v/>
      </c>
    </row>
    <row r="335" ht="15" customHeight="1">
      <c r="A335" s="5" t="n"/>
      <c r="B335" s="5" t="n"/>
      <c r="C335" s="5" t="n"/>
      <c r="D335" s="5" t="n"/>
      <c r="E335">
        <f>A335&amp;"|"&amp;B335</f>
        <v/>
      </c>
    </row>
    <row r="336" ht="15" customHeight="1">
      <c r="A336" s="5" t="n"/>
      <c r="B336" s="5" t="n"/>
      <c r="C336" s="5" t="n"/>
      <c r="D336" s="5" t="n"/>
      <c r="E336">
        <f>A336&amp;"|"&amp;B336</f>
        <v/>
      </c>
    </row>
    <row r="337" ht="15" customHeight="1">
      <c r="A337" s="5" t="n"/>
      <c r="B337" s="5" t="n"/>
      <c r="C337" s="5" t="n"/>
      <c r="D337" s="5" t="n"/>
      <c r="E337">
        <f>A337&amp;"|"&amp;B337</f>
        <v/>
      </c>
    </row>
    <row r="338" ht="15" customHeight="1">
      <c r="A338" s="5" t="n"/>
      <c r="B338" s="5" t="n"/>
      <c r="C338" s="5" t="n"/>
      <c r="D338" s="5" t="n"/>
      <c r="E338">
        <f>A338&amp;"|"&amp;B338</f>
        <v/>
      </c>
    </row>
    <row r="339" ht="15" customHeight="1">
      <c r="A339" s="5" t="n"/>
      <c r="B339" s="5" t="n"/>
      <c r="C339" s="5" t="n"/>
      <c r="D339" s="5" t="n"/>
      <c r="E339">
        <f>A339&amp;"|"&amp;B339</f>
        <v/>
      </c>
    </row>
    <row r="340" ht="15" customHeight="1">
      <c r="A340" s="5" t="n"/>
      <c r="B340" s="5" t="n"/>
      <c r="C340" s="5" t="n"/>
      <c r="D340" s="5" t="n"/>
      <c r="E340">
        <f>A340&amp;"|"&amp;B340</f>
        <v/>
      </c>
    </row>
    <row r="341" ht="15" customHeight="1">
      <c r="A341" s="5" t="n"/>
      <c r="B341" s="5" t="n"/>
      <c r="C341" s="5" t="n"/>
      <c r="D341" s="5" t="n"/>
      <c r="E341">
        <f>A341&amp;"|"&amp;B341</f>
        <v/>
      </c>
    </row>
    <row r="342" ht="15" customHeight="1">
      <c r="A342" s="5" t="n"/>
      <c r="B342" s="5" t="n"/>
      <c r="C342" s="5" t="n"/>
      <c r="D342" s="5" t="n"/>
      <c r="E342">
        <f>A342&amp;"|"&amp;B342</f>
        <v/>
      </c>
    </row>
    <row r="343" ht="15" customHeight="1">
      <c r="A343" s="5" t="n"/>
      <c r="B343" s="5" t="n"/>
      <c r="C343" s="5" t="n"/>
      <c r="D343" s="5" t="n"/>
      <c r="E343">
        <f>A343&amp;"|"&amp;B343</f>
        <v/>
      </c>
    </row>
    <row r="344" ht="15" customHeight="1">
      <c r="A344" s="5" t="n"/>
      <c r="B344" s="5" t="n"/>
      <c r="C344" s="5" t="n"/>
      <c r="D344" s="5" t="n"/>
      <c r="E344">
        <f>A344&amp;"|"&amp;B344</f>
        <v/>
      </c>
    </row>
    <row r="345" ht="15" customHeight="1">
      <c r="A345" s="5" t="n"/>
      <c r="B345" s="5" t="n"/>
      <c r="C345" s="5" t="n"/>
      <c r="D345" s="5" t="n"/>
      <c r="E345">
        <f>A345&amp;"|"&amp;B345</f>
        <v/>
      </c>
    </row>
    <row r="346" ht="15" customHeight="1">
      <c r="A346" s="5" t="n"/>
      <c r="B346" s="5" t="n"/>
      <c r="C346" s="5" t="n"/>
      <c r="D346" s="5" t="n"/>
      <c r="E346">
        <f>A346&amp;"|"&amp;B346</f>
        <v/>
      </c>
    </row>
    <row r="347" ht="15" customHeight="1">
      <c r="A347" s="5" t="n"/>
      <c r="B347" s="5" t="n"/>
      <c r="C347" s="5" t="n"/>
      <c r="D347" s="5" t="n"/>
      <c r="E347">
        <f>A347&amp;"|"&amp;B347</f>
        <v/>
      </c>
    </row>
    <row r="348" ht="15" customHeight="1">
      <c r="A348" s="5" t="n"/>
      <c r="B348" s="5" t="n"/>
      <c r="C348" s="5" t="n"/>
      <c r="D348" s="5" t="n"/>
      <c r="E348">
        <f>A348&amp;"|"&amp;B348</f>
        <v/>
      </c>
    </row>
    <row r="349" ht="15" customHeight="1">
      <c r="A349" s="5" t="n"/>
      <c r="B349" s="5" t="n"/>
      <c r="C349" s="5" t="n"/>
      <c r="D349" s="5" t="n"/>
      <c r="E349">
        <f>A349&amp;"|"&amp;B349</f>
        <v/>
      </c>
    </row>
    <row r="350" ht="15" customHeight="1">
      <c r="A350" s="5" t="n"/>
      <c r="B350" s="5" t="n"/>
      <c r="C350" s="5" t="n"/>
      <c r="D350" s="5" t="n"/>
      <c r="E350">
        <f>A350&amp;"|"&amp;B350</f>
        <v/>
      </c>
    </row>
    <row r="351" ht="15" customHeight="1">
      <c r="A351" s="5" t="n"/>
      <c r="B351" s="5" t="n"/>
      <c r="C351" s="5" t="n"/>
      <c r="D351" s="5" t="n"/>
      <c r="E351">
        <f>A351&amp;"|"&amp;B351</f>
        <v/>
      </c>
    </row>
    <row r="352" ht="15" customHeight="1">
      <c r="A352" s="5" t="n"/>
      <c r="B352" s="5" t="n"/>
      <c r="C352" s="5" t="n"/>
      <c r="D352" s="5" t="n"/>
      <c r="E352">
        <f>A352&amp;"|"&amp;B352</f>
        <v/>
      </c>
    </row>
    <row r="353" ht="15" customHeight="1">
      <c r="A353" s="5" t="n"/>
      <c r="B353" s="5" t="n"/>
      <c r="C353" s="5" t="n"/>
      <c r="D353" s="5" t="n"/>
      <c r="E353">
        <f>A353&amp;"|"&amp;B353</f>
        <v/>
      </c>
    </row>
    <row r="354" ht="15" customHeight="1">
      <c r="A354" s="5" t="n"/>
      <c r="B354" s="5" t="n"/>
      <c r="C354" s="5" t="n"/>
      <c r="D354" s="5" t="n"/>
      <c r="E354">
        <f>A354&amp;"|"&amp;B354</f>
        <v/>
      </c>
    </row>
    <row r="355" ht="15" customHeight="1">
      <c r="A355" s="5" t="n"/>
      <c r="B355" s="5" t="n"/>
      <c r="C355" s="5" t="n"/>
      <c r="D355" s="5" t="n"/>
      <c r="E355">
        <f>A355&amp;"|"&amp;B355</f>
        <v/>
      </c>
    </row>
    <row r="356" ht="15" customHeight="1">
      <c r="A356" s="5" t="n"/>
      <c r="B356" s="5" t="n"/>
      <c r="C356" s="5" t="n"/>
      <c r="D356" s="5" t="n"/>
      <c r="E356">
        <f>A356&amp;"|"&amp;B356</f>
        <v/>
      </c>
    </row>
    <row r="357" ht="15" customHeight="1">
      <c r="A357" s="5" t="n"/>
      <c r="B357" s="5" t="n"/>
      <c r="C357" s="5" t="n"/>
      <c r="D357" s="5" t="n"/>
      <c r="E357">
        <f>A357&amp;"|"&amp;B357</f>
        <v/>
      </c>
    </row>
    <row r="358" ht="15" customHeight="1">
      <c r="A358" s="5" t="n"/>
      <c r="B358" s="5" t="n"/>
      <c r="C358" s="5" t="n"/>
      <c r="D358" s="5" t="n"/>
      <c r="E358">
        <f>A358&amp;"|"&amp;B358</f>
        <v/>
      </c>
    </row>
    <row r="359" ht="15" customHeight="1">
      <c r="A359" s="5" t="n"/>
      <c r="B359" s="5" t="n"/>
      <c r="C359" s="5" t="n"/>
      <c r="D359" s="5" t="n"/>
      <c r="E359">
        <f>A359&amp;"|"&amp;B359</f>
        <v/>
      </c>
    </row>
    <row r="360" ht="15" customHeight="1">
      <c r="A360" s="5" t="n"/>
      <c r="B360" s="5" t="n"/>
      <c r="C360" s="5" t="n"/>
      <c r="D360" s="5" t="n"/>
      <c r="E360">
        <f>A360&amp;"|"&amp;B360</f>
        <v/>
      </c>
    </row>
    <row r="361" ht="15" customHeight="1">
      <c r="A361" s="5" t="n"/>
      <c r="B361" s="5" t="n"/>
      <c r="C361" s="5" t="n"/>
      <c r="D361" s="5" t="n"/>
      <c r="E361">
        <f>A361&amp;"|"&amp;B361</f>
        <v/>
      </c>
    </row>
    <row r="362" ht="15" customHeight="1">
      <c r="A362" s="5" t="n"/>
      <c r="B362" s="5" t="n"/>
      <c r="C362" s="5" t="n"/>
      <c r="D362" s="5" t="n"/>
      <c r="E362">
        <f>A362&amp;"|"&amp;B362</f>
        <v/>
      </c>
    </row>
    <row r="363" ht="15" customHeight="1">
      <c r="A363" s="5" t="n"/>
      <c r="B363" s="5" t="n"/>
      <c r="C363" s="5" t="n"/>
      <c r="D363" s="5" t="n"/>
      <c r="E363">
        <f>A363&amp;"|"&amp;B363</f>
        <v/>
      </c>
    </row>
    <row r="364" ht="15" customHeight="1">
      <c r="A364" s="5" t="n"/>
      <c r="B364" s="5" t="n"/>
      <c r="C364" s="5" t="n"/>
      <c r="D364" s="5" t="n"/>
      <c r="E364">
        <f>A364&amp;"|"&amp;B364</f>
        <v/>
      </c>
    </row>
    <row r="365" ht="15" customHeight="1">
      <c r="A365" s="5" t="n"/>
      <c r="B365" s="5" t="n"/>
      <c r="C365" s="5" t="n"/>
      <c r="D365" s="5" t="n"/>
      <c r="E365">
        <f>A365&amp;"|"&amp;B365</f>
        <v/>
      </c>
    </row>
    <row r="366" ht="15" customHeight="1">
      <c r="A366" s="5" t="n"/>
      <c r="B366" s="5" t="n"/>
      <c r="C366" s="5" t="n"/>
      <c r="D366" s="5" t="n"/>
      <c r="E366">
        <f>A366&amp;"|"&amp;B366</f>
        <v/>
      </c>
    </row>
    <row r="367" ht="15" customHeight="1">
      <c r="A367" s="5" t="n"/>
      <c r="B367" s="5" t="n"/>
      <c r="C367" s="5" t="n"/>
      <c r="D367" s="5" t="n"/>
      <c r="E367">
        <f>A367&amp;"|"&amp;B367</f>
        <v/>
      </c>
    </row>
    <row r="368" ht="15" customHeight="1">
      <c r="A368" s="5" t="n"/>
      <c r="B368" s="5" t="n"/>
      <c r="C368" s="5" t="n"/>
      <c r="D368" s="5" t="n"/>
      <c r="E368">
        <f>A368&amp;"|"&amp;B368</f>
        <v/>
      </c>
    </row>
    <row r="369" ht="15" customHeight="1">
      <c r="A369" s="5" t="n"/>
      <c r="B369" s="5" t="n"/>
      <c r="C369" s="5" t="n"/>
      <c r="D369" s="5" t="n"/>
      <c r="E369">
        <f>A369&amp;"|"&amp;B369</f>
        <v/>
      </c>
    </row>
    <row r="370" ht="15" customHeight="1">
      <c r="A370" s="5" t="n"/>
      <c r="B370" s="5" t="n"/>
      <c r="C370" s="5" t="n"/>
      <c r="D370" s="5" t="n"/>
      <c r="E370">
        <f>A370&amp;"|"&amp;B370</f>
        <v/>
      </c>
    </row>
    <row r="371" ht="15" customHeight="1">
      <c r="A371" s="5" t="n"/>
      <c r="B371" s="5" t="n"/>
      <c r="C371" s="5" t="n"/>
      <c r="D371" s="5" t="n"/>
      <c r="E371">
        <f>A371&amp;"|"&amp;B371</f>
        <v/>
      </c>
    </row>
    <row r="372" ht="15" customHeight="1">
      <c r="A372" s="5" t="n"/>
      <c r="B372" s="5" t="n"/>
      <c r="C372" s="5" t="n"/>
      <c r="D372" s="5" t="n"/>
      <c r="E372">
        <f>A372&amp;"|"&amp;B372</f>
        <v/>
      </c>
    </row>
    <row r="373" ht="15" customHeight="1">
      <c r="A373" s="5" t="n"/>
      <c r="B373" s="5" t="n"/>
      <c r="C373" s="5" t="n"/>
      <c r="D373" s="5" t="n"/>
      <c r="E373">
        <f>A373&amp;"|"&amp;B373</f>
        <v/>
      </c>
    </row>
    <row r="374" ht="15" customHeight="1">
      <c r="A374" s="5" t="n"/>
      <c r="B374" s="5" t="n"/>
      <c r="C374" s="5" t="n"/>
      <c r="D374" s="5" t="n"/>
      <c r="E374">
        <f>A374&amp;"|"&amp;B374</f>
        <v/>
      </c>
    </row>
    <row r="375" ht="15" customHeight="1">
      <c r="A375" s="5" t="n"/>
      <c r="B375" s="5" t="n"/>
      <c r="C375" s="5" t="n"/>
      <c r="D375" s="5" t="n"/>
      <c r="E375">
        <f>A375&amp;"|"&amp;B375</f>
        <v/>
      </c>
    </row>
    <row r="376" ht="15" customHeight="1">
      <c r="A376" s="5" t="n"/>
      <c r="B376" s="5" t="n"/>
      <c r="C376" s="5" t="n"/>
      <c r="D376" s="5" t="n"/>
      <c r="E376">
        <f>A376&amp;"|"&amp;B376</f>
        <v/>
      </c>
    </row>
    <row r="377" ht="15" customHeight="1">
      <c r="A377" s="5" t="n"/>
      <c r="B377" s="5" t="n"/>
      <c r="C377" s="5" t="n"/>
      <c r="D377" s="5" t="n"/>
      <c r="E377">
        <f>A377&amp;"|"&amp;B377</f>
        <v/>
      </c>
    </row>
    <row r="378" ht="15" customHeight="1">
      <c r="A378" s="5" t="n"/>
      <c r="B378" s="5" t="n"/>
      <c r="C378" s="5" t="n"/>
      <c r="D378" s="5" t="n"/>
      <c r="E378">
        <f>A378&amp;"|"&amp;B378</f>
        <v/>
      </c>
    </row>
    <row r="379" ht="15" customHeight="1">
      <c r="A379" s="5" t="n"/>
      <c r="B379" s="5" t="n"/>
      <c r="C379" s="5" t="n"/>
      <c r="D379" s="5" t="n"/>
      <c r="E379">
        <f>A379&amp;"|"&amp;B379</f>
        <v/>
      </c>
    </row>
    <row r="380" ht="15" customHeight="1">
      <c r="A380" s="5" t="n"/>
      <c r="B380" s="5" t="n"/>
      <c r="C380" s="5" t="n"/>
      <c r="D380" s="5" t="n"/>
      <c r="E380">
        <f>A380&amp;"|"&amp;B380</f>
        <v/>
      </c>
    </row>
    <row r="381" ht="15" customHeight="1">
      <c r="A381" s="5" t="n"/>
      <c r="B381" s="5" t="n"/>
      <c r="C381" s="5" t="n"/>
      <c r="D381" s="5" t="n"/>
      <c r="E381">
        <f>A381&amp;"|"&amp;B381</f>
        <v/>
      </c>
    </row>
    <row r="382" ht="15" customHeight="1">
      <c r="A382" s="5" t="n"/>
      <c r="B382" s="5" t="n"/>
      <c r="C382" s="5" t="n"/>
      <c r="D382" s="5" t="n"/>
      <c r="E382">
        <f>A382&amp;"|"&amp;B382</f>
        <v/>
      </c>
    </row>
    <row r="383" ht="15" customHeight="1">
      <c r="A383" s="5" t="n"/>
      <c r="B383" s="5" t="n"/>
      <c r="C383" s="5" t="n"/>
      <c r="D383" s="5" t="n"/>
      <c r="E383">
        <f>A383&amp;"|"&amp;B383</f>
        <v/>
      </c>
    </row>
    <row r="384" ht="15" customHeight="1">
      <c r="A384" s="5" t="n"/>
      <c r="B384" s="5" t="n"/>
      <c r="C384" s="5" t="n"/>
      <c r="D384" s="5" t="n"/>
      <c r="E384">
        <f>A384&amp;"|"&amp;B384</f>
        <v/>
      </c>
    </row>
    <row r="385" ht="15" customHeight="1">
      <c r="A385" s="5" t="n"/>
      <c r="B385" s="5" t="n"/>
      <c r="C385" s="5" t="n"/>
      <c r="D385" s="5" t="n"/>
      <c r="E385">
        <f>A385&amp;"|"&amp;B385</f>
        <v/>
      </c>
    </row>
    <row r="386" ht="15" customHeight="1">
      <c r="A386" s="5" t="n"/>
      <c r="B386" s="5" t="n"/>
      <c r="C386" s="5" t="n"/>
      <c r="D386" s="5" t="n"/>
      <c r="E386">
        <f>A386&amp;"|"&amp;B386</f>
        <v/>
      </c>
    </row>
    <row r="387" ht="15" customHeight="1">
      <c r="A387" s="5" t="n"/>
      <c r="B387" s="5" t="n"/>
      <c r="C387" s="5" t="n"/>
      <c r="D387" s="5" t="n"/>
      <c r="E387">
        <f>A387&amp;"|"&amp;B387</f>
        <v/>
      </c>
    </row>
    <row r="388" ht="15" customHeight="1">
      <c r="A388" s="5" t="n"/>
      <c r="B388" s="5" t="n"/>
      <c r="C388" s="5" t="n"/>
      <c r="D388" s="5" t="n"/>
      <c r="E388">
        <f>A388&amp;"|"&amp;B388</f>
        <v/>
      </c>
    </row>
    <row r="389" ht="15" customHeight="1">
      <c r="A389" s="5" t="n"/>
      <c r="B389" s="5" t="n"/>
      <c r="C389" s="5" t="n"/>
      <c r="D389" s="5" t="n"/>
      <c r="E389">
        <f>A389&amp;"|"&amp;B389</f>
        <v/>
      </c>
    </row>
    <row r="390" ht="15" customHeight="1">
      <c r="A390" s="5" t="n"/>
      <c r="B390" s="5" t="n"/>
      <c r="C390" s="5" t="n"/>
      <c r="D390" s="5" t="n"/>
      <c r="E390">
        <f>A390&amp;"|"&amp;B390</f>
        <v/>
      </c>
    </row>
    <row r="391" ht="15" customHeight="1">
      <c r="A391" s="5" t="n"/>
      <c r="B391" s="5" t="n"/>
      <c r="C391" s="5" t="n"/>
      <c r="D391" s="5" t="n"/>
      <c r="E391">
        <f>A391&amp;"|"&amp;B391</f>
        <v/>
      </c>
    </row>
    <row r="392" ht="15" customHeight="1">
      <c r="A392" s="5" t="n"/>
      <c r="B392" s="5" t="n"/>
      <c r="C392" s="5" t="n"/>
      <c r="D392" s="5" t="n"/>
      <c r="E392">
        <f>A392&amp;"|"&amp;B392</f>
        <v/>
      </c>
    </row>
    <row r="393" ht="15" customHeight="1">
      <c r="A393" s="5" t="n"/>
      <c r="B393" s="5" t="n"/>
      <c r="C393" s="5" t="n"/>
      <c r="D393" s="5" t="n"/>
      <c r="E393">
        <f>A393&amp;"|"&amp;B393</f>
        <v/>
      </c>
    </row>
    <row r="394" ht="15" customHeight="1">
      <c r="A394" s="5" t="n"/>
      <c r="B394" s="5" t="n"/>
      <c r="C394" s="5" t="n"/>
      <c r="D394" s="5" t="n"/>
      <c r="E394">
        <f>A394&amp;"|"&amp;B394</f>
        <v/>
      </c>
    </row>
    <row r="395" ht="15" customHeight="1">
      <c r="A395" s="5" t="n"/>
      <c r="B395" s="5" t="n"/>
      <c r="C395" s="5" t="n"/>
      <c r="D395" s="5" t="n"/>
      <c r="E395">
        <f>A395&amp;"|"&amp;B395</f>
        <v/>
      </c>
    </row>
    <row r="396" ht="15" customHeight="1">
      <c r="A396" s="5" t="n"/>
      <c r="B396" s="5" t="n"/>
      <c r="C396" s="5" t="n"/>
      <c r="D396" s="5" t="n"/>
      <c r="E396">
        <f>A396&amp;"|"&amp;B396</f>
        <v/>
      </c>
    </row>
    <row r="397" ht="15" customHeight="1">
      <c r="A397" s="5" t="n"/>
      <c r="B397" s="5" t="n"/>
      <c r="C397" s="5" t="n"/>
      <c r="D397" s="5" t="n"/>
      <c r="E397">
        <f>A397&amp;"|"&amp;B397</f>
        <v/>
      </c>
    </row>
    <row r="398" ht="15" customHeight="1">
      <c r="A398" s="5" t="n"/>
      <c r="B398" s="5" t="n"/>
      <c r="C398" s="5" t="n"/>
      <c r="D398" s="5" t="n"/>
      <c r="E398">
        <f>A398&amp;"|"&amp;B398</f>
        <v/>
      </c>
    </row>
    <row r="399" ht="15" customHeight="1">
      <c r="A399" s="5" t="n"/>
      <c r="B399" s="5" t="n"/>
      <c r="C399" s="5" t="n"/>
      <c r="D399" s="5" t="n"/>
      <c r="E399">
        <f>A399&amp;"|"&amp;B399</f>
        <v/>
      </c>
    </row>
    <row r="400" ht="15" customHeight="1">
      <c r="A400" s="5" t="n"/>
      <c r="B400" s="5" t="n"/>
      <c r="C400" s="5" t="n"/>
      <c r="D400" s="5" t="n"/>
      <c r="E400">
        <f>A400&amp;"|"&amp;B400</f>
        <v/>
      </c>
    </row>
    <row r="401" ht="15" customHeight="1">
      <c r="A401" s="5" t="n"/>
      <c r="B401" s="5" t="n"/>
      <c r="C401" s="5" t="n"/>
      <c r="D401" s="5" t="n"/>
      <c r="E401">
        <f>A401&amp;"|"&amp;B401</f>
        <v/>
      </c>
    </row>
    <row r="402" ht="15" customHeight="1">
      <c r="A402" s="5" t="n"/>
      <c r="B402" s="5" t="n"/>
      <c r="C402" s="5" t="n"/>
      <c r="D402" s="5" t="n"/>
      <c r="E402">
        <f>A402&amp;"|"&amp;B402</f>
        <v/>
      </c>
    </row>
    <row r="403" ht="15" customHeight="1">
      <c r="A403" s="5" t="n"/>
      <c r="B403" s="5" t="n"/>
      <c r="C403" s="5" t="n"/>
      <c r="D403" s="5" t="n"/>
      <c r="E403">
        <f>A403&amp;"|"&amp;B403</f>
        <v/>
      </c>
    </row>
    <row r="404" ht="15" customHeight="1">
      <c r="A404" s="5" t="n"/>
      <c r="B404" s="5" t="n"/>
      <c r="C404" s="5" t="n"/>
      <c r="D404" s="5" t="n"/>
      <c r="E404">
        <f>A404&amp;"|"&amp;B404</f>
        <v/>
      </c>
    </row>
    <row r="405" ht="15" customHeight="1">
      <c r="A405" s="5" t="n"/>
      <c r="B405" s="5" t="n"/>
      <c r="C405" s="5" t="n"/>
      <c r="D405" s="5" t="n"/>
      <c r="E405">
        <f>A405&amp;"|"&amp;B405</f>
        <v/>
      </c>
    </row>
    <row r="406" ht="15" customHeight="1">
      <c r="A406" s="5" t="n"/>
      <c r="B406" s="5" t="n"/>
      <c r="C406" s="5" t="n"/>
      <c r="D406" s="5" t="n"/>
      <c r="E406">
        <f>A406&amp;"|"&amp;B406</f>
        <v/>
      </c>
    </row>
    <row r="407" ht="15" customHeight="1">
      <c r="A407" s="5" t="n"/>
      <c r="B407" s="5" t="n"/>
      <c r="C407" s="5" t="n"/>
      <c r="D407" s="5" t="n"/>
      <c r="E407">
        <f>A407&amp;"|"&amp;B407</f>
        <v/>
      </c>
    </row>
    <row r="408" ht="15" customHeight="1">
      <c r="A408" s="5" t="n"/>
      <c r="B408" s="5" t="n"/>
      <c r="C408" s="5" t="n"/>
      <c r="D408" s="5" t="n"/>
      <c r="E408">
        <f>A408&amp;"|"&amp;B408</f>
        <v/>
      </c>
    </row>
    <row r="409" ht="15" customHeight="1">
      <c r="A409" s="5" t="n"/>
      <c r="B409" s="5" t="n"/>
      <c r="C409" s="5" t="n"/>
      <c r="D409" s="5" t="n"/>
      <c r="E409">
        <f>A409&amp;"|"&amp;B409</f>
        <v/>
      </c>
    </row>
    <row r="410" ht="15" customHeight="1">
      <c r="A410" s="5" t="n"/>
      <c r="B410" s="5" t="n"/>
      <c r="C410" s="5" t="n"/>
      <c r="D410" s="5" t="n"/>
      <c r="E410">
        <f>A410&amp;"|"&amp;B410</f>
        <v/>
      </c>
    </row>
    <row r="411" ht="15" customHeight="1">
      <c r="A411" s="5" t="n"/>
      <c r="B411" s="5" t="n"/>
      <c r="C411" s="5" t="n"/>
      <c r="D411" s="5" t="n"/>
      <c r="E411">
        <f>A411&amp;"|"&amp;B411</f>
        <v/>
      </c>
    </row>
    <row r="412" ht="15" customHeight="1">
      <c r="A412" s="5" t="n"/>
      <c r="B412" s="5" t="n"/>
      <c r="C412" s="5" t="n"/>
      <c r="D412" s="5" t="n"/>
      <c r="E412">
        <f>A412&amp;"|"&amp;B412</f>
        <v/>
      </c>
    </row>
    <row r="413" ht="15" customHeight="1">
      <c r="A413" s="5" t="n"/>
      <c r="B413" s="5" t="n"/>
      <c r="C413" s="5" t="n"/>
      <c r="D413" s="5" t="n"/>
      <c r="E413">
        <f>A413&amp;"|"&amp;B413</f>
        <v/>
      </c>
    </row>
    <row r="414" ht="15" customHeight="1">
      <c r="A414" s="5" t="n"/>
      <c r="B414" s="5" t="n"/>
      <c r="C414" s="5" t="n"/>
      <c r="D414" s="5" t="n"/>
      <c r="E414">
        <f>A414&amp;"|"&amp;B414</f>
        <v/>
      </c>
    </row>
    <row r="415" ht="15" customHeight="1">
      <c r="A415" s="5" t="n"/>
      <c r="B415" s="5" t="n"/>
      <c r="C415" s="5" t="n"/>
      <c r="D415" s="5" t="n"/>
      <c r="E415">
        <f>A415&amp;"|"&amp;B415</f>
        <v/>
      </c>
    </row>
    <row r="416" ht="15" customHeight="1">
      <c r="A416" s="5" t="n"/>
      <c r="B416" s="5" t="n"/>
      <c r="C416" s="5" t="n"/>
      <c r="D416" s="5" t="n"/>
      <c r="E416">
        <f>A416&amp;"|"&amp;B416</f>
        <v/>
      </c>
    </row>
    <row r="417" ht="15" customHeight="1">
      <c r="A417" s="5" t="n"/>
      <c r="B417" s="5" t="n"/>
      <c r="C417" s="5" t="n"/>
      <c r="D417" s="5" t="n"/>
      <c r="E417">
        <f>A417&amp;"|"&amp;B417</f>
        <v/>
      </c>
    </row>
    <row r="418" ht="15" customHeight="1">
      <c r="A418" s="5" t="n"/>
      <c r="B418" s="5" t="n"/>
      <c r="C418" s="5" t="n"/>
      <c r="D418" s="5" t="n"/>
      <c r="E418">
        <f>A418&amp;"|"&amp;B418</f>
        <v/>
      </c>
    </row>
    <row r="419" ht="15" customHeight="1">
      <c r="A419" s="5" t="n"/>
      <c r="B419" s="5" t="n"/>
      <c r="C419" s="5" t="n"/>
      <c r="D419" s="5" t="n"/>
      <c r="E419">
        <f>A419&amp;"|"&amp;B419</f>
        <v/>
      </c>
    </row>
    <row r="420" ht="15" customHeight="1">
      <c r="A420" s="5" t="n"/>
      <c r="B420" s="5" t="n"/>
      <c r="C420" s="5" t="n"/>
      <c r="D420" s="5" t="n"/>
      <c r="E420">
        <f>A420&amp;"|"&amp;B420</f>
        <v/>
      </c>
    </row>
    <row r="421" ht="15" customHeight="1">
      <c r="A421" s="5" t="n"/>
      <c r="B421" s="5" t="n"/>
      <c r="C421" s="5" t="n"/>
      <c r="D421" s="5" t="n"/>
      <c r="E421">
        <f>A421&amp;"|"&amp;B421</f>
        <v/>
      </c>
    </row>
    <row r="422" ht="15" customHeight="1">
      <c r="A422" s="5" t="n"/>
      <c r="B422" s="5" t="n"/>
      <c r="C422" s="5" t="n"/>
      <c r="D422" s="5" t="n"/>
      <c r="E422">
        <f>A422&amp;"|"&amp;B422</f>
        <v/>
      </c>
    </row>
    <row r="423" ht="15" customHeight="1">
      <c r="A423" s="5" t="n"/>
      <c r="B423" s="5" t="n"/>
      <c r="C423" s="5" t="n"/>
      <c r="D423" s="5" t="n"/>
      <c r="E423">
        <f>A423&amp;"|"&amp;B423</f>
        <v/>
      </c>
    </row>
    <row r="424" ht="15" customHeight="1">
      <c r="A424" s="5" t="n"/>
      <c r="B424" s="5" t="n"/>
      <c r="C424" s="5" t="n"/>
      <c r="D424" s="5" t="n"/>
      <c r="E424">
        <f>A424&amp;"|"&amp;B424</f>
        <v/>
      </c>
    </row>
    <row r="425" ht="15" customHeight="1">
      <c r="A425" s="5" t="n"/>
      <c r="B425" s="5" t="n"/>
      <c r="C425" s="5" t="n"/>
      <c r="D425" s="5" t="n"/>
      <c r="E425">
        <f>A425&amp;"|"&amp;B425</f>
        <v/>
      </c>
    </row>
    <row r="426" ht="15" customHeight="1">
      <c r="A426" s="5" t="n"/>
      <c r="B426" s="5" t="n"/>
      <c r="C426" s="5" t="n"/>
      <c r="D426" s="5" t="n"/>
      <c r="E426">
        <f>A426&amp;"|"&amp;B426</f>
        <v/>
      </c>
    </row>
    <row r="427" ht="15" customHeight="1">
      <c r="A427" s="5" t="n"/>
      <c r="B427" s="5" t="n"/>
      <c r="C427" s="5" t="n"/>
      <c r="D427" s="5" t="n"/>
      <c r="E427">
        <f>A427&amp;"|"&amp;B427</f>
        <v/>
      </c>
    </row>
    <row r="428" ht="15" customHeight="1">
      <c r="A428" s="5" t="n"/>
      <c r="B428" s="5" t="n"/>
      <c r="C428" s="5" t="n"/>
      <c r="D428" s="5" t="n"/>
      <c r="E428">
        <f>A428&amp;"|"&amp;B428</f>
        <v/>
      </c>
    </row>
    <row r="429" ht="15" customHeight="1">
      <c r="A429" s="5" t="n"/>
      <c r="B429" s="5" t="n"/>
      <c r="C429" s="5" t="n"/>
      <c r="D429" s="5" t="n"/>
      <c r="E429">
        <f>A429&amp;"|"&amp;B429</f>
        <v/>
      </c>
    </row>
    <row r="430" ht="15" customHeight="1">
      <c r="A430" s="5" t="n"/>
      <c r="B430" s="5" t="n"/>
      <c r="C430" s="5" t="n"/>
      <c r="D430" s="5" t="n"/>
      <c r="E430">
        <f>A430&amp;"|"&amp;B430</f>
        <v/>
      </c>
    </row>
    <row r="431" ht="15" customHeight="1">
      <c r="A431" s="5" t="n"/>
      <c r="B431" s="5" t="n"/>
      <c r="C431" s="5" t="n"/>
      <c r="D431" s="5" t="n"/>
      <c r="E431">
        <f>A431&amp;"|"&amp;B431</f>
        <v/>
      </c>
    </row>
    <row r="432" ht="15" customHeight="1">
      <c r="A432" s="5" t="n"/>
      <c r="B432" s="5" t="n"/>
      <c r="C432" s="5" t="n"/>
      <c r="D432" s="5" t="n"/>
      <c r="E432">
        <f>A432&amp;"|"&amp;B432</f>
        <v/>
      </c>
    </row>
    <row r="433" ht="15" customHeight="1">
      <c r="A433" s="5" t="n"/>
      <c r="B433" s="5" t="n"/>
      <c r="C433" s="5" t="n"/>
      <c r="D433" s="5" t="n"/>
      <c r="E433">
        <f>A433&amp;"|"&amp;B433</f>
        <v/>
      </c>
    </row>
    <row r="434" ht="15" customHeight="1">
      <c r="A434" s="5" t="n"/>
      <c r="B434" s="5" t="n"/>
      <c r="C434" s="5" t="n"/>
      <c r="D434" s="5" t="n"/>
      <c r="E434">
        <f>A434&amp;"|"&amp;B434</f>
        <v/>
      </c>
    </row>
    <row r="435" ht="15" customHeight="1">
      <c r="A435" s="5" t="n"/>
      <c r="B435" s="5" t="n"/>
      <c r="C435" s="5" t="n"/>
      <c r="D435" s="5" t="n"/>
      <c r="E435">
        <f>A435&amp;"|"&amp;B435</f>
        <v/>
      </c>
    </row>
    <row r="436" ht="15" customHeight="1">
      <c r="A436" s="5" t="n"/>
      <c r="B436" s="5" t="n"/>
      <c r="C436" s="5" t="n"/>
      <c r="D436" s="5" t="n"/>
      <c r="E436">
        <f>A436&amp;"|"&amp;B436</f>
        <v/>
      </c>
    </row>
    <row r="437" ht="15" customHeight="1">
      <c r="A437" s="5" t="n"/>
      <c r="B437" s="5" t="n"/>
      <c r="C437" s="5" t="n"/>
      <c r="D437" s="5" t="n"/>
      <c r="E437">
        <f>A437&amp;"|"&amp;B437</f>
        <v/>
      </c>
    </row>
    <row r="438" ht="15" customHeight="1">
      <c r="A438" s="5" t="n"/>
      <c r="B438" s="5" t="n"/>
      <c r="C438" s="5" t="n"/>
      <c r="D438" s="5" t="n"/>
      <c r="E438">
        <f>A438&amp;"|"&amp;B438</f>
        <v/>
      </c>
    </row>
    <row r="439" ht="15" customHeight="1">
      <c r="A439" s="5" t="n"/>
      <c r="B439" s="5" t="n"/>
      <c r="C439" s="5" t="n"/>
      <c r="D439" s="5" t="n"/>
      <c r="E439">
        <f>A439&amp;"|"&amp;B439</f>
        <v/>
      </c>
    </row>
    <row r="440" ht="15" customHeight="1">
      <c r="A440" s="5" t="n"/>
      <c r="B440" s="5" t="n"/>
      <c r="C440" s="5" t="n"/>
      <c r="D440" s="5" t="n"/>
      <c r="E440">
        <f>A440&amp;"|"&amp;B440</f>
        <v/>
      </c>
    </row>
    <row r="441" ht="15" customHeight="1">
      <c r="A441" s="5" t="n"/>
      <c r="B441" s="5" t="n"/>
      <c r="C441" s="5" t="n"/>
      <c r="D441" s="5" t="n"/>
      <c r="E441">
        <f>A441&amp;"|"&amp;B441</f>
        <v/>
      </c>
    </row>
    <row r="442" ht="15" customHeight="1">
      <c r="A442" s="5" t="n"/>
      <c r="B442" s="5" t="n"/>
      <c r="C442" s="5" t="n"/>
      <c r="D442" s="5" t="n"/>
      <c r="E442">
        <f>A442&amp;"|"&amp;B442</f>
        <v/>
      </c>
    </row>
    <row r="443" ht="15" customHeight="1">
      <c r="A443" s="5" t="n"/>
      <c r="B443" s="5" t="n"/>
      <c r="C443" s="5" t="n"/>
      <c r="D443" s="5" t="n"/>
      <c r="E443">
        <f>A443&amp;"|"&amp;B443</f>
        <v/>
      </c>
    </row>
    <row r="444" ht="15" customHeight="1">
      <c r="A444" s="5" t="n"/>
      <c r="B444" s="5" t="n"/>
      <c r="C444" s="5" t="n"/>
      <c r="D444" s="5" t="n"/>
      <c r="E444">
        <f>A444&amp;"|"&amp;B444</f>
        <v/>
      </c>
    </row>
    <row r="445" ht="15" customHeight="1">
      <c r="A445" s="5" t="n"/>
      <c r="B445" s="5" t="n"/>
      <c r="C445" s="5" t="n"/>
      <c r="D445" s="5" t="n"/>
      <c r="E445">
        <f>A445&amp;"|"&amp;B445</f>
        <v/>
      </c>
    </row>
    <row r="446" ht="15" customHeight="1">
      <c r="A446" s="5" t="n"/>
      <c r="B446" s="5" t="n"/>
      <c r="C446" s="5" t="n"/>
      <c r="D446" s="5" t="n"/>
      <c r="E446">
        <f>A446&amp;"|"&amp;B446</f>
        <v/>
      </c>
    </row>
    <row r="447" ht="15" customHeight="1">
      <c r="A447" s="5" t="n"/>
      <c r="B447" s="5" t="n"/>
      <c r="C447" s="5" t="n"/>
      <c r="D447" s="5" t="n"/>
      <c r="E447">
        <f>A447&amp;"|"&amp;B447</f>
        <v/>
      </c>
    </row>
    <row r="448" ht="15" customHeight="1">
      <c r="A448" s="5" t="n"/>
      <c r="B448" s="5" t="n"/>
      <c r="C448" s="5" t="n"/>
      <c r="D448" s="5" t="n"/>
      <c r="E448">
        <f>A448&amp;"|"&amp;B448</f>
        <v/>
      </c>
    </row>
    <row r="449" ht="15" customHeight="1">
      <c r="A449" s="5" t="n"/>
      <c r="B449" s="5" t="n"/>
      <c r="C449" s="5" t="n"/>
      <c r="D449" s="5" t="n"/>
      <c r="E449">
        <f>A449&amp;"|"&amp;B449</f>
        <v/>
      </c>
    </row>
    <row r="450" ht="15" customHeight="1">
      <c r="A450" s="5" t="n"/>
      <c r="B450" s="5" t="n"/>
      <c r="C450" s="5" t="n"/>
      <c r="D450" s="5" t="n"/>
      <c r="E450">
        <f>A450&amp;"|"&amp;B450</f>
        <v/>
      </c>
    </row>
    <row r="451" ht="15" customHeight="1">
      <c r="A451" s="5" t="n"/>
      <c r="B451" s="5" t="n"/>
      <c r="C451" s="5" t="n"/>
      <c r="D451" s="5" t="n"/>
      <c r="E451">
        <f>A451&amp;"|"&amp;B451</f>
        <v/>
      </c>
    </row>
    <row r="452" ht="15" customHeight="1">
      <c r="A452" s="5" t="n"/>
      <c r="B452" s="5" t="n"/>
      <c r="C452" s="5" t="n"/>
      <c r="D452" s="5" t="n"/>
      <c r="E452">
        <f>A452&amp;"|"&amp;B452</f>
        <v/>
      </c>
    </row>
    <row r="453" ht="15" customHeight="1">
      <c r="A453" s="5" t="n"/>
      <c r="B453" s="5" t="n"/>
      <c r="C453" s="5" t="n"/>
      <c r="D453" s="5" t="n"/>
      <c r="E453">
        <f>A453&amp;"|"&amp;B453</f>
        <v/>
      </c>
    </row>
    <row r="454" ht="15" customHeight="1">
      <c r="A454" s="5" t="n"/>
      <c r="B454" s="5" t="n"/>
      <c r="C454" s="5" t="n"/>
      <c r="D454" s="5" t="n"/>
      <c r="E454">
        <f>A454&amp;"|"&amp;B454</f>
        <v/>
      </c>
    </row>
    <row r="455" ht="15" customHeight="1">
      <c r="A455" s="5" t="n"/>
      <c r="B455" s="5" t="n"/>
      <c r="C455" s="5" t="n"/>
      <c r="D455" s="5" t="n"/>
      <c r="E455">
        <f>A455&amp;"|"&amp;B455</f>
        <v/>
      </c>
    </row>
    <row r="456" ht="15" customHeight="1">
      <c r="A456" s="5" t="n"/>
      <c r="B456" s="5" t="n"/>
      <c r="C456" s="5" t="n"/>
      <c r="D456" s="5" t="n"/>
      <c r="E456">
        <f>A456&amp;"|"&amp;B456</f>
        <v/>
      </c>
    </row>
    <row r="457" ht="15" customHeight="1">
      <c r="A457" s="5" t="n"/>
      <c r="B457" s="5" t="n"/>
      <c r="C457" s="5" t="n"/>
      <c r="D457" s="5" t="n"/>
      <c r="E457">
        <f>A457&amp;"|"&amp;B457</f>
        <v/>
      </c>
    </row>
    <row r="458" ht="15" customHeight="1">
      <c r="A458" s="5" t="n"/>
      <c r="B458" s="5" t="n"/>
      <c r="C458" s="5" t="n"/>
      <c r="D458" s="5" t="n"/>
      <c r="E458">
        <f>A458&amp;"|"&amp;B458</f>
        <v/>
      </c>
    </row>
    <row r="459" ht="15" customHeight="1">
      <c r="A459" s="5" t="n"/>
      <c r="B459" s="5" t="n"/>
      <c r="C459" s="5" t="n"/>
      <c r="D459" s="5" t="n"/>
      <c r="E459">
        <f>A459&amp;"|"&amp;B459</f>
        <v/>
      </c>
    </row>
    <row r="460" ht="15" customHeight="1">
      <c r="A460" s="5" t="n"/>
      <c r="B460" s="5" t="n"/>
      <c r="C460" s="5" t="n"/>
      <c r="D460" s="5" t="n"/>
      <c r="E460">
        <f>A460&amp;"|"&amp;B460</f>
        <v/>
      </c>
    </row>
    <row r="461" ht="15" customHeight="1">
      <c r="A461" s="5" t="n"/>
      <c r="B461" s="5" t="n"/>
      <c r="C461" s="5" t="n"/>
      <c r="D461" s="5" t="n"/>
      <c r="E461">
        <f>A461&amp;"|"&amp;B461</f>
        <v/>
      </c>
    </row>
    <row r="462" ht="15" customHeight="1">
      <c r="A462" s="5" t="n"/>
      <c r="B462" s="5" t="n"/>
      <c r="C462" s="5" t="n"/>
      <c r="D462" s="5" t="n"/>
      <c r="E462">
        <f>A462&amp;"|"&amp;B462</f>
        <v/>
      </c>
    </row>
    <row r="463" ht="15" customHeight="1">
      <c r="A463" s="5" t="n"/>
      <c r="B463" s="5" t="n"/>
      <c r="C463" s="5" t="n"/>
      <c r="D463" s="5" t="n"/>
      <c r="E463">
        <f>A463&amp;"|"&amp;B463</f>
        <v/>
      </c>
    </row>
    <row r="464" ht="15" customHeight="1">
      <c r="A464" s="5" t="n"/>
      <c r="B464" s="5" t="n"/>
      <c r="C464" s="5" t="n"/>
      <c r="D464" s="5" t="n"/>
      <c r="E464">
        <f>A464&amp;"|"&amp;B464</f>
        <v/>
      </c>
    </row>
    <row r="465" ht="15" customHeight="1">
      <c r="A465" s="5" t="n"/>
      <c r="B465" s="5" t="n"/>
      <c r="C465" s="5" t="n"/>
      <c r="D465" s="5" t="n"/>
      <c r="E465">
        <f>A465&amp;"|"&amp;B465</f>
        <v/>
      </c>
    </row>
    <row r="466" ht="15" customHeight="1">
      <c r="A466" s="5" t="n"/>
      <c r="B466" s="5" t="n"/>
      <c r="C466" s="5" t="n"/>
      <c r="D466" s="5" t="n"/>
      <c r="E466">
        <f>A466&amp;"|"&amp;B466</f>
        <v/>
      </c>
    </row>
    <row r="467" ht="15" customHeight="1">
      <c r="A467" s="5" t="n"/>
      <c r="B467" s="5" t="n"/>
      <c r="C467" s="5" t="n"/>
      <c r="D467" s="5" t="n"/>
      <c r="E467">
        <f>A467&amp;"|"&amp;B467</f>
        <v/>
      </c>
    </row>
    <row r="468" ht="15" customHeight="1">
      <c r="A468" s="5" t="n"/>
      <c r="B468" s="5" t="n"/>
      <c r="C468" s="5" t="n"/>
      <c r="D468" s="5" t="n"/>
      <c r="E468">
        <f>A468&amp;"|"&amp;B468</f>
        <v/>
      </c>
    </row>
    <row r="469" ht="15" customHeight="1">
      <c r="A469" s="5" t="n"/>
      <c r="B469" s="5" t="n"/>
      <c r="C469" s="5" t="n"/>
      <c r="D469" s="5" t="n"/>
      <c r="E469">
        <f>A469&amp;"|"&amp;B469</f>
        <v/>
      </c>
    </row>
    <row r="470" ht="15" customHeight="1">
      <c r="A470" s="5" t="n"/>
      <c r="B470" s="5" t="n"/>
      <c r="C470" s="5" t="n"/>
      <c r="D470" s="5" t="n"/>
      <c r="E470">
        <f>A470&amp;"|"&amp;B470</f>
        <v/>
      </c>
    </row>
    <row r="471" ht="15" customHeight="1">
      <c r="A471" s="5" t="n"/>
      <c r="B471" s="5" t="n"/>
      <c r="C471" s="5" t="n"/>
      <c r="D471" s="5" t="n"/>
      <c r="E471">
        <f>A471&amp;"|"&amp;B471</f>
        <v/>
      </c>
    </row>
    <row r="472" ht="15" customHeight="1">
      <c r="A472" s="5" t="n"/>
      <c r="B472" s="5" t="n"/>
      <c r="C472" s="5" t="n"/>
      <c r="D472" s="5" t="n"/>
      <c r="E472">
        <f>A472&amp;"|"&amp;B472</f>
        <v/>
      </c>
    </row>
    <row r="473" ht="15" customHeight="1">
      <c r="A473" s="5" t="n"/>
      <c r="B473" s="5" t="n"/>
      <c r="C473" s="5" t="n"/>
      <c r="D473" s="5" t="n"/>
      <c r="E473">
        <f>A473&amp;"|"&amp;B473</f>
        <v/>
      </c>
    </row>
    <row r="474" ht="15" customHeight="1">
      <c r="A474" s="5" t="n"/>
      <c r="B474" s="5" t="n"/>
      <c r="C474" s="5" t="n"/>
      <c r="D474" s="5" t="n"/>
      <c r="E474">
        <f>A474&amp;"|"&amp;B474</f>
        <v/>
      </c>
    </row>
    <row r="475" ht="15" customHeight="1">
      <c r="A475" s="5" t="n"/>
      <c r="B475" s="5" t="n"/>
      <c r="C475" s="5" t="n"/>
      <c r="D475" s="5" t="n"/>
      <c r="E475">
        <f>A475&amp;"|"&amp;B475</f>
        <v/>
      </c>
    </row>
    <row r="476" ht="15" customHeight="1">
      <c r="A476" s="5" t="n"/>
      <c r="B476" s="5" t="n"/>
      <c r="C476" s="5" t="n"/>
      <c r="D476" s="5" t="n"/>
      <c r="E476">
        <f>A476&amp;"|"&amp;B476</f>
        <v/>
      </c>
    </row>
    <row r="477" ht="15" customHeight="1">
      <c r="A477" s="5" t="n"/>
      <c r="B477" s="5" t="n"/>
      <c r="C477" s="5" t="n"/>
      <c r="D477" s="5" t="n"/>
      <c r="E477">
        <f>A477&amp;"|"&amp;B477</f>
        <v/>
      </c>
    </row>
    <row r="478" ht="15" customHeight="1">
      <c r="A478" s="5" t="n"/>
      <c r="B478" s="5" t="n"/>
      <c r="C478" s="5" t="n"/>
      <c r="D478" s="5" t="n"/>
      <c r="E478">
        <f>A478&amp;"|"&amp;B478</f>
        <v/>
      </c>
    </row>
    <row r="479" ht="15" customHeight="1">
      <c r="A479" s="5" t="n"/>
      <c r="B479" s="5" t="n"/>
      <c r="C479" s="5" t="n"/>
      <c r="D479" s="5" t="n"/>
      <c r="E479">
        <f>A479&amp;"|"&amp;B479</f>
        <v/>
      </c>
    </row>
    <row r="480" ht="15" customHeight="1">
      <c r="A480" s="5" t="n"/>
      <c r="B480" s="5" t="n"/>
      <c r="C480" s="5" t="n"/>
      <c r="D480" s="5" t="n"/>
      <c r="E480">
        <f>A480&amp;"|"&amp;B480</f>
        <v/>
      </c>
    </row>
    <row r="481" ht="15" customHeight="1">
      <c r="A481" s="5" t="n"/>
      <c r="B481" s="5" t="n"/>
      <c r="C481" s="5" t="n"/>
      <c r="D481" s="5" t="n"/>
      <c r="E481">
        <f>A481&amp;"|"&amp;B481</f>
        <v/>
      </c>
    </row>
    <row r="482" ht="15" customHeight="1">
      <c r="A482" s="5" t="n"/>
      <c r="B482" s="5" t="n"/>
      <c r="C482" s="5" t="n"/>
      <c r="D482" s="5" t="n"/>
      <c r="E482">
        <f>A482&amp;"|"&amp;B482</f>
        <v/>
      </c>
    </row>
    <row r="483" ht="15" customHeight="1">
      <c r="A483" s="5" t="n"/>
      <c r="B483" s="5" t="n"/>
      <c r="C483" s="5" t="n"/>
      <c r="D483" s="5" t="n"/>
      <c r="E483">
        <f>A483&amp;"|"&amp;B483</f>
        <v/>
      </c>
    </row>
    <row r="484" ht="15" customHeight="1">
      <c r="A484" s="5" t="n"/>
      <c r="B484" s="5" t="n"/>
      <c r="C484" s="5" t="n"/>
      <c r="D484" s="5" t="n"/>
      <c r="E484">
        <f>A484&amp;"|"&amp;B484</f>
        <v/>
      </c>
    </row>
    <row r="485" ht="15" customHeight="1">
      <c r="A485" s="5" t="n"/>
      <c r="B485" s="5" t="n"/>
      <c r="C485" s="5" t="n"/>
      <c r="D485" s="5" t="n"/>
      <c r="E485">
        <f>A485&amp;"|"&amp;B485</f>
        <v/>
      </c>
    </row>
    <row r="486" ht="15" customHeight="1">
      <c r="A486" s="5" t="n"/>
      <c r="B486" s="5" t="n"/>
      <c r="C486" s="5" t="n"/>
      <c r="D486" s="5" t="n"/>
      <c r="E486">
        <f>A486&amp;"|"&amp;B486</f>
        <v/>
      </c>
    </row>
    <row r="487" ht="15" customHeight="1">
      <c r="A487" s="5" t="n"/>
      <c r="B487" s="5" t="n"/>
      <c r="C487" s="5" t="n"/>
      <c r="D487" s="5" t="n"/>
      <c r="E487">
        <f>A487&amp;"|"&amp;B487</f>
        <v/>
      </c>
    </row>
    <row r="488" ht="15" customHeight="1">
      <c r="A488" s="5" t="n"/>
      <c r="B488" s="5" t="n"/>
      <c r="C488" s="5" t="n"/>
      <c r="D488" s="5" t="n"/>
      <c r="E488">
        <f>A488&amp;"|"&amp;B488</f>
        <v/>
      </c>
    </row>
    <row r="489" ht="15" customHeight="1">
      <c r="A489" s="5" t="n"/>
      <c r="B489" s="5" t="n"/>
      <c r="C489" s="5" t="n"/>
      <c r="D489" s="5" t="n"/>
      <c r="E489">
        <f>A489&amp;"|"&amp;B489</f>
        <v/>
      </c>
    </row>
    <row r="490" ht="15" customHeight="1">
      <c r="A490" s="5" t="n"/>
      <c r="B490" s="5" t="n"/>
      <c r="C490" s="5" t="n"/>
      <c r="D490" s="5" t="n"/>
      <c r="E490">
        <f>A490&amp;"|"&amp;B490</f>
        <v/>
      </c>
    </row>
    <row r="491" ht="15" customHeight="1">
      <c r="A491" s="5" t="n"/>
      <c r="B491" s="5" t="n"/>
      <c r="C491" s="5" t="n"/>
      <c r="D491" s="5" t="n"/>
      <c r="E491">
        <f>A491&amp;"|"&amp;B491</f>
        <v/>
      </c>
    </row>
    <row r="492" ht="15" customHeight="1">
      <c r="A492" s="5" t="n"/>
      <c r="B492" s="5" t="n"/>
      <c r="C492" s="5" t="n"/>
      <c r="D492" s="5" t="n"/>
      <c r="E492">
        <f>A492&amp;"|"&amp;B492</f>
        <v/>
      </c>
    </row>
    <row r="493" ht="15" customHeight="1">
      <c r="A493" s="5" t="n"/>
      <c r="B493" s="5" t="n"/>
      <c r="C493" s="5" t="n"/>
      <c r="D493" s="5" t="n"/>
      <c r="E493">
        <f>A493&amp;"|"&amp;B493</f>
        <v/>
      </c>
    </row>
    <row r="494" ht="15" customHeight="1">
      <c r="A494" s="5" t="n"/>
      <c r="B494" s="5" t="n"/>
      <c r="C494" s="5" t="n"/>
      <c r="D494" s="5" t="n"/>
      <c r="E494">
        <f>A494&amp;"|"&amp;B494</f>
        <v/>
      </c>
    </row>
    <row r="495" ht="15" customHeight="1">
      <c r="A495" s="5" t="n"/>
      <c r="B495" s="5" t="n"/>
      <c r="C495" s="5" t="n"/>
      <c r="D495" s="5" t="n"/>
      <c r="E495">
        <f>A495&amp;"|"&amp;B495</f>
        <v/>
      </c>
    </row>
    <row r="496" ht="15" customHeight="1">
      <c r="A496" s="5" t="n"/>
      <c r="B496" s="5" t="n"/>
      <c r="C496" s="5" t="n"/>
      <c r="D496" s="5" t="n"/>
      <c r="E496">
        <f>A496&amp;"|"&amp;B496</f>
        <v/>
      </c>
    </row>
    <row r="497" ht="15" customHeight="1">
      <c r="A497" s="5" t="n"/>
      <c r="B497" s="5" t="n"/>
      <c r="C497" s="5" t="n"/>
      <c r="D497" s="5" t="n"/>
      <c r="E497">
        <f>A497&amp;"|"&amp;B497</f>
        <v/>
      </c>
    </row>
    <row r="498" ht="15" customHeight="1">
      <c r="A498" s="5" t="n"/>
      <c r="B498" s="5" t="n"/>
      <c r="C498" s="5" t="n"/>
      <c r="D498" s="5" t="n"/>
      <c r="E498">
        <f>A498&amp;"|"&amp;B498</f>
        <v/>
      </c>
    </row>
    <row r="499" ht="15" customHeight="1">
      <c r="A499" s="5" t="n"/>
      <c r="B499" s="5" t="n"/>
      <c r="C499" s="5" t="n"/>
      <c r="D499" s="5" t="n"/>
      <c r="E499">
        <f>A499&amp;"|"&amp;B499</f>
        <v/>
      </c>
    </row>
    <row r="500" ht="15" customHeight="1">
      <c r="A500" s="5" t="n"/>
      <c r="B500" s="5" t="n"/>
      <c r="C500" s="5" t="n"/>
      <c r="D500" s="5" t="n"/>
      <c r="E500">
        <f>A500&amp;"|"&amp;B500</f>
        <v/>
      </c>
    </row>
    <row r="501" ht="15" customHeight="1">
      <c r="A501" s="5" t="n"/>
      <c r="B501" s="5" t="n"/>
      <c r="C501" s="5" t="n"/>
      <c r="D501" s="5" t="n"/>
      <c r="E501">
        <f>A501&amp;"|"&amp;B501</f>
        <v/>
      </c>
    </row>
    <row r="502" ht="15" customHeight="1">
      <c r="A502" s="5" t="n"/>
      <c r="B502" s="5" t="n"/>
      <c r="C502" s="5" t="n"/>
      <c r="D502" s="5" t="n"/>
      <c r="E502">
        <f>A502&amp;"|"&amp;B502</f>
        <v/>
      </c>
    </row>
    <row r="503" ht="15" customHeight="1">
      <c r="A503" s="5" t="n"/>
      <c r="B503" s="5" t="n"/>
      <c r="C503" s="5" t="n"/>
      <c r="D503" s="5" t="n"/>
      <c r="E503">
        <f>A503&amp;"|"&amp;B503</f>
        <v/>
      </c>
    </row>
    <row r="504" ht="15" customHeight="1">
      <c r="A504" s="5" t="n"/>
      <c r="B504" s="5" t="n"/>
      <c r="C504" s="5" t="n"/>
      <c r="D504" s="5" t="n"/>
      <c r="E504">
        <f>A504&amp;"|"&amp;B504</f>
        <v/>
      </c>
    </row>
    <row r="505" ht="15" customHeight="1">
      <c r="A505" s="5" t="n"/>
      <c r="B505" s="5" t="n"/>
      <c r="C505" s="5" t="n"/>
      <c r="D505" s="5" t="n"/>
      <c r="E505">
        <f>A505&amp;"|"&amp;B505</f>
        <v/>
      </c>
    </row>
    <row r="506" ht="15" customHeight="1">
      <c r="A506" s="5" t="n"/>
      <c r="B506" s="5" t="n"/>
      <c r="C506" s="5" t="n"/>
      <c r="D506" s="5" t="n"/>
      <c r="E506">
        <f>A506&amp;"|"&amp;B506</f>
        <v/>
      </c>
    </row>
    <row r="507" ht="15" customHeight="1">
      <c r="A507" s="5" t="n"/>
      <c r="B507" s="5" t="n"/>
      <c r="C507" s="5" t="n"/>
      <c r="D507" s="5" t="n"/>
      <c r="E507">
        <f>A507&amp;"|"&amp;B507</f>
        <v/>
      </c>
    </row>
    <row r="508" ht="15" customHeight="1">
      <c r="A508" s="5" t="n"/>
      <c r="B508" s="5" t="n"/>
      <c r="C508" s="5" t="n"/>
      <c r="D508" s="5" t="n"/>
      <c r="E508">
        <f>A508&amp;"|"&amp;B508</f>
        <v/>
      </c>
    </row>
    <row r="509" ht="15" customHeight="1">
      <c r="A509" s="5" t="n"/>
      <c r="B509" s="5" t="n"/>
      <c r="C509" s="5" t="n"/>
      <c r="D509" s="5" t="n"/>
      <c r="E509">
        <f>A509&amp;"|"&amp;B509</f>
        <v/>
      </c>
    </row>
    <row r="510" ht="15" customHeight="1">
      <c r="A510" s="5" t="n"/>
      <c r="B510" s="5" t="n"/>
      <c r="C510" s="5" t="n"/>
      <c r="D510" s="5" t="n"/>
      <c r="E510">
        <f>A510&amp;"|"&amp;B510</f>
        <v/>
      </c>
    </row>
    <row r="511" ht="15" customHeight="1">
      <c r="A511" s="5" t="n"/>
      <c r="B511" s="5" t="n"/>
      <c r="C511" s="5" t="n"/>
      <c r="D511" s="5" t="n"/>
      <c r="E511">
        <f>A511&amp;"|"&amp;B511</f>
        <v/>
      </c>
    </row>
    <row r="512" ht="15" customHeight="1">
      <c r="A512" s="5" t="n"/>
      <c r="B512" s="5" t="n"/>
      <c r="C512" s="5" t="n"/>
      <c r="D512" s="5" t="n"/>
      <c r="E512">
        <f>A512&amp;"|"&amp;B512</f>
        <v/>
      </c>
    </row>
    <row r="513" ht="15" customHeight="1">
      <c r="A513" s="5" t="n"/>
      <c r="B513" s="5" t="n"/>
      <c r="C513" s="5" t="n"/>
      <c r="D513" s="5" t="n"/>
      <c r="E513">
        <f>A513&amp;"|"&amp;B513</f>
        <v/>
      </c>
    </row>
    <row r="514" ht="15" customHeight="1">
      <c r="A514" s="5" t="n"/>
      <c r="B514" s="5" t="n"/>
      <c r="C514" s="5" t="n"/>
      <c r="D514" s="5" t="n"/>
      <c r="E514">
        <f>A514&amp;"|"&amp;B514</f>
        <v/>
      </c>
    </row>
    <row r="515" ht="15" customHeight="1">
      <c r="A515" s="5" t="n"/>
      <c r="B515" s="5" t="n"/>
      <c r="C515" s="5" t="n"/>
      <c r="D515" s="5" t="n"/>
      <c r="E515">
        <f>A515&amp;"|"&amp;B515</f>
        <v/>
      </c>
    </row>
    <row r="516" ht="15" customHeight="1">
      <c r="A516" s="5" t="n"/>
      <c r="B516" s="5" t="n"/>
      <c r="C516" s="5" t="n"/>
      <c r="D516" s="5" t="n"/>
      <c r="E516">
        <f>A516&amp;"|"&amp;B516</f>
        <v/>
      </c>
    </row>
    <row r="517" ht="15" customHeight="1">
      <c r="A517" s="5" t="n"/>
      <c r="B517" s="5" t="n"/>
      <c r="C517" s="5" t="n"/>
      <c r="D517" s="5" t="n"/>
      <c r="E517">
        <f>A517&amp;"|"&amp;B517</f>
        <v/>
      </c>
    </row>
    <row r="518" ht="15" customHeight="1">
      <c r="A518" s="5" t="n"/>
      <c r="B518" s="5" t="n"/>
      <c r="C518" s="5" t="n"/>
      <c r="D518" s="5" t="n"/>
      <c r="E518">
        <f>A518&amp;"|"&amp;B518</f>
        <v/>
      </c>
    </row>
    <row r="519" ht="15" customHeight="1">
      <c r="A519" s="5" t="n"/>
      <c r="B519" s="5" t="n"/>
      <c r="C519" s="5" t="n"/>
      <c r="D519" s="5" t="n"/>
      <c r="E519">
        <f>A519&amp;"|"&amp;B519</f>
        <v/>
      </c>
    </row>
    <row r="520" ht="15" customHeight="1">
      <c r="A520" s="5" t="n"/>
      <c r="B520" s="5" t="n"/>
      <c r="C520" s="5" t="n"/>
      <c r="D520" s="5" t="n"/>
      <c r="E520">
        <f>A520&amp;"|"&amp;B520</f>
        <v/>
      </c>
    </row>
    <row r="521" ht="15" customHeight="1">
      <c r="A521" s="5" t="n"/>
      <c r="B521" s="5" t="n"/>
      <c r="C521" s="5" t="n"/>
      <c r="D521" s="5" t="n"/>
      <c r="E521">
        <f>A521&amp;"|"&amp;B521</f>
        <v/>
      </c>
    </row>
    <row r="522" ht="15" customHeight="1">
      <c r="A522" s="5" t="n"/>
      <c r="B522" s="5" t="n"/>
      <c r="C522" s="5" t="n"/>
      <c r="D522" s="5" t="n"/>
      <c r="E522">
        <f>A522&amp;"|"&amp;B522</f>
        <v/>
      </c>
    </row>
    <row r="523" ht="15" customHeight="1">
      <c r="A523" s="5" t="n"/>
      <c r="B523" s="5" t="n"/>
      <c r="C523" s="5" t="n"/>
      <c r="D523" s="5" t="n"/>
      <c r="E523">
        <f>A523&amp;"|"&amp;B523</f>
        <v/>
      </c>
    </row>
    <row r="524" ht="15" customHeight="1">
      <c r="A524" s="5" t="n"/>
      <c r="B524" s="5" t="n"/>
      <c r="C524" s="5" t="n"/>
      <c r="D524" s="5" t="n"/>
      <c r="E524">
        <f>A524&amp;"|"&amp;B524</f>
        <v/>
      </c>
    </row>
    <row r="525" ht="15" customHeight="1">
      <c r="A525" s="5" t="n"/>
      <c r="B525" s="5" t="n"/>
      <c r="C525" s="5" t="n"/>
      <c r="D525" s="5" t="n"/>
      <c r="E525">
        <f>A525&amp;"|"&amp;B525</f>
        <v/>
      </c>
    </row>
    <row r="526" ht="15" customHeight="1">
      <c r="A526" s="5" t="n"/>
      <c r="B526" s="5" t="n"/>
      <c r="C526" s="5" t="n"/>
      <c r="D526" s="5" t="n"/>
      <c r="E526">
        <f>A526&amp;"|"&amp;B526</f>
        <v/>
      </c>
    </row>
    <row r="527" ht="15" customHeight="1">
      <c r="A527" s="5" t="n"/>
      <c r="B527" s="5" t="n"/>
      <c r="C527" s="5" t="n"/>
      <c r="D527" s="5" t="n"/>
      <c r="E527">
        <f>A527&amp;"|"&amp;B527</f>
        <v/>
      </c>
    </row>
    <row r="528" ht="15" customHeight="1">
      <c r="A528" s="5" t="n"/>
      <c r="B528" s="5" t="n"/>
      <c r="C528" s="5" t="n"/>
      <c r="D528" s="5" t="n"/>
      <c r="E528">
        <f>A528&amp;"|"&amp;B528</f>
        <v/>
      </c>
    </row>
    <row r="529" ht="15" customHeight="1">
      <c r="A529" s="5" t="n"/>
      <c r="B529" s="5" t="n"/>
      <c r="C529" s="5" t="n"/>
      <c r="D529" s="5" t="n"/>
      <c r="E529">
        <f>A529&amp;"|"&amp;B529</f>
        <v/>
      </c>
    </row>
    <row r="530" ht="15" customHeight="1">
      <c r="A530" s="5" t="n"/>
      <c r="B530" s="5" t="n"/>
      <c r="C530" s="5" t="n"/>
      <c r="D530" s="5" t="n"/>
      <c r="E530">
        <f>A530&amp;"|"&amp;B530</f>
        <v/>
      </c>
    </row>
    <row r="531" ht="15" customHeight="1">
      <c r="A531" s="5" t="n"/>
      <c r="B531" s="5" t="n"/>
      <c r="C531" s="5" t="n"/>
      <c r="D531" s="5" t="n"/>
      <c r="E531">
        <f>A531&amp;"|"&amp;B531</f>
        <v/>
      </c>
    </row>
    <row r="532" ht="15" customHeight="1">
      <c r="A532" s="5" t="n"/>
      <c r="B532" s="5" t="n"/>
      <c r="C532" s="5" t="n"/>
      <c r="D532" s="5" t="n"/>
      <c r="E532">
        <f>A532&amp;"|"&amp;B532</f>
        <v/>
      </c>
    </row>
    <row r="533" ht="15" customHeight="1">
      <c r="A533" s="5" t="n"/>
      <c r="B533" s="5" t="n"/>
      <c r="C533" s="5" t="n"/>
      <c r="D533" s="5" t="n"/>
      <c r="E533">
        <f>A533&amp;"|"&amp;B533</f>
        <v/>
      </c>
    </row>
    <row r="534" ht="15" customHeight="1">
      <c r="A534" s="5" t="n"/>
      <c r="B534" s="5" t="n"/>
      <c r="C534" s="5" t="n"/>
      <c r="D534" s="5" t="n"/>
      <c r="E534">
        <f>A534&amp;"|"&amp;B534</f>
        <v/>
      </c>
    </row>
    <row r="535" ht="15" customHeight="1">
      <c r="A535" s="5" t="n"/>
      <c r="B535" s="5" t="n"/>
      <c r="C535" s="5" t="n"/>
      <c r="D535" s="5" t="n"/>
      <c r="E535">
        <f>A535&amp;"|"&amp;B535</f>
        <v/>
      </c>
    </row>
    <row r="536" ht="15" customHeight="1">
      <c r="A536" s="5" t="n"/>
      <c r="B536" s="5" t="n"/>
      <c r="C536" s="5" t="n"/>
      <c r="D536" s="5" t="n"/>
      <c r="E536">
        <f>A536&amp;"|"&amp;B536</f>
        <v/>
      </c>
    </row>
    <row r="537" ht="15" customHeight="1">
      <c r="A537" s="5" t="n"/>
      <c r="B537" s="5" t="n"/>
      <c r="C537" s="5" t="n"/>
      <c r="D537" s="5" t="n"/>
      <c r="E537">
        <f>A537&amp;"|"&amp;B537</f>
        <v/>
      </c>
    </row>
    <row r="538" ht="15" customHeight="1">
      <c r="A538" s="5" t="n"/>
      <c r="B538" s="5" t="n"/>
      <c r="C538" s="5" t="n"/>
      <c r="D538" s="5" t="n"/>
      <c r="E538">
        <f>A538&amp;"|"&amp;B538</f>
        <v/>
      </c>
    </row>
    <row r="539" ht="15" customHeight="1">
      <c r="A539" s="5" t="n"/>
      <c r="B539" s="5" t="n"/>
      <c r="C539" s="5" t="n"/>
      <c r="D539" s="5" t="n"/>
      <c r="E539">
        <f>A539&amp;"|"&amp;B539</f>
        <v/>
      </c>
    </row>
    <row r="540" ht="15" customHeight="1">
      <c r="A540" s="5" t="n"/>
      <c r="B540" s="5" t="n"/>
      <c r="C540" s="5" t="n"/>
      <c r="D540" s="5" t="n"/>
      <c r="E540">
        <f>A540&amp;"|"&amp;B540</f>
        <v/>
      </c>
    </row>
    <row r="541" ht="15" customHeight="1">
      <c r="A541" s="5" t="n"/>
      <c r="B541" s="5" t="n"/>
      <c r="C541" s="5" t="n"/>
      <c r="D541" s="5" t="n"/>
      <c r="E541">
        <f>A541&amp;"|"&amp;B541</f>
        <v/>
      </c>
    </row>
    <row r="542" ht="15" customHeight="1">
      <c r="A542" s="5" t="n"/>
      <c r="B542" s="5" t="n"/>
      <c r="C542" s="5" t="n"/>
      <c r="D542" s="5" t="n"/>
      <c r="E542">
        <f>A542&amp;"|"&amp;B542</f>
        <v/>
      </c>
    </row>
    <row r="543" ht="15" customHeight="1">
      <c r="A543" s="5" t="n"/>
      <c r="B543" s="5" t="n"/>
      <c r="C543" s="5" t="n"/>
      <c r="D543" s="5" t="n"/>
      <c r="E543">
        <f>A543&amp;"|"&amp;B543</f>
        <v/>
      </c>
    </row>
    <row r="544" ht="15" customHeight="1">
      <c r="A544" s="5" t="n"/>
      <c r="B544" s="5" t="n"/>
      <c r="C544" s="5" t="n"/>
      <c r="D544" s="5" t="n"/>
      <c r="E544">
        <f>A544&amp;"|"&amp;B544</f>
        <v/>
      </c>
    </row>
    <row r="545" ht="15" customHeight="1">
      <c r="A545" s="5" t="n"/>
      <c r="B545" s="5" t="n"/>
      <c r="C545" s="5" t="n"/>
      <c r="D545" s="5" t="n"/>
      <c r="E545">
        <f>A545&amp;"|"&amp;B545</f>
        <v/>
      </c>
    </row>
    <row r="546" ht="15" customHeight="1">
      <c r="A546" s="5" t="n"/>
      <c r="B546" s="5" t="n"/>
      <c r="C546" s="5" t="n"/>
      <c r="D546" s="5" t="n"/>
      <c r="E546">
        <f>A546&amp;"|"&amp;B546</f>
        <v/>
      </c>
    </row>
    <row r="547" ht="15" customHeight="1">
      <c r="A547" s="5" t="n"/>
      <c r="B547" s="5" t="n"/>
      <c r="C547" s="5" t="n"/>
      <c r="D547" s="5" t="n"/>
      <c r="E547">
        <f>A547&amp;"|"&amp;B547</f>
        <v/>
      </c>
    </row>
    <row r="548" ht="15" customHeight="1">
      <c r="A548" s="5" t="n"/>
      <c r="B548" s="5" t="n"/>
      <c r="C548" s="5" t="n"/>
      <c r="D548" s="5" t="n"/>
      <c r="E548">
        <f>A548&amp;"|"&amp;B548</f>
        <v/>
      </c>
    </row>
    <row r="549" ht="15" customHeight="1">
      <c r="A549" s="5" t="n"/>
      <c r="B549" s="5" t="n"/>
      <c r="C549" s="5" t="n"/>
      <c r="D549" s="5" t="n"/>
      <c r="E549">
        <f>A549&amp;"|"&amp;B549</f>
        <v/>
      </c>
    </row>
    <row r="550" ht="15" customHeight="1">
      <c r="A550" s="5" t="n"/>
      <c r="B550" s="5" t="n"/>
      <c r="C550" s="5" t="n"/>
      <c r="D550" s="5" t="n"/>
      <c r="E550">
        <f>A550&amp;"|"&amp;B550</f>
        <v/>
      </c>
    </row>
    <row r="551" ht="15" customHeight="1">
      <c r="A551" s="5" t="n"/>
      <c r="B551" s="5" t="n"/>
      <c r="C551" s="5" t="n"/>
      <c r="D551" s="5" t="n"/>
      <c r="E551">
        <f>A551&amp;"|"&amp;B551</f>
        <v/>
      </c>
    </row>
    <row r="552" ht="15" customHeight="1">
      <c r="A552" s="5" t="n"/>
      <c r="B552" s="5" t="n"/>
      <c r="C552" s="5" t="n"/>
      <c r="D552" s="5" t="n"/>
      <c r="E552">
        <f>A552&amp;"|"&amp;B552</f>
        <v/>
      </c>
    </row>
    <row r="553" ht="15" customHeight="1">
      <c r="A553" s="5" t="n"/>
      <c r="B553" s="5" t="n"/>
      <c r="C553" s="5" t="n"/>
      <c r="D553" s="5" t="n"/>
      <c r="E553">
        <f>A553&amp;"|"&amp;B553</f>
        <v/>
      </c>
    </row>
    <row r="554" ht="15" customHeight="1">
      <c r="A554" s="5" t="n"/>
      <c r="B554" s="5" t="n"/>
      <c r="C554" s="5" t="n"/>
      <c r="D554" s="5" t="n"/>
      <c r="E554">
        <f>A554&amp;"|"&amp;B554</f>
        <v/>
      </c>
    </row>
    <row r="555" ht="15" customHeight="1">
      <c r="A555" s="5" t="n"/>
      <c r="B555" s="5" t="n"/>
      <c r="C555" s="5" t="n"/>
      <c r="D555" s="5" t="n"/>
      <c r="E555">
        <f>A555&amp;"|"&amp;B555</f>
        <v/>
      </c>
    </row>
    <row r="556" ht="15" customHeight="1">
      <c r="A556" s="5" t="n"/>
      <c r="B556" s="5" t="n"/>
      <c r="C556" s="5" t="n"/>
      <c r="D556" s="5" t="n"/>
      <c r="E556">
        <f>A556&amp;"|"&amp;B556</f>
        <v/>
      </c>
    </row>
    <row r="557" ht="15" customHeight="1">
      <c r="A557" s="5" t="n"/>
      <c r="B557" s="5" t="n"/>
      <c r="C557" s="5" t="n"/>
      <c r="D557" s="5" t="n"/>
      <c r="E557">
        <f>A557&amp;"|"&amp;B557</f>
        <v/>
      </c>
    </row>
    <row r="558" ht="15" customHeight="1">
      <c r="A558" s="5" t="n"/>
      <c r="B558" s="5" t="n"/>
      <c r="C558" s="5" t="n"/>
      <c r="D558" s="5" t="n"/>
      <c r="E558">
        <f>A558&amp;"|"&amp;B558</f>
        <v/>
      </c>
    </row>
    <row r="559" ht="15" customHeight="1">
      <c r="A559" s="5" t="n"/>
      <c r="B559" s="5" t="n"/>
      <c r="C559" s="5" t="n"/>
      <c r="D559" s="5" t="n"/>
      <c r="E559">
        <f>A559&amp;"|"&amp;B559</f>
        <v/>
      </c>
    </row>
    <row r="560" ht="15" customHeight="1">
      <c r="A560" s="5" t="n"/>
      <c r="B560" s="5" t="n"/>
      <c r="C560" s="5" t="n"/>
      <c r="D560" s="5" t="n"/>
      <c r="E560">
        <f>A560&amp;"|"&amp;B560</f>
        <v/>
      </c>
    </row>
    <row r="561" ht="15" customHeight="1">
      <c r="A561" s="5" t="n"/>
      <c r="B561" s="5" t="n"/>
      <c r="C561" s="5" t="n"/>
      <c r="D561" s="5" t="n"/>
      <c r="E561">
        <f>A561&amp;"|"&amp;B561</f>
        <v/>
      </c>
    </row>
    <row r="562" ht="15" customHeight="1">
      <c r="A562" s="5" t="n"/>
      <c r="B562" s="5" t="n"/>
      <c r="C562" s="5" t="n"/>
      <c r="D562" s="5" t="n"/>
      <c r="E562">
        <f>A562&amp;"|"&amp;B562</f>
        <v/>
      </c>
    </row>
    <row r="563" ht="15" customHeight="1">
      <c r="A563" s="5" t="n"/>
      <c r="B563" s="5" t="n"/>
      <c r="C563" s="5" t="n"/>
      <c r="D563" s="5" t="n"/>
      <c r="E563">
        <f>A563&amp;"|"&amp;B563</f>
        <v/>
      </c>
    </row>
    <row r="564" ht="15" customHeight="1">
      <c r="A564" s="5" t="n"/>
      <c r="B564" s="5" t="n"/>
      <c r="C564" s="5" t="n"/>
      <c r="D564" s="5" t="n"/>
      <c r="E564">
        <f>A564&amp;"|"&amp;B564</f>
        <v/>
      </c>
    </row>
    <row r="565" ht="15" customHeight="1">
      <c r="A565" s="5" t="n"/>
      <c r="B565" s="5" t="n"/>
      <c r="C565" s="5" t="n"/>
      <c r="D565" s="5" t="n"/>
      <c r="E565">
        <f>A565&amp;"|"&amp;B565</f>
        <v/>
      </c>
    </row>
    <row r="566" ht="15" customHeight="1">
      <c r="A566" s="5" t="n"/>
      <c r="B566" s="5" t="n"/>
      <c r="C566" s="5" t="n"/>
      <c r="D566" s="5" t="n"/>
      <c r="E566">
        <f>A566&amp;"|"&amp;B566</f>
        <v/>
      </c>
    </row>
    <row r="567" ht="15" customHeight="1">
      <c r="A567" s="5" t="n"/>
      <c r="B567" s="5" t="n"/>
      <c r="C567" s="5" t="n"/>
      <c r="D567" s="5" t="n"/>
      <c r="E567">
        <f>A567&amp;"|"&amp;B567</f>
        <v/>
      </c>
    </row>
    <row r="568" ht="15" customHeight="1">
      <c r="A568" s="5" t="n"/>
      <c r="B568" s="5" t="n"/>
      <c r="C568" s="5" t="n"/>
      <c r="D568" s="5" t="n"/>
      <c r="E568">
        <f>A568&amp;"|"&amp;B568</f>
        <v/>
      </c>
    </row>
    <row r="569" ht="15" customHeight="1">
      <c r="A569" s="5" t="n"/>
      <c r="B569" s="5" t="n"/>
      <c r="C569" s="5" t="n"/>
      <c r="D569" s="5" t="n"/>
      <c r="E569">
        <f>A569&amp;"|"&amp;B569</f>
        <v/>
      </c>
    </row>
    <row r="570" ht="15" customHeight="1">
      <c r="A570" s="5" t="n"/>
      <c r="B570" s="5" t="n"/>
      <c r="C570" s="5" t="n"/>
      <c r="D570" s="5" t="n"/>
      <c r="E570">
        <f>A570&amp;"|"&amp;B570</f>
        <v/>
      </c>
    </row>
    <row r="571" ht="15" customHeight="1">
      <c r="A571" s="5" t="n"/>
      <c r="B571" s="5" t="n"/>
      <c r="C571" s="5" t="n"/>
      <c r="D571" s="5" t="n"/>
      <c r="E571">
        <f>A571&amp;"|"&amp;B571</f>
        <v/>
      </c>
    </row>
    <row r="572" ht="15" customHeight="1">
      <c r="A572" s="5" t="n"/>
      <c r="B572" s="5" t="n"/>
      <c r="C572" s="5" t="n"/>
      <c r="D572" s="5" t="n"/>
      <c r="E572">
        <f>A572&amp;"|"&amp;B572</f>
        <v/>
      </c>
    </row>
    <row r="573" ht="15" customHeight="1">
      <c r="A573" s="5" t="n"/>
      <c r="B573" s="5" t="n"/>
      <c r="C573" s="5" t="n"/>
      <c r="D573" s="5" t="n"/>
      <c r="E573">
        <f>A573&amp;"|"&amp;B573</f>
        <v/>
      </c>
    </row>
    <row r="574" ht="15" customHeight="1">
      <c r="A574" s="5" t="n"/>
      <c r="B574" s="5" t="n"/>
      <c r="C574" s="5" t="n"/>
      <c r="D574" s="5" t="n"/>
      <c r="E574">
        <f>A574&amp;"|"&amp;B574</f>
        <v/>
      </c>
    </row>
    <row r="575" ht="15" customHeight="1">
      <c r="A575" s="5" t="n"/>
      <c r="B575" s="5" t="n"/>
      <c r="C575" s="5" t="n"/>
      <c r="D575" s="5" t="n"/>
      <c r="E575">
        <f>A575&amp;"|"&amp;B575</f>
        <v/>
      </c>
    </row>
    <row r="576" ht="15" customHeight="1">
      <c r="A576" s="5" t="n"/>
      <c r="B576" s="5" t="n"/>
      <c r="C576" s="5" t="n"/>
      <c r="D576" s="5" t="n"/>
      <c r="E576">
        <f>A576&amp;"|"&amp;B576</f>
        <v/>
      </c>
    </row>
    <row r="577" ht="15" customHeight="1">
      <c r="A577" s="5" t="n"/>
      <c r="B577" s="5" t="n"/>
      <c r="C577" s="5" t="n"/>
      <c r="D577" s="5" t="n"/>
      <c r="E577">
        <f>A577&amp;"|"&amp;B577</f>
        <v/>
      </c>
    </row>
    <row r="578" ht="15" customHeight="1">
      <c r="A578" s="5" t="n"/>
      <c r="B578" s="5" t="n"/>
      <c r="C578" s="5" t="n"/>
      <c r="D578" s="5" t="n"/>
      <c r="E578">
        <f>A578&amp;"|"&amp;B578</f>
        <v/>
      </c>
    </row>
    <row r="579" ht="15" customHeight="1">
      <c r="A579" s="5" t="n"/>
      <c r="B579" s="5" t="n"/>
      <c r="C579" s="5" t="n"/>
      <c r="D579" s="5" t="n"/>
      <c r="E579">
        <f>A579&amp;"|"&amp;B579</f>
        <v/>
      </c>
    </row>
    <row r="580" ht="15" customHeight="1">
      <c r="A580" s="5" t="n"/>
      <c r="B580" s="5" t="n"/>
      <c r="C580" s="5" t="n"/>
      <c r="D580" s="5" t="n"/>
      <c r="E580">
        <f>A580&amp;"|"&amp;B580</f>
        <v/>
      </c>
    </row>
    <row r="581" ht="15" customHeight="1">
      <c r="A581" s="5" t="n"/>
      <c r="B581" s="5" t="n"/>
      <c r="C581" s="5" t="n"/>
      <c r="D581" s="5" t="n"/>
      <c r="E581">
        <f>A581&amp;"|"&amp;B581</f>
        <v/>
      </c>
    </row>
    <row r="582" ht="15" customHeight="1">
      <c r="A582" s="5" t="n"/>
      <c r="B582" s="5" t="n"/>
      <c r="C582" s="5" t="n"/>
      <c r="D582" s="5" t="n"/>
      <c r="E582">
        <f>A582&amp;"|"&amp;B582</f>
        <v/>
      </c>
    </row>
    <row r="583" ht="15" customHeight="1">
      <c r="A583" s="5" t="n"/>
      <c r="B583" s="5" t="n"/>
      <c r="C583" s="5" t="n"/>
      <c r="D583" s="5" t="n"/>
      <c r="E583">
        <f>A583&amp;"|"&amp;B583</f>
        <v/>
      </c>
    </row>
    <row r="584" ht="15" customHeight="1">
      <c r="A584" s="5" t="n"/>
      <c r="B584" s="5" t="n"/>
      <c r="C584" s="5" t="n"/>
      <c r="D584" s="5" t="n"/>
      <c r="E584">
        <f>A584&amp;"|"&amp;B584</f>
        <v/>
      </c>
    </row>
    <row r="585" ht="15" customHeight="1">
      <c r="A585" s="5" t="n"/>
      <c r="B585" s="5" t="n"/>
      <c r="C585" s="5" t="n"/>
      <c r="D585" s="5" t="n"/>
      <c r="E585">
        <f>A585&amp;"|"&amp;B585</f>
        <v/>
      </c>
    </row>
    <row r="586" ht="15" customHeight="1">
      <c r="A586" s="5" t="n"/>
      <c r="B586" s="5" t="n"/>
      <c r="C586" s="5" t="n"/>
      <c r="D586" s="5" t="n"/>
      <c r="E586">
        <f>A586&amp;"|"&amp;B586</f>
        <v/>
      </c>
    </row>
    <row r="587" ht="15" customHeight="1">
      <c r="A587" s="5" t="n"/>
      <c r="B587" s="5" t="n"/>
      <c r="C587" s="5" t="n"/>
      <c r="D587" s="5" t="n"/>
      <c r="E587">
        <f>A587&amp;"|"&amp;B587</f>
        <v/>
      </c>
    </row>
    <row r="588" ht="15" customHeight="1">
      <c r="A588" s="5" t="n"/>
      <c r="B588" s="5" t="n"/>
      <c r="C588" s="5" t="n"/>
      <c r="D588" s="5" t="n"/>
      <c r="E588">
        <f>A588&amp;"|"&amp;B588</f>
        <v/>
      </c>
    </row>
    <row r="589" ht="15" customHeight="1">
      <c r="A589" s="5" t="n"/>
      <c r="B589" s="5" t="n"/>
      <c r="C589" s="5" t="n"/>
      <c r="D589" s="5" t="n"/>
      <c r="E589">
        <f>A589&amp;"|"&amp;B589</f>
        <v/>
      </c>
    </row>
    <row r="590" ht="15" customHeight="1">
      <c r="A590" s="5" t="n"/>
      <c r="B590" s="5" t="n"/>
      <c r="C590" s="5" t="n"/>
      <c r="D590" s="5" t="n"/>
      <c r="E590">
        <f>A590&amp;"|"&amp;B590</f>
        <v/>
      </c>
    </row>
    <row r="591" ht="15" customHeight="1">
      <c r="A591" s="5" t="n"/>
      <c r="B591" s="5" t="n"/>
      <c r="C591" s="5" t="n"/>
      <c r="D591" s="5" t="n"/>
      <c r="E591">
        <f>A591&amp;"|"&amp;B591</f>
        <v/>
      </c>
    </row>
    <row r="592" ht="15" customHeight="1">
      <c r="A592" s="5" t="n"/>
      <c r="B592" s="5" t="n"/>
      <c r="C592" s="5" t="n"/>
      <c r="D592" s="5" t="n"/>
      <c r="E592">
        <f>A592&amp;"|"&amp;B592</f>
        <v/>
      </c>
    </row>
    <row r="593" ht="15" customHeight="1">
      <c r="A593" s="5" t="n"/>
      <c r="B593" s="5" t="n"/>
      <c r="C593" s="5" t="n"/>
      <c r="D593" s="5" t="n"/>
      <c r="E593">
        <f>A593&amp;"|"&amp;B593</f>
        <v/>
      </c>
    </row>
    <row r="594" ht="15" customHeight="1">
      <c r="A594" s="5" t="n"/>
      <c r="B594" s="5" t="n"/>
      <c r="C594" s="5" t="n"/>
      <c r="D594" s="5" t="n"/>
      <c r="E594">
        <f>A594&amp;"|"&amp;B594</f>
        <v/>
      </c>
    </row>
    <row r="595" ht="15" customHeight="1">
      <c r="A595" s="5" t="n"/>
      <c r="B595" s="5" t="n"/>
      <c r="C595" s="5" t="n"/>
      <c r="D595" s="5" t="n"/>
      <c r="E595">
        <f>A595&amp;"|"&amp;B595</f>
        <v/>
      </c>
    </row>
    <row r="596" ht="15" customHeight="1">
      <c r="A596" s="5" t="n"/>
      <c r="B596" s="5" t="n"/>
      <c r="C596" s="5" t="n"/>
      <c r="D596" s="5" t="n"/>
      <c r="E596">
        <f>A596&amp;"|"&amp;B596</f>
        <v/>
      </c>
    </row>
    <row r="597" ht="15" customHeight="1">
      <c r="A597" s="5" t="n"/>
      <c r="B597" s="5" t="n"/>
      <c r="C597" s="5" t="n"/>
      <c r="D597" s="5" t="n"/>
      <c r="E597">
        <f>A597&amp;"|"&amp;B597</f>
        <v/>
      </c>
    </row>
    <row r="598" ht="15" customHeight="1">
      <c r="A598" s="5" t="n"/>
      <c r="B598" s="5" t="n"/>
      <c r="C598" s="5" t="n"/>
      <c r="D598" s="5" t="n"/>
      <c r="E598">
        <f>A598&amp;"|"&amp;B598</f>
        <v/>
      </c>
    </row>
    <row r="599" ht="15" customHeight="1">
      <c r="A599" s="5" t="n"/>
      <c r="B599" s="5" t="n"/>
      <c r="C599" s="5" t="n"/>
      <c r="D599" s="5" t="n"/>
      <c r="E599">
        <f>A599&amp;"|"&amp;B599</f>
        <v/>
      </c>
    </row>
    <row r="600" ht="15" customHeight="1">
      <c r="A600" s="5" t="n"/>
      <c r="B600" s="5" t="n"/>
      <c r="C600" s="5" t="n"/>
      <c r="D600" s="5" t="n"/>
      <c r="E600">
        <f>A600&amp;"|"&amp;B600</f>
        <v/>
      </c>
    </row>
    <row r="601" ht="15" customHeight="1">
      <c r="A601" s="5" t="n"/>
      <c r="B601" s="5" t="n"/>
      <c r="C601" s="5" t="n"/>
      <c r="D601" s="5" t="n"/>
      <c r="E601">
        <f>A601&amp;"|"&amp;B601</f>
        <v/>
      </c>
    </row>
    <row r="602" ht="15" customHeight="1">
      <c r="A602" s="5" t="n"/>
      <c r="B602" s="5" t="n"/>
      <c r="C602" s="5" t="n"/>
      <c r="D602" s="5" t="n"/>
      <c r="E602">
        <f>A602&amp;"|"&amp;B602</f>
        <v/>
      </c>
    </row>
    <row r="603" ht="15" customHeight="1">
      <c r="A603" s="5" t="n"/>
      <c r="B603" s="5" t="n"/>
      <c r="C603" s="5" t="n"/>
      <c r="D603" s="5" t="n"/>
      <c r="E603">
        <f>A603&amp;"|"&amp;B603</f>
        <v/>
      </c>
    </row>
    <row r="604" ht="15" customHeight="1">
      <c r="A604" s="5" t="n"/>
      <c r="B604" s="5" t="n"/>
      <c r="C604" s="5" t="n"/>
      <c r="D604" s="5" t="n"/>
      <c r="E604">
        <f>A604&amp;"|"&amp;B604</f>
        <v/>
      </c>
    </row>
    <row r="605" ht="15" customHeight="1">
      <c r="A605" s="5" t="n"/>
      <c r="B605" s="5" t="n"/>
      <c r="C605" s="5" t="n"/>
      <c r="D605" s="5" t="n"/>
      <c r="E605">
        <f>A605&amp;"|"&amp;B605</f>
        <v/>
      </c>
    </row>
    <row r="606" ht="15" customHeight="1">
      <c r="A606" s="5" t="n"/>
      <c r="B606" s="5" t="n"/>
      <c r="C606" s="5" t="n"/>
      <c r="D606" s="5" t="n"/>
      <c r="E606">
        <f>A606&amp;"|"&amp;B606</f>
        <v/>
      </c>
    </row>
    <row r="607" ht="15" customHeight="1">
      <c r="A607" s="5" t="n"/>
      <c r="B607" s="5" t="n"/>
      <c r="C607" s="5" t="n"/>
      <c r="D607" s="5" t="n"/>
      <c r="E607">
        <f>A607&amp;"|"&amp;B607</f>
        <v/>
      </c>
    </row>
    <row r="608" ht="15" customHeight="1">
      <c r="A608" s="5" t="n"/>
      <c r="B608" s="5" t="n"/>
      <c r="C608" s="5" t="n"/>
      <c r="D608" s="5" t="n"/>
      <c r="E608">
        <f>A608&amp;"|"&amp;B608</f>
        <v/>
      </c>
    </row>
    <row r="609" ht="15" customHeight="1">
      <c r="A609" s="5" t="n"/>
      <c r="B609" s="5" t="n"/>
      <c r="C609" s="5" t="n"/>
      <c r="D609" s="5" t="n"/>
      <c r="E609">
        <f>A609&amp;"|"&amp;B609</f>
        <v/>
      </c>
    </row>
    <row r="610" ht="15" customHeight="1">
      <c r="A610" s="5" t="n"/>
      <c r="B610" s="5" t="n"/>
      <c r="C610" s="5" t="n"/>
      <c r="D610" s="5" t="n"/>
      <c r="E610">
        <f>A610&amp;"|"&amp;B610</f>
        <v/>
      </c>
    </row>
    <row r="611" ht="15" customHeight="1">
      <c r="A611" s="5" t="n"/>
      <c r="B611" s="5" t="n"/>
      <c r="C611" s="5" t="n"/>
      <c r="D611" s="5" t="n"/>
      <c r="E611">
        <f>A611&amp;"|"&amp;B611</f>
        <v/>
      </c>
    </row>
    <row r="612" ht="15" customHeight="1">
      <c r="A612" s="5" t="n"/>
      <c r="B612" s="5" t="n"/>
      <c r="C612" s="5" t="n"/>
      <c r="D612" s="5" t="n"/>
      <c r="E612">
        <f>A612&amp;"|"&amp;B612</f>
        <v/>
      </c>
    </row>
    <row r="613" ht="15" customHeight="1">
      <c r="A613" s="5" t="n"/>
      <c r="B613" s="5" t="n"/>
      <c r="C613" s="5" t="n"/>
      <c r="D613" s="5" t="n"/>
      <c r="E613">
        <f>A613&amp;"|"&amp;B613</f>
        <v/>
      </c>
    </row>
    <row r="614" ht="15" customHeight="1">
      <c r="A614" s="5" t="n"/>
      <c r="B614" s="5" t="n"/>
      <c r="C614" s="5" t="n"/>
      <c r="D614" s="5" t="n"/>
      <c r="E614">
        <f>A614&amp;"|"&amp;B614</f>
        <v/>
      </c>
    </row>
    <row r="615" ht="15" customHeight="1">
      <c r="A615" s="5" t="n"/>
      <c r="B615" s="5" t="n"/>
      <c r="C615" s="5" t="n"/>
      <c r="D615" s="5" t="n"/>
      <c r="E615">
        <f>A615&amp;"|"&amp;B615</f>
        <v/>
      </c>
    </row>
    <row r="616" ht="15" customHeight="1">
      <c r="A616" s="5" t="n"/>
      <c r="B616" s="5" t="n"/>
      <c r="C616" s="5" t="n"/>
      <c r="D616" s="5" t="n"/>
      <c r="E616">
        <f>A616&amp;"|"&amp;B616</f>
        <v/>
      </c>
    </row>
    <row r="617" ht="15" customHeight="1">
      <c r="A617" s="5" t="n"/>
      <c r="B617" s="5" t="n"/>
      <c r="C617" s="5" t="n"/>
      <c r="D617" s="5" t="n"/>
      <c r="E617">
        <f>A617&amp;"|"&amp;B617</f>
        <v/>
      </c>
    </row>
    <row r="618" ht="15" customHeight="1">
      <c r="A618" s="5" t="n"/>
      <c r="B618" s="5" t="n"/>
      <c r="C618" s="5" t="n"/>
      <c r="D618" s="5" t="n"/>
      <c r="E618">
        <f>A618&amp;"|"&amp;B618</f>
        <v/>
      </c>
    </row>
    <row r="619" ht="15" customHeight="1">
      <c r="A619" s="5" t="n"/>
      <c r="B619" s="5" t="n"/>
      <c r="C619" s="5" t="n"/>
      <c r="D619" s="5" t="n"/>
      <c r="E619">
        <f>A619&amp;"|"&amp;B619</f>
        <v/>
      </c>
    </row>
    <row r="620" ht="15" customHeight="1">
      <c r="A620" s="5" t="n"/>
      <c r="B620" s="5" t="n"/>
      <c r="C620" s="5" t="n"/>
      <c r="D620" s="5" t="n"/>
      <c r="E620">
        <f>A620&amp;"|"&amp;B620</f>
        <v/>
      </c>
    </row>
    <row r="621" ht="15" customHeight="1">
      <c r="A621" s="5" t="n"/>
      <c r="B621" s="5" t="n"/>
      <c r="C621" s="5" t="n"/>
      <c r="D621" s="5" t="n"/>
      <c r="E621">
        <f>A621&amp;"|"&amp;B621</f>
        <v/>
      </c>
    </row>
    <row r="622" ht="15" customHeight="1">
      <c r="A622" s="5" t="n"/>
      <c r="B622" s="5" t="n"/>
      <c r="C622" s="5" t="n"/>
      <c r="D622" s="5" t="n"/>
      <c r="E622">
        <f>A622&amp;"|"&amp;B622</f>
        <v/>
      </c>
    </row>
    <row r="623" ht="15" customHeight="1">
      <c r="A623" s="5" t="n"/>
      <c r="B623" s="5" t="n"/>
      <c r="C623" s="5" t="n"/>
      <c r="D623" s="5" t="n"/>
      <c r="E623">
        <f>A623&amp;"|"&amp;B623</f>
        <v/>
      </c>
    </row>
    <row r="624" ht="15" customHeight="1">
      <c r="A624" s="5" t="n"/>
      <c r="B624" s="5" t="n"/>
      <c r="C624" s="5" t="n"/>
      <c r="D624" s="5" t="n"/>
      <c r="E624">
        <f>A624&amp;"|"&amp;B624</f>
        <v/>
      </c>
    </row>
    <row r="625" ht="15" customHeight="1">
      <c r="A625" s="5" t="n"/>
      <c r="B625" s="5" t="n"/>
      <c r="C625" s="5" t="n"/>
      <c r="D625" s="5" t="n"/>
      <c r="E625">
        <f>A625&amp;"|"&amp;B625</f>
        <v/>
      </c>
    </row>
    <row r="626" ht="15" customHeight="1">
      <c r="A626" s="5" t="n"/>
      <c r="B626" s="5" t="n"/>
      <c r="C626" s="5" t="n"/>
      <c r="D626" s="5" t="n"/>
      <c r="E626">
        <f>A626&amp;"|"&amp;B626</f>
        <v/>
      </c>
    </row>
    <row r="627" ht="15" customHeight="1">
      <c r="A627" s="5" t="n"/>
      <c r="B627" s="5" t="n"/>
      <c r="C627" s="5" t="n"/>
      <c r="D627" s="5" t="n"/>
      <c r="E627">
        <f>A627&amp;"|"&amp;B627</f>
        <v/>
      </c>
    </row>
    <row r="628" ht="15" customHeight="1">
      <c r="A628" s="5" t="n"/>
      <c r="B628" s="5" t="n"/>
      <c r="C628" s="5" t="n"/>
      <c r="D628" s="5" t="n"/>
      <c r="E628">
        <f>A628&amp;"|"&amp;B628</f>
        <v/>
      </c>
    </row>
    <row r="629" ht="15" customHeight="1">
      <c r="A629" s="5" t="n"/>
      <c r="B629" s="5" t="n"/>
      <c r="C629" s="5" t="n"/>
      <c r="D629" s="5" t="n"/>
      <c r="E629">
        <f>A629&amp;"|"&amp;B629</f>
        <v/>
      </c>
    </row>
    <row r="630" ht="15" customHeight="1">
      <c r="A630" s="5" t="n"/>
      <c r="B630" s="5" t="n"/>
      <c r="C630" s="5" t="n"/>
      <c r="D630" s="5" t="n"/>
      <c r="E630">
        <f>A630&amp;"|"&amp;B630</f>
        <v/>
      </c>
    </row>
    <row r="631" ht="15" customHeight="1">
      <c r="A631" s="5" t="n"/>
      <c r="B631" s="5" t="n"/>
      <c r="C631" s="5" t="n"/>
      <c r="D631" s="5" t="n"/>
      <c r="E631">
        <f>A631&amp;"|"&amp;B631</f>
        <v/>
      </c>
    </row>
    <row r="632" ht="15" customHeight="1">
      <c r="A632" s="5" t="n"/>
      <c r="B632" s="5" t="n"/>
      <c r="C632" s="5" t="n"/>
      <c r="D632" s="5" t="n"/>
      <c r="E632">
        <f>A632&amp;"|"&amp;B632</f>
        <v/>
      </c>
    </row>
    <row r="633" ht="15" customHeight="1">
      <c r="A633" s="5" t="n"/>
      <c r="B633" s="5" t="n"/>
      <c r="C633" s="5" t="n"/>
      <c r="D633" s="5" t="n"/>
      <c r="E633">
        <f>A633&amp;"|"&amp;B633</f>
        <v/>
      </c>
    </row>
    <row r="634" ht="15" customHeight="1">
      <c r="A634" s="5" t="n"/>
      <c r="B634" s="5" t="n"/>
      <c r="C634" s="5" t="n"/>
      <c r="D634" s="5" t="n"/>
      <c r="E634">
        <f>A634&amp;"|"&amp;B634</f>
        <v/>
      </c>
    </row>
    <row r="635" ht="15" customHeight="1">
      <c r="A635" s="5" t="n"/>
      <c r="B635" s="5" t="n"/>
      <c r="C635" s="5" t="n"/>
      <c r="D635" s="5" t="n"/>
      <c r="E635">
        <f>A635&amp;"|"&amp;B635</f>
        <v/>
      </c>
    </row>
    <row r="636" ht="15" customHeight="1">
      <c r="A636" s="5" t="n"/>
      <c r="B636" s="5" t="n"/>
      <c r="C636" s="5" t="n"/>
      <c r="D636" s="5" t="n"/>
      <c r="E636">
        <f>A636&amp;"|"&amp;B636</f>
        <v/>
      </c>
    </row>
    <row r="637" ht="15" customHeight="1">
      <c r="A637" s="5" t="n"/>
      <c r="B637" s="5" t="n"/>
      <c r="C637" s="5" t="n"/>
      <c r="D637" s="5" t="n"/>
      <c r="E637">
        <f>A637&amp;"|"&amp;B637</f>
        <v/>
      </c>
    </row>
    <row r="638" ht="15" customHeight="1">
      <c r="A638" s="5" t="n"/>
      <c r="B638" s="5" t="n"/>
      <c r="C638" s="5" t="n"/>
      <c r="D638" s="5" t="n"/>
      <c r="E638">
        <f>A638&amp;"|"&amp;B638</f>
        <v/>
      </c>
    </row>
    <row r="639" ht="15" customHeight="1">
      <c r="A639" s="5" t="n"/>
      <c r="B639" s="5" t="n"/>
      <c r="C639" s="5" t="n"/>
      <c r="D639" s="5" t="n"/>
      <c r="E639">
        <f>A639&amp;"|"&amp;B639</f>
        <v/>
      </c>
    </row>
    <row r="640" ht="15" customHeight="1">
      <c r="A640" s="5" t="n"/>
      <c r="B640" s="5" t="n"/>
      <c r="C640" s="5" t="n"/>
      <c r="D640" s="5" t="n"/>
      <c r="E640">
        <f>A640&amp;"|"&amp;B640</f>
        <v/>
      </c>
    </row>
    <row r="641" ht="15" customHeight="1">
      <c r="A641" s="5" t="n"/>
      <c r="B641" s="5" t="n"/>
      <c r="C641" s="5" t="n"/>
      <c r="D641" s="5" t="n"/>
      <c r="E641">
        <f>A641&amp;"|"&amp;B641</f>
        <v/>
      </c>
    </row>
    <row r="642" ht="15" customHeight="1">
      <c r="A642" s="5" t="n"/>
      <c r="B642" s="5" t="n"/>
      <c r="C642" s="5" t="n"/>
      <c r="D642" s="5" t="n"/>
      <c r="E642">
        <f>A642&amp;"|"&amp;B642</f>
        <v/>
      </c>
    </row>
    <row r="643" ht="15" customHeight="1">
      <c r="A643" s="5" t="n"/>
      <c r="B643" s="5" t="n"/>
      <c r="C643" s="5" t="n"/>
      <c r="D643" s="5" t="n"/>
      <c r="E643">
        <f>A643&amp;"|"&amp;B643</f>
        <v/>
      </c>
    </row>
    <row r="644" ht="15" customHeight="1">
      <c r="A644" s="5" t="n"/>
      <c r="B644" s="5" t="n"/>
      <c r="C644" s="5" t="n"/>
      <c r="D644" s="5" t="n"/>
      <c r="E644">
        <f>A644&amp;"|"&amp;B644</f>
        <v/>
      </c>
    </row>
    <row r="645" ht="15" customHeight="1">
      <c r="A645" s="5" t="n"/>
      <c r="B645" s="5" t="n"/>
      <c r="C645" s="5" t="n"/>
      <c r="D645" s="5" t="n"/>
      <c r="E645">
        <f>A645&amp;"|"&amp;B645</f>
        <v/>
      </c>
    </row>
    <row r="646" ht="15" customHeight="1">
      <c r="A646" s="5" t="n"/>
      <c r="B646" s="5" t="n"/>
      <c r="C646" s="5" t="n"/>
      <c r="D646" s="5" t="n"/>
      <c r="E646">
        <f>A646&amp;"|"&amp;B646</f>
        <v/>
      </c>
    </row>
    <row r="647" ht="15" customHeight="1">
      <c r="A647" s="5" t="n"/>
      <c r="B647" s="5" t="n"/>
      <c r="C647" s="5" t="n"/>
      <c r="D647" s="5" t="n"/>
      <c r="E647">
        <f>A647&amp;"|"&amp;B647</f>
        <v/>
      </c>
    </row>
    <row r="648" ht="15" customHeight="1">
      <c r="A648" s="5" t="n"/>
      <c r="B648" s="5" t="n"/>
      <c r="C648" s="5" t="n"/>
      <c r="D648" s="5" t="n"/>
      <c r="E648">
        <f>A648&amp;"|"&amp;B648</f>
        <v/>
      </c>
    </row>
    <row r="649" ht="15" customHeight="1">
      <c r="A649" s="5" t="n"/>
      <c r="B649" s="5" t="n"/>
      <c r="C649" s="5" t="n"/>
      <c r="D649" s="5" t="n"/>
      <c r="E649">
        <f>A649&amp;"|"&amp;B649</f>
        <v/>
      </c>
    </row>
    <row r="650" ht="15" customHeight="1">
      <c r="A650" s="5" t="n"/>
      <c r="B650" s="5" t="n"/>
      <c r="C650" s="5" t="n"/>
      <c r="D650" s="5" t="n"/>
      <c r="E650">
        <f>A650&amp;"|"&amp;B650</f>
        <v/>
      </c>
    </row>
    <row r="651" ht="15" customHeight="1">
      <c r="A651" s="5" t="n"/>
      <c r="B651" s="5" t="n"/>
      <c r="C651" s="5" t="n"/>
      <c r="D651" s="5" t="n"/>
      <c r="E651">
        <f>A651&amp;"|"&amp;B651</f>
        <v/>
      </c>
    </row>
    <row r="652" ht="15" customHeight="1">
      <c r="A652" s="5" t="n"/>
      <c r="B652" s="5" t="n"/>
      <c r="C652" s="5" t="n"/>
      <c r="D652" s="5" t="n"/>
      <c r="E652">
        <f>A652&amp;"|"&amp;B652</f>
        <v/>
      </c>
    </row>
    <row r="653" ht="15" customHeight="1">
      <c r="A653" s="5" t="n"/>
      <c r="B653" s="5" t="n"/>
      <c r="C653" s="5" t="n"/>
      <c r="D653" s="5" t="n"/>
      <c r="E653">
        <f>A653&amp;"|"&amp;B653</f>
        <v/>
      </c>
    </row>
    <row r="654" ht="15" customHeight="1">
      <c r="A654" s="5" t="n"/>
      <c r="B654" s="5" t="n"/>
      <c r="C654" s="5" t="n"/>
      <c r="D654" s="5" t="n"/>
      <c r="E654">
        <f>A654&amp;"|"&amp;B654</f>
        <v/>
      </c>
    </row>
    <row r="655" ht="15" customHeight="1">
      <c r="A655" s="5" t="n"/>
      <c r="B655" s="5" t="n"/>
      <c r="C655" s="5" t="n"/>
      <c r="D655" s="5" t="n"/>
      <c r="E655">
        <f>A655&amp;"|"&amp;B655</f>
        <v/>
      </c>
    </row>
    <row r="656" ht="15" customHeight="1">
      <c r="A656" s="5" t="n"/>
      <c r="B656" s="5" t="n"/>
      <c r="C656" s="5" t="n"/>
      <c r="D656" s="5" t="n"/>
      <c r="E656">
        <f>A656&amp;"|"&amp;B656</f>
        <v/>
      </c>
    </row>
    <row r="657" ht="15" customHeight="1">
      <c r="A657" s="5" t="n"/>
      <c r="B657" s="5" t="n"/>
      <c r="C657" s="5" t="n"/>
      <c r="D657" s="5" t="n"/>
      <c r="E657">
        <f>A657&amp;"|"&amp;B657</f>
        <v/>
      </c>
    </row>
    <row r="658" ht="15" customHeight="1">
      <c r="A658" s="5" t="n"/>
      <c r="B658" s="5" t="n"/>
      <c r="C658" s="5" t="n"/>
      <c r="D658" s="5" t="n"/>
      <c r="E658">
        <f>A658&amp;"|"&amp;B658</f>
        <v/>
      </c>
    </row>
    <row r="659" ht="15" customHeight="1">
      <c r="A659" s="5" t="n"/>
      <c r="B659" s="5" t="n"/>
      <c r="C659" s="5" t="n"/>
      <c r="D659" s="5" t="n"/>
      <c r="E659">
        <f>A659&amp;"|"&amp;B659</f>
        <v/>
      </c>
    </row>
    <row r="660" ht="15" customHeight="1">
      <c r="A660" s="5" t="n"/>
      <c r="B660" s="5" t="n"/>
      <c r="C660" s="5" t="n"/>
      <c r="D660" s="5" t="n"/>
      <c r="E660">
        <f>A660&amp;"|"&amp;B660</f>
        <v/>
      </c>
    </row>
    <row r="661" ht="15" customHeight="1">
      <c r="A661" s="5" t="n"/>
      <c r="B661" s="5" t="n"/>
      <c r="C661" s="5" t="n"/>
      <c r="D661" s="5" t="n"/>
      <c r="E661">
        <f>A661&amp;"|"&amp;B661</f>
        <v/>
      </c>
    </row>
    <row r="662" ht="15" customHeight="1">
      <c r="A662" s="5" t="n"/>
      <c r="B662" s="5" t="n"/>
      <c r="C662" s="5" t="n"/>
      <c r="D662" s="5" t="n"/>
      <c r="E662">
        <f>A662&amp;"|"&amp;B662</f>
        <v/>
      </c>
    </row>
    <row r="663" ht="15" customHeight="1">
      <c r="A663" s="5" t="n"/>
      <c r="B663" s="5" t="n"/>
      <c r="C663" s="5" t="n"/>
      <c r="D663" s="5" t="n"/>
      <c r="E663">
        <f>A663&amp;"|"&amp;B663</f>
        <v/>
      </c>
    </row>
    <row r="664" ht="15" customHeight="1">
      <c r="A664" s="5" t="n"/>
      <c r="B664" s="5" t="n"/>
      <c r="C664" s="5" t="n"/>
      <c r="D664" s="5" t="n"/>
      <c r="E664">
        <f>A664&amp;"|"&amp;B664</f>
        <v/>
      </c>
    </row>
    <row r="665" ht="15" customHeight="1">
      <c r="A665" s="5" t="n"/>
      <c r="B665" s="5" t="n"/>
      <c r="C665" s="5" t="n"/>
      <c r="D665" s="5" t="n"/>
      <c r="E665">
        <f>A665&amp;"|"&amp;B665</f>
        <v/>
      </c>
    </row>
    <row r="666" ht="15" customHeight="1">
      <c r="A666" s="5" t="n"/>
      <c r="B666" s="5" t="n"/>
      <c r="C666" s="5" t="n"/>
      <c r="D666" s="5" t="n"/>
      <c r="E666">
        <f>A666&amp;"|"&amp;B666</f>
        <v/>
      </c>
    </row>
    <row r="667" ht="15" customHeight="1">
      <c r="A667" s="5" t="n"/>
      <c r="B667" s="5" t="n"/>
      <c r="C667" s="5" t="n"/>
      <c r="D667" s="5" t="n"/>
      <c r="E667">
        <f>A667&amp;"|"&amp;B667</f>
        <v/>
      </c>
    </row>
    <row r="668" ht="15" customHeight="1">
      <c r="A668" s="5" t="n"/>
      <c r="B668" s="5" t="n"/>
      <c r="C668" s="5" t="n"/>
      <c r="D668" s="5" t="n"/>
      <c r="E668">
        <f>A668&amp;"|"&amp;B668</f>
        <v/>
      </c>
    </row>
    <row r="669" ht="15" customHeight="1">
      <c r="A669" s="5" t="n"/>
      <c r="B669" s="5" t="n"/>
      <c r="C669" s="5" t="n"/>
      <c r="D669" s="5" t="n"/>
      <c r="E669">
        <f>A669&amp;"|"&amp;B669</f>
        <v/>
      </c>
    </row>
    <row r="670" ht="15" customHeight="1">
      <c r="A670" s="5" t="n"/>
      <c r="B670" s="5" t="n"/>
      <c r="C670" s="5" t="n"/>
      <c r="D670" s="5" t="n"/>
      <c r="E670">
        <f>A670&amp;"|"&amp;B670</f>
        <v/>
      </c>
    </row>
    <row r="671" ht="15" customHeight="1">
      <c r="A671" s="5" t="n"/>
      <c r="B671" s="5" t="n"/>
      <c r="C671" s="5" t="n"/>
      <c r="D671" s="5" t="n"/>
      <c r="E671">
        <f>A671&amp;"|"&amp;B671</f>
        <v/>
      </c>
    </row>
    <row r="672" ht="15" customHeight="1">
      <c r="A672" s="5" t="n"/>
      <c r="B672" s="5" t="n"/>
      <c r="C672" s="5" t="n"/>
      <c r="D672" s="5" t="n"/>
      <c r="E672">
        <f>A672&amp;"|"&amp;B672</f>
        <v/>
      </c>
    </row>
    <row r="673" ht="15" customHeight="1">
      <c r="A673" s="5" t="n"/>
      <c r="B673" s="5" t="n"/>
      <c r="C673" s="5" t="n"/>
      <c r="D673" s="5" t="n"/>
      <c r="E673">
        <f>A673&amp;"|"&amp;B673</f>
        <v/>
      </c>
    </row>
    <row r="674" ht="15" customHeight="1">
      <c r="A674" s="5" t="n"/>
      <c r="B674" s="5" t="n"/>
      <c r="C674" s="5" t="n"/>
      <c r="D674" s="5" t="n"/>
      <c r="E674">
        <f>A674&amp;"|"&amp;B674</f>
        <v/>
      </c>
    </row>
    <row r="675" ht="15" customHeight="1">
      <c r="A675" s="5" t="n"/>
      <c r="B675" s="5" t="n"/>
      <c r="C675" s="5" t="n"/>
      <c r="D675" s="5" t="n"/>
      <c r="E675">
        <f>A675&amp;"|"&amp;B675</f>
        <v/>
      </c>
    </row>
    <row r="676" ht="15" customHeight="1">
      <c r="A676" s="5" t="n"/>
      <c r="B676" s="5" t="n"/>
      <c r="C676" s="5" t="n"/>
      <c r="D676" s="5" t="n"/>
      <c r="E676">
        <f>A676&amp;"|"&amp;B676</f>
        <v/>
      </c>
    </row>
    <row r="677" ht="15" customHeight="1">
      <c r="A677" s="5" t="n"/>
      <c r="B677" s="5" t="n"/>
      <c r="C677" s="5" t="n"/>
      <c r="D677" s="5" t="n"/>
      <c r="E677">
        <f>A677&amp;"|"&amp;B677</f>
        <v/>
      </c>
    </row>
    <row r="678" ht="15" customHeight="1">
      <c r="A678" s="5" t="n"/>
      <c r="B678" s="5" t="n"/>
      <c r="C678" s="5" t="n"/>
      <c r="D678" s="5" t="n"/>
      <c r="E678">
        <f>A678&amp;"|"&amp;B678</f>
        <v/>
      </c>
    </row>
    <row r="679" ht="15" customHeight="1">
      <c r="A679" s="5" t="n"/>
      <c r="B679" s="5" t="n"/>
      <c r="C679" s="5" t="n"/>
      <c r="D679" s="5" t="n"/>
      <c r="E679">
        <f>A679&amp;"|"&amp;B679</f>
        <v/>
      </c>
    </row>
    <row r="680" ht="15" customHeight="1">
      <c r="A680" s="5" t="n"/>
      <c r="B680" s="5" t="n"/>
      <c r="C680" s="5" t="n"/>
      <c r="D680" s="5" t="n"/>
      <c r="E680">
        <f>A680&amp;"|"&amp;B680</f>
        <v/>
      </c>
    </row>
    <row r="681" ht="15" customHeight="1">
      <c r="A681" s="5" t="n"/>
      <c r="B681" s="5" t="n"/>
      <c r="C681" s="5" t="n"/>
      <c r="D681" s="5" t="n"/>
      <c r="E681">
        <f>A681&amp;"|"&amp;B681</f>
        <v/>
      </c>
    </row>
    <row r="682" ht="15" customHeight="1">
      <c r="A682" s="5" t="n"/>
      <c r="B682" s="5" t="n"/>
      <c r="C682" s="5" t="n"/>
      <c r="D682" s="5" t="n"/>
      <c r="E682">
        <f>A682&amp;"|"&amp;B682</f>
        <v/>
      </c>
    </row>
    <row r="683" ht="15" customHeight="1">
      <c r="A683" s="5" t="n"/>
      <c r="B683" s="5" t="n"/>
      <c r="C683" s="5" t="n"/>
      <c r="D683" s="5" t="n"/>
      <c r="E683">
        <f>A683&amp;"|"&amp;B683</f>
        <v/>
      </c>
    </row>
    <row r="684" ht="15" customHeight="1">
      <c r="A684" s="5" t="n"/>
      <c r="B684" s="5" t="n"/>
      <c r="C684" s="5" t="n"/>
      <c r="D684" s="5" t="n"/>
      <c r="E684">
        <f>A684&amp;"|"&amp;B684</f>
        <v/>
      </c>
    </row>
    <row r="685" ht="15" customHeight="1">
      <c r="A685" s="5" t="n"/>
      <c r="B685" s="5" t="n"/>
      <c r="C685" s="5" t="n"/>
      <c r="D685" s="5" t="n"/>
      <c r="E685">
        <f>A685&amp;"|"&amp;B685</f>
        <v/>
      </c>
    </row>
    <row r="686" ht="15" customHeight="1">
      <c r="A686" s="5" t="n"/>
      <c r="B686" s="5" t="n"/>
      <c r="C686" s="5" t="n"/>
      <c r="D686" s="5" t="n"/>
      <c r="E686">
        <f>A686&amp;"|"&amp;B686</f>
        <v/>
      </c>
    </row>
    <row r="687" ht="15" customHeight="1">
      <c r="A687" s="5" t="n"/>
      <c r="B687" s="5" t="n"/>
      <c r="C687" s="5" t="n"/>
      <c r="D687" s="5" t="n"/>
      <c r="E687">
        <f>A687&amp;"|"&amp;B687</f>
        <v/>
      </c>
    </row>
    <row r="688" ht="15" customHeight="1">
      <c r="A688" s="5" t="n"/>
      <c r="B688" s="5" t="n"/>
      <c r="C688" s="5" t="n"/>
      <c r="D688" s="5" t="n"/>
      <c r="E688">
        <f>A688&amp;"|"&amp;B688</f>
        <v/>
      </c>
    </row>
    <row r="689" ht="15" customHeight="1">
      <c r="A689" s="5" t="n"/>
      <c r="B689" s="5" t="n"/>
      <c r="C689" s="5" t="n"/>
      <c r="D689" s="5" t="n"/>
      <c r="E689">
        <f>A689&amp;"|"&amp;B689</f>
        <v/>
      </c>
    </row>
    <row r="690" ht="15" customHeight="1">
      <c r="A690" s="5" t="n"/>
      <c r="B690" s="5" t="n"/>
      <c r="C690" s="5" t="n"/>
      <c r="D690" s="5" t="n"/>
      <c r="E690">
        <f>A690&amp;"|"&amp;B690</f>
        <v/>
      </c>
    </row>
    <row r="691" ht="15" customHeight="1">
      <c r="A691" s="5" t="n"/>
      <c r="B691" s="5" t="n"/>
      <c r="C691" s="5" t="n"/>
      <c r="D691" s="5" t="n"/>
      <c r="E691">
        <f>A691&amp;"|"&amp;B691</f>
        <v/>
      </c>
    </row>
    <row r="692" ht="15" customHeight="1">
      <c r="A692" s="5" t="n"/>
      <c r="B692" s="5" t="n"/>
      <c r="C692" s="5" t="n"/>
      <c r="D692" s="5" t="n"/>
      <c r="E692">
        <f>A692&amp;"|"&amp;B692</f>
        <v/>
      </c>
    </row>
    <row r="693" ht="15" customHeight="1">
      <c r="A693" s="5" t="n"/>
      <c r="B693" s="5" t="n"/>
      <c r="C693" s="5" t="n"/>
      <c r="D693" s="5" t="n"/>
      <c r="E693">
        <f>A693&amp;"|"&amp;B693</f>
        <v/>
      </c>
    </row>
    <row r="694" ht="15" customHeight="1">
      <c r="A694" s="5" t="n"/>
      <c r="B694" s="5" t="n"/>
      <c r="C694" s="5" t="n"/>
      <c r="D694" s="5" t="n"/>
      <c r="E694">
        <f>A694&amp;"|"&amp;B694</f>
        <v/>
      </c>
    </row>
    <row r="695" ht="15" customHeight="1">
      <c r="A695" s="5" t="n"/>
      <c r="B695" s="5" t="n"/>
      <c r="C695" s="5" t="n"/>
      <c r="D695" s="5" t="n"/>
      <c r="E695">
        <f>A695&amp;"|"&amp;B695</f>
        <v/>
      </c>
    </row>
    <row r="696" ht="15" customHeight="1">
      <c r="A696" s="5" t="n"/>
      <c r="B696" s="5" t="n"/>
      <c r="C696" s="5" t="n"/>
      <c r="D696" s="5" t="n"/>
      <c r="E696">
        <f>A696&amp;"|"&amp;B696</f>
        <v/>
      </c>
    </row>
    <row r="697" ht="15" customHeight="1">
      <c r="A697" s="5" t="n"/>
      <c r="B697" s="5" t="n"/>
      <c r="C697" s="5" t="n"/>
      <c r="D697" s="5" t="n"/>
      <c r="E697">
        <f>A697&amp;"|"&amp;B697</f>
        <v/>
      </c>
    </row>
    <row r="698" ht="15" customHeight="1">
      <c r="A698" s="5" t="n"/>
      <c r="B698" s="5" t="n"/>
      <c r="C698" s="5" t="n"/>
      <c r="D698" s="5" t="n"/>
      <c r="E698">
        <f>A698&amp;"|"&amp;B698</f>
        <v/>
      </c>
    </row>
    <row r="699" ht="15" customHeight="1">
      <c r="A699" s="5" t="n"/>
      <c r="B699" s="5" t="n"/>
      <c r="C699" s="5" t="n"/>
      <c r="D699" s="5" t="n"/>
      <c r="E699">
        <f>A699&amp;"|"&amp;B699</f>
        <v/>
      </c>
    </row>
    <row r="700" ht="15" customHeight="1">
      <c r="A700" s="5" t="n"/>
      <c r="B700" s="5" t="n"/>
      <c r="C700" s="5" t="n"/>
      <c r="D700" s="5" t="n"/>
      <c r="E700">
        <f>A700&amp;"|"&amp;B700</f>
        <v/>
      </c>
    </row>
    <row r="701" ht="15" customHeight="1">
      <c r="A701" s="5" t="n"/>
      <c r="B701" s="5" t="n"/>
      <c r="C701" s="5" t="n"/>
      <c r="D701" s="5" t="n"/>
      <c r="E701">
        <f>A701&amp;"|"&amp;B701</f>
        <v/>
      </c>
    </row>
    <row r="702" ht="15" customHeight="1">
      <c r="A702" s="5" t="n"/>
      <c r="B702" s="5" t="n"/>
      <c r="C702" s="5" t="n"/>
      <c r="D702" s="5" t="n"/>
      <c r="E702">
        <f>A702&amp;"|"&amp;B702</f>
        <v/>
      </c>
    </row>
    <row r="703" ht="15" customHeight="1">
      <c r="A703" s="5" t="n"/>
      <c r="B703" s="5" t="n"/>
      <c r="C703" s="5" t="n"/>
      <c r="D703" s="5" t="n"/>
      <c r="E703">
        <f>A703&amp;"|"&amp;B703</f>
        <v/>
      </c>
    </row>
    <row r="704" ht="15" customHeight="1">
      <c r="A704" s="5" t="n"/>
      <c r="B704" s="5" t="n"/>
      <c r="C704" s="5" t="n"/>
      <c r="D704" s="5" t="n"/>
      <c r="E704">
        <f>A704&amp;"|"&amp;B704</f>
        <v/>
      </c>
    </row>
    <row r="705" ht="15" customHeight="1">
      <c r="A705" s="5" t="n"/>
      <c r="B705" s="5" t="n"/>
      <c r="C705" s="5" t="n"/>
      <c r="D705" s="5" t="n"/>
      <c r="E705">
        <f>A705&amp;"|"&amp;B705</f>
        <v/>
      </c>
    </row>
    <row r="706" ht="15" customHeight="1">
      <c r="A706" s="5" t="n"/>
      <c r="B706" s="5" t="n"/>
      <c r="C706" s="5" t="n"/>
      <c r="D706" s="5" t="n"/>
      <c r="E706">
        <f>A706&amp;"|"&amp;B706</f>
        <v/>
      </c>
    </row>
    <row r="707" ht="15" customHeight="1">
      <c r="A707" s="5" t="n"/>
      <c r="B707" s="5" t="n"/>
      <c r="C707" s="5" t="n"/>
      <c r="D707" s="5" t="n"/>
      <c r="E707">
        <f>A707&amp;"|"&amp;B707</f>
        <v/>
      </c>
    </row>
    <row r="708" ht="15" customHeight="1">
      <c r="A708" s="5" t="n"/>
      <c r="B708" s="5" t="n"/>
      <c r="C708" s="5" t="n"/>
      <c r="D708" s="5" t="n"/>
      <c r="E708">
        <f>A708&amp;"|"&amp;B708</f>
        <v/>
      </c>
    </row>
    <row r="709" ht="15" customHeight="1">
      <c r="A709" s="5" t="n"/>
      <c r="B709" s="5" t="n"/>
      <c r="C709" s="5" t="n"/>
      <c r="D709" s="5" t="n"/>
      <c r="E709">
        <f>A709&amp;"|"&amp;B709</f>
        <v/>
      </c>
    </row>
    <row r="710" ht="15" customHeight="1">
      <c r="A710" s="5" t="n"/>
      <c r="B710" s="5" t="n"/>
      <c r="C710" s="5" t="n"/>
      <c r="D710" s="5" t="n"/>
      <c r="E710">
        <f>A710&amp;"|"&amp;B710</f>
        <v/>
      </c>
    </row>
    <row r="711" ht="15" customHeight="1">
      <c r="A711" s="5" t="n"/>
      <c r="B711" s="5" t="n"/>
      <c r="C711" s="5" t="n"/>
      <c r="D711" s="5" t="n"/>
      <c r="E711">
        <f>A711&amp;"|"&amp;B711</f>
        <v/>
      </c>
    </row>
    <row r="712" ht="15" customHeight="1">
      <c r="A712" s="5" t="n"/>
      <c r="B712" s="5" t="n"/>
      <c r="C712" s="5" t="n"/>
      <c r="D712" s="5" t="n"/>
      <c r="E712">
        <f>A712&amp;"|"&amp;B712</f>
        <v/>
      </c>
    </row>
    <row r="713" ht="15" customHeight="1">
      <c r="A713" s="5" t="n"/>
      <c r="B713" s="5" t="n"/>
      <c r="C713" s="5" t="n"/>
      <c r="D713" s="5" t="n"/>
      <c r="E713">
        <f>A713&amp;"|"&amp;B713</f>
        <v/>
      </c>
    </row>
    <row r="714" ht="15" customHeight="1">
      <c r="A714" s="5" t="n"/>
      <c r="B714" s="5" t="n"/>
      <c r="C714" s="5" t="n"/>
      <c r="D714" s="5" t="n"/>
      <c r="E714">
        <f>A714&amp;"|"&amp;B714</f>
        <v/>
      </c>
    </row>
    <row r="715" ht="15" customHeight="1">
      <c r="A715" s="5" t="n"/>
      <c r="B715" s="5" t="n"/>
      <c r="C715" s="5" t="n"/>
      <c r="D715" s="5" t="n"/>
      <c r="E715">
        <f>A715&amp;"|"&amp;B715</f>
        <v/>
      </c>
    </row>
    <row r="716" ht="15" customHeight="1">
      <c r="A716" s="5" t="n"/>
      <c r="B716" s="5" t="n"/>
      <c r="C716" s="5" t="n"/>
      <c r="D716" s="5" t="n"/>
      <c r="E716">
        <f>A716&amp;"|"&amp;B716</f>
        <v/>
      </c>
    </row>
    <row r="717" ht="15" customHeight="1">
      <c r="A717" s="5" t="n"/>
      <c r="B717" s="5" t="n"/>
      <c r="C717" s="5" t="n"/>
      <c r="D717" s="5" t="n"/>
      <c r="E717">
        <f>A717&amp;"|"&amp;B717</f>
        <v/>
      </c>
    </row>
    <row r="718" ht="15" customHeight="1">
      <c r="A718" s="5" t="n"/>
      <c r="B718" s="5" t="n"/>
      <c r="C718" s="5" t="n"/>
      <c r="D718" s="5" t="n"/>
      <c r="E718">
        <f>A718&amp;"|"&amp;B718</f>
        <v/>
      </c>
    </row>
    <row r="719" ht="15" customHeight="1">
      <c r="A719" s="5" t="n"/>
      <c r="B719" s="5" t="n"/>
      <c r="C719" s="5" t="n"/>
      <c r="D719" s="5" t="n"/>
      <c r="E719">
        <f>A719&amp;"|"&amp;B719</f>
        <v/>
      </c>
    </row>
    <row r="720" ht="15" customHeight="1">
      <c r="A720" s="5" t="n"/>
      <c r="B720" s="5" t="n"/>
      <c r="C720" s="5" t="n"/>
      <c r="D720" s="5" t="n"/>
      <c r="E720">
        <f>A720&amp;"|"&amp;B720</f>
        <v/>
      </c>
    </row>
    <row r="721" ht="15" customHeight="1">
      <c r="A721" s="5" t="n"/>
      <c r="B721" s="5" t="n"/>
      <c r="C721" s="5" t="n"/>
      <c r="D721" s="5" t="n"/>
      <c r="E721">
        <f>A721&amp;"|"&amp;B721</f>
        <v/>
      </c>
    </row>
    <row r="722" ht="15" customHeight="1">
      <c r="A722" s="5" t="n"/>
      <c r="B722" s="5" t="n"/>
      <c r="C722" s="5" t="n"/>
      <c r="D722" s="5" t="n"/>
      <c r="E722">
        <f>A722&amp;"|"&amp;B722</f>
        <v/>
      </c>
    </row>
    <row r="723" ht="15" customHeight="1">
      <c r="A723" s="5" t="n"/>
      <c r="B723" s="5" t="n"/>
      <c r="C723" s="5" t="n"/>
      <c r="D723" s="5" t="n"/>
      <c r="E723">
        <f>A723&amp;"|"&amp;B723</f>
        <v/>
      </c>
    </row>
    <row r="724" ht="15" customHeight="1">
      <c r="A724" s="5" t="n"/>
      <c r="B724" s="5" t="n"/>
      <c r="C724" s="5" t="n"/>
      <c r="D724" s="5" t="n"/>
      <c r="E724">
        <f>A724&amp;"|"&amp;B724</f>
        <v/>
      </c>
    </row>
    <row r="725" ht="15" customHeight="1">
      <c r="A725" s="5" t="n"/>
      <c r="B725" s="5" t="n"/>
      <c r="C725" s="5" t="n"/>
      <c r="D725" s="5" t="n"/>
      <c r="E725">
        <f>A725&amp;"|"&amp;B725</f>
        <v/>
      </c>
    </row>
    <row r="726" ht="15" customHeight="1">
      <c r="A726" s="5" t="n"/>
      <c r="B726" s="5" t="n"/>
      <c r="C726" s="5" t="n"/>
      <c r="D726" s="5" t="n"/>
      <c r="E726">
        <f>A726&amp;"|"&amp;B726</f>
        <v/>
      </c>
    </row>
    <row r="727" ht="15" customHeight="1">
      <c r="A727" s="5" t="n"/>
      <c r="B727" s="5" t="n"/>
      <c r="C727" s="5" t="n"/>
      <c r="D727" s="5" t="n"/>
      <c r="E727">
        <f>A727&amp;"|"&amp;B727</f>
        <v/>
      </c>
    </row>
    <row r="728" ht="15" customHeight="1">
      <c r="A728" s="5" t="n"/>
      <c r="B728" s="5" t="n"/>
      <c r="C728" s="5" t="n"/>
      <c r="D728" s="5" t="n"/>
      <c r="E728">
        <f>A728&amp;"|"&amp;B728</f>
        <v/>
      </c>
    </row>
    <row r="729" ht="15" customHeight="1">
      <c r="A729" s="5" t="n"/>
      <c r="B729" s="5" t="n"/>
      <c r="C729" s="5" t="n"/>
      <c r="D729" s="5" t="n"/>
      <c r="E729">
        <f>A729&amp;"|"&amp;B729</f>
        <v/>
      </c>
    </row>
    <row r="730" ht="15" customHeight="1">
      <c r="A730" s="5" t="n"/>
      <c r="B730" s="5" t="n"/>
      <c r="C730" s="5" t="n"/>
      <c r="D730" s="5" t="n"/>
      <c r="E730">
        <f>A730&amp;"|"&amp;B730</f>
        <v/>
      </c>
    </row>
    <row r="731" ht="15" customHeight="1">
      <c r="A731" s="5" t="n"/>
      <c r="B731" s="5" t="n"/>
      <c r="C731" s="5" t="n"/>
      <c r="D731" s="5" t="n"/>
      <c r="E731">
        <f>A731&amp;"|"&amp;B731</f>
        <v/>
      </c>
    </row>
    <row r="732" ht="15" customHeight="1">
      <c r="A732" s="5" t="n"/>
      <c r="B732" s="5" t="n"/>
      <c r="C732" s="5" t="n"/>
      <c r="D732" s="5" t="n"/>
      <c r="E732">
        <f>A732&amp;"|"&amp;B732</f>
        <v/>
      </c>
    </row>
    <row r="733" ht="15" customHeight="1">
      <c r="A733" s="5" t="n"/>
      <c r="B733" s="5" t="n"/>
      <c r="C733" s="5" t="n"/>
      <c r="D733" s="5" t="n"/>
      <c r="E733">
        <f>A733&amp;"|"&amp;B733</f>
        <v/>
      </c>
    </row>
    <row r="734" ht="15" customHeight="1">
      <c r="A734" s="5" t="n"/>
      <c r="B734" s="5" t="n"/>
      <c r="C734" s="5" t="n"/>
      <c r="D734" s="5" t="n"/>
      <c r="E734">
        <f>A734&amp;"|"&amp;B734</f>
        <v/>
      </c>
    </row>
    <row r="735" ht="15" customHeight="1">
      <c r="A735" s="5" t="n"/>
      <c r="B735" s="5" t="n"/>
      <c r="C735" s="5" t="n"/>
      <c r="D735" s="5" t="n"/>
      <c r="E735">
        <f>A735&amp;"|"&amp;B735</f>
        <v/>
      </c>
    </row>
    <row r="736" ht="15" customHeight="1">
      <c r="A736" s="5" t="n"/>
      <c r="B736" s="5" t="n"/>
      <c r="C736" s="5" t="n"/>
      <c r="D736" s="5" t="n"/>
      <c r="E736">
        <f>A736&amp;"|"&amp;B736</f>
        <v/>
      </c>
    </row>
    <row r="737" ht="15" customHeight="1">
      <c r="A737" s="5" t="n"/>
      <c r="B737" s="5" t="n"/>
      <c r="C737" s="5" t="n"/>
      <c r="D737" s="5" t="n"/>
      <c r="E737">
        <f>A737&amp;"|"&amp;B737</f>
        <v/>
      </c>
    </row>
    <row r="738" ht="15" customHeight="1">
      <c r="A738" s="5" t="n"/>
      <c r="B738" s="5" t="n"/>
      <c r="C738" s="5" t="n"/>
      <c r="D738" s="5" t="n"/>
      <c r="E738">
        <f>A738&amp;"|"&amp;B738</f>
        <v/>
      </c>
    </row>
    <row r="739" ht="15" customHeight="1">
      <c r="A739" s="5" t="n"/>
      <c r="B739" s="5" t="n"/>
      <c r="C739" s="5" t="n"/>
      <c r="D739" s="5" t="n"/>
      <c r="E739">
        <f>A739&amp;"|"&amp;B739</f>
        <v/>
      </c>
    </row>
    <row r="740" ht="15" customHeight="1">
      <c r="A740" s="5" t="n"/>
      <c r="B740" s="5" t="n"/>
      <c r="C740" s="5" t="n"/>
      <c r="D740" s="5" t="n"/>
      <c r="E740">
        <f>A740&amp;"|"&amp;B740</f>
        <v/>
      </c>
    </row>
    <row r="741" ht="15" customHeight="1">
      <c r="A741" s="5" t="n"/>
      <c r="B741" s="5" t="n"/>
      <c r="C741" s="5" t="n"/>
      <c r="D741" s="5" t="n"/>
      <c r="E741">
        <f>A741&amp;"|"&amp;B741</f>
        <v/>
      </c>
    </row>
    <row r="742" ht="15" customHeight="1">
      <c r="A742" s="5" t="n"/>
      <c r="B742" s="5" t="n"/>
      <c r="C742" s="5" t="n"/>
      <c r="D742" s="5" t="n"/>
      <c r="E742">
        <f>A742&amp;"|"&amp;B742</f>
        <v/>
      </c>
    </row>
    <row r="743" ht="15" customHeight="1">
      <c r="A743" s="5" t="n"/>
      <c r="B743" s="5" t="n"/>
      <c r="C743" s="5" t="n"/>
      <c r="D743" s="5" t="n"/>
      <c r="E743">
        <f>A743&amp;"|"&amp;B743</f>
        <v/>
      </c>
    </row>
    <row r="744" ht="15" customHeight="1">
      <c r="A744" s="5" t="n"/>
      <c r="B744" s="5" t="n"/>
      <c r="C744" s="5" t="n"/>
      <c r="D744" s="5" t="n"/>
      <c r="E744">
        <f>A744&amp;"|"&amp;B744</f>
        <v/>
      </c>
    </row>
    <row r="745" ht="15" customHeight="1">
      <c r="A745" s="5" t="n"/>
      <c r="B745" s="5" t="n"/>
      <c r="C745" s="5" t="n"/>
      <c r="D745" s="5" t="n"/>
      <c r="E745">
        <f>A745&amp;"|"&amp;B745</f>
        <v/>
      </c>
    </row>
    <row r="746" ht="15" customHeight="1">
      <c r="A746" s="5" t="n"/>
      <c r="B746" s="5" t="n"/>
      <c r="C746" s="5" t="n"/>
      <c r="D746" s="5" t="n"/>
      <c r="E746">
        <f>A746&amp;"|"&amp;B746</f>
        <v/>
      </c>
    </row>
    <row r="747" ht="15" customHeight="1">
      <c r="A747" s="5" t="n"/>
      <c r="B747" s="5" t="n"/>
      <c r="C747" s="5" t="n"/>
      <c r="D747" s="5" t="n"/>
      <c r="E747">
        <f>A747&amp;"|"&amp;B747</f>
        <v/>
      </c>
    </row>
    <row r="748" ht="15" customHeight="1">
      <c r="A748" s="5" t="n"/>
      <c r="B748" s="5" t="n"/>
      <c r="C748" s="5" t="n"/>
      <c r="D748" s="5" t="n"/>
      <c r="E748">
        <f>A748&amp;"|"&amp;B748</f>
        <v/>
      </c>
    </row>
    <row r="749" ht="15" customHeight="1">
      <c r="A749" s="5" t="n"/>
      <c r="B749" s="5" t="n"/>
      <c r="C749" s="5" t="n"/>
      <c r="D749" s="5" t="n"/>
      <c r="E749">
        <f>A749&amp;"|"&amp;B749</f>
        <v/>
      </c>
    </row>
    <row r="750" ht="15" customHeight="1">
      <c r="A750" s="5" t="n"/>
      <c r="B750" s="5" t="n"/>
      <c r="C750" s="5" t="n"/>
      <c r="D750" s="5" t="n"/>
      <c r="E750">
        <f>A750&amp;"|"&amp;B750</f>
        <v/>
      </c>
    </row>
    <row r="751" ht="15" customHeight="1">
      <c r="A751" s="5" t="n"/>
      <c r="B751" s="5" t="n"/>
      <c r="C751" s="5" t="n"/>
      <c r="D751" s="5" t="n"/>
      <c r="E751">
        <f>A751&amp;"|"&amp;B751</f>
        <v/>
      </c>
    </row>
    <row r="752" ht="15" customHeight="1">
      <c r="A752" s="5" t="n"/>
      <c r="B752" s="5" t="n"/>
      <c r="C752" s="5" t="n"/>
      <c r="D752" s="5" t="n"/>
      <c r="E752">
        <f>A752&amp;"|"&amp;B752</f>
        <v/>
      </c>
    </row>
    <row r="753" ht="15" customHeight="1">
      <c r="A753" s="5" t="n"/>
      <c r="B753" s="5" t="n"/>
      <c r="C753" s="5" t="n"/>
      <c r="D753" s="5" t="n"/>
      <c r="E753">
        <f>A753&amp;"|"&amp;B753</f>
        <v/>
      </c>
    </row>
    <row r="754" ht="15" customHeight="1">
      <c r="A754" s="5" t="n"/>
      <c r="B754" s="5" t="n"/>
      <c r="C754" s="5" t="n"/>
      <c r="D754" s="5" t="n"/>
      <c r="E754">
        <f>A754&amp;"|"&amp;B754</f>
        <v/>
      </c>
    </row>
    <row r="755" ht="15" customHeight="1">
      <c r="A755" s="5" t="n"/>
      <c r="B755" s="5" t="n"/>
      <c r="C755" s="5" t="n"/>
      <c r="D755" s="5" t="n"/>
      <c r="E755">
        <f>A755&amp;"|"&amp;B755</f>
        <v/>
      </c>
    </row>
    <row r="756" ht="15" customHeight="1">
      <c r="A756" s="5" t="n"/>
      <c r="B756" s="5" t="n"/>
      <c r="C756" s="5" t="n"/>
      <c r="D756" s="5" t="n"/>
      <c r="E756">
        <f>A756&amp;"|"&amp;B756</f>
        <v/>
      </c>
    </row>
    <row r="757" ht="15" customHeight="1">
      <c r="A757" s="5" t="n"/>
      <c r="B757" s="5" t="n"/>
      <c r="C757" s="5" t="n"/>
      <c r="D757" s="5" t="n"/>
      <c r="E757">
        <f>A757&amp;"|"&amp;B757</f>
        <v/>
      </c>
    </row>
    <row r="758" ht="15" customHeight="1">
      <c r="A758" s="5" t="n"/>
      <c r="B758" s="5" t="n"/>
      <c r="C758" s="5" t="n"/>
      <c r="D758" s="5" t="n"/>
      <c r="E758">
        <f>A758&amp;"|"&amp;B758</f>
        <v/>
      </c>
    </row>
    <row r="759" ht="15" customHeight="1">
      <c r="A759" s="5" t="n"/>
      <c r="B759" s="5" t="n"/>
      <c r="C759" s="5" t="n"/>
      <c r="D759" s="5" t="n"/>
      <c r="E759">
        <f>A759&amp;"|"&amp;B759</f>
        <v/>
      </c>
    </row>
    <row r="760" ht="15" customHeight="1">
      <c r="A760" s="5" t="n"/>
      <c r="B760" s="5" t="n"/>
      <c r="C760" s="5" t="n"/>
      <c r="D760" s="5" t="n"/>
      <c r="E760">
        <f>A760&amp;"|"&amp;B760</f>
        <v/>
      </c>
    </row>
    <row r="761" ht="15" customHeight="1">
      <c r="A761" s="5" t="n"/>
      <c r="B761" s="5" t="n"/>
      <c r="C761" s="5" t="n"/>
      <c r="D761" s="5" t="n"/>
      <c r="E761">
        <f>A761&amp;"|"&amp;B761</f>
        <v/>
      </c>
    </row>
    <row r="762" ht="15" customHeight="1">
      <c r="A762" s="5" t="n"/>
      <c r="B762" s="5" t="n"/>
      <c r="C762" s="5" t="n"/>
      <c r="D762" s="5" t="n"/>
      <c r="E762">
        <f>A762&amp;"|"&amp;B762</f>
        <v/>
      </c>
    </row>
    <row r="763" ht="15" customHeight="1">
      <c r="A763" s="5" t="n"/>
      <c r="B763" s="5" t="n"/>
      <c r="C763" s="5" t="n"/>
      <c r="D763" s="5" t="n"/>
      <c r="E763">
        <f>A763&amp;"|"&amp;B763</f>
        <v/>
      </c>
    </row>
    <row r="764" ht="15" customHeight="1">
      <c r="A764" s="5" t="n"/>
      <c r="B764" s="5" t="n"/>
      <c r="C764" s="5" t="n"/>
      <c r="D764" s="5" t="n"/>
      <c r="E764">
        <f>A764&amp;"|"&amp;B764</f>
        <v/>
      </c>
    </row>
    <row r="765" ht="15" customHeight="1">
      <c r="A765" s="5" t="n"/>
      <c r="B765" s="5" t="n"/>
      <c r="C765" s="5" t="n"/>
      <c r="D765" s="5" t="n"/>
      <c r="E765">
        <f>A765&amp;"|"&amp;B765</f>
        <v/>
      </c>
    </row>
    <row r="766" ht="15" customHeight="1">
      <c r="A766" s="5" t="n"/>
      <c r="B766" s="5" t="n"/>
      <c r="C766" s="5" t="n"/>
      <c r="D766" s="5" t="n"/>
      <c r="E766">
        <f>A766&amp;"|"&amp;B766</f>
        <v/>
      </c>
    </row>
    <row r="767" ht="15" customHeight="1">
      <c r="A767" s="5" t="n"/>
      <c r="B767" s="5" t="n"/>
      <c r="C767" s="5" t="n"/>
      <c r="D767" s="5" t="n"/>
      <c r="E767">
        <f>A767&amp;"|"&amp;B767</f>
        <v/>
      </c>
    </row>
    <row r="768" ht="15" customHeight="1">
      <c r="A768" s="5" t="n"/>
      <c r="B768" s="5" t="n"/>
      <c r="C768" s="5" t="n"/>
      <c r="D768" s="5" t="n"/>
      <c r="E768">
        <f>A768&amp;"|"&amp;B768</f>
        <v/>
      </c>
    </row>
    <row r="769" ht="15" customHeight="1">
      <c r="A769" s="5" t="n"/>
      <c r="B769" s="5" t="n"/>
      <c r="C769" s="5" t="n"/>
      <c r="D769" s="5" t="n"/>
      <c r="E769">
        <f>A769&amp;"|"&amp;B769</f>
        <v/>
      </c>
    </row>
    <row r="770" ht="15" customHeight="1">
      <c r="A770" s="5" t="n"/>
      <c r="B770" s="5" t="n"/>
      <c r="C770" s="5" t="n"/>
      <c r="D770" s="5" t="n"/>
      <c r="E770">
        <f>A770&amp;"|"&amp;B770</f>
        <v/>
      </c>
    </row>
    <row r="771" ht="15" customHeight="1">
      <c r="A771" s="5" t="n"/>
      <c r="B771" s="5" t="n"/>
      <c r="C771" s="5" t="n"/>
      <c r="D771" s="5" t="n"/>
      <c r="E771">
        <f>A771&amp;"|"&amp;B771</f>
        <v/>
      </c>
    </row>
    <row r="772" ht="15" customHeight="1">
      <c r="A772" s="5" t="n"/>
      <c r="B772" s="5" t="n"/>
      <c r="C772" s="5" t="n"/>
      <c r="D772" s="5" t="n"/>
      <c r="E772">
        <f>A772&amp;"|"&amp;B772</f>
        <v/>
      </c>
    </row>
    <row r="773" ht="15" customHeight="1">
      <c r="A773" s="5" t="n"/>
      <c r="B773" s="5" t="n"/>
      <c r="C773" s="5" t="n"/>
      <c r="D773" s="5" t="n"/>
      <c r="E773">
        <f>A773&amp;"|"&amp;B773</f>
        <v/>
      </c>
    </row>
    <row r="774" ht="15" customHeight="1">
      <c r="A774" s="5" t="n"/>
      <c r="B774" s="5" t="n"/>
      <c r="C774" s="5" t="n"/>
      <c r="D774" s="5" t="n"/>
      <c r="E774">
        <f>A774&amp;"|"&amp;B774</f>
        <v/>
      </c>
    </row>
    <row r="775" ht="15" customHeight="1">
      <c r="A775" s="5" t="n"/>
      <c r="B775" s="5" t="n"/>
      <c r="C775" s="5" t="n"/>
      <c r="D775" s="5" t="n"/>
      <c r="E775">
        <f>A775&amp;"|"&amp;B775</f>
        <v/>
      </c>
    </row>
    <row r="776" ht="15" customHeight="1">
      <c r="A776" s="5" t="n"/>
      <c r="B776" s="5" t="n"/>
      <c r="C776" s="5" t="n"/>
      <c r="D776" s="5" t="n"/>
      <c r="E776">
        <f>A776&amp;"|"&amp;B776</f>
        <v/>
      </c>
    </row>
    <row r="777" ht="15" customHeight="1">
      <c r="A777" s="5" t="n"/>
      <c r="B777" s="5" t="n"/>
      <c r="C777" s="5" t="n"/>
      <c r="D777" s="5" t="n"/>
      <c r="E777">
        <f>A777&amp;"|"&amp;B777</f>
        <v/>
      </c>
    </row>
    <row r="778" ht="15" customHeight="1">
      <c r="A778" s="5" t="n"/>
      <c r="B778" s="5" t="n"/>
      <c r="C778" s="5" t="n"/>
      <c r="D778" s="5" t="n"/>
      <c r="E778">
        <f>A778&amp;"|"&amp;B778</f>
        <v/>
      </c>
    </row>
    <row r="779" ht="15" customHeight="1">
      <c r="A779" s="5" t="n"/>
      <c r="B779" s="5" t="n"/>
      <c r="C779" s="5" t="n"/>
      <c r="D779" s="5" t="n"/>
      <c r="E779">
        <f>A779&amp;"|"&amp;B779</f>
        <v/>
      </c>
    </row>
    <row r="780" ht="15" customHeight="1">
      <c r="A780" s="5" t="n"/>
      <c r="B780" s="5" t="n"/>
      <c r="C780" s="5" t="n"/>
      <c r="D780" s="5" t="n"/>
      <c r="E780">
        <f>A780&amp;"|"&amp;B780</f>
        <v/>
      </c>
    </row>
    <row r="781" ht="15" customHeight="1">
      <c r="A781" s="5" t="n"/>
      <c r="B781" s="5" t="n"/>
      <c r="C781" s="5" t="n"/>
      <c r="D781" s="5" t="n"/>
      <c r="E781">
        <f>A781&amp;"|"&amp;B781</f>
        <v/>
      </c>
    </row>
    <row r="782" ht="15" customHeight="1">
      <c r="A782" s="5" t="n"/>
      <c r="B782" s="5" t="n"/>
      <c r="C782" s="5" t="n"/>
      <c r="D782" s="5" t="n"/>
      <c r="E782">
        <f>A782&amp;"|"&amp;B782</f>
        <v/>
      </c>
    </row>
    <row r="783" ht="15" customHeight="1">
      <c r="A783" s="5" t="n"/>
      <c r="B783" s="5" t="n"/>
      <c r="C783" s="5" t="n"/>
      <c r="D783" s="5" t="n"/>
      <c r="E783">
        <f>A783&amp;"|"&amp;B783</f>
        <v/>
      </c>
    </row>
    <row r="784" ht="15" customHeight="1">
      <c r="A784" s="5" t="n"/>
      <c r="B784" s="5" t="n"/>
      <c r="C784" s="5" t="n"/>
      <c r="D784" s="5" t="n"/>
      <c r="E784">
        <f>A784&amp;"|"&amp;B784</f>
        <v/>
      </c>
    </row>
    <row r="785" ht="15" customHeight="1">
      <c r="A785" s="5" t="n"/>
      <c r="B785" s="5" t="n"/>
      <c r="C785" s="5" t="n"/>
      <c r="D785" s="5" t="n"/>
      <c r="E785">
        <f>A785&amp;"|"&amp;B785</f>
        <v/>
      </c>
    </row>
    <row r="786" ht="15" customHeight="1">
      <c r="A786" s="5" t="n"/>
      <c r="B786" s="5" t="n"/>
      <c r="C786" s="5" t="n"/>
      <c r="D786" s="5" t="n"/>
      <c r="E786">
        <f>A786&amp;"|"&amp;B786</f>
        <v/>
      </c>
    </row>
    <row r="787" ht="15" customHeight="1">
      <c r="A787" s="5" t="n"/>
      <c r="B787" s="5" t="n"/>
      <c r="C787" s="5" t="n"/>
      <c r="D787" s="5" t="n"/>
      <c r="E787">
        <f>A787&amp;"|"&amp;B787</f>
        <v/>
      </c>
    </row>
    <row r="788" ht="15" customHeight="1">
      <c r="A788" s="5" t="n"/>
      <c r="B788" s="5" t="n"/>
      <c r="C788" s="5" t="n"/>
      <c r="D788" s="5" t="n"/>
      <c r="E788">
        <f>A788&amp;"|"&amp;B788</f>
        <v/>
      </c>
    </row>
    <row r="789" ht="15" customHeight="1">
      <c r="A789" s="5" t="n"/>
      <c r="B789" s="5" t="n"/>
      <c r="C789" s="5" t="n"/>
      <c r="D789" s="5" t="n"/>
      <c r="E789">
        <f>A789&amp;"|"&amp;B789</f>
        <v/>
      </c>
    </row>
    <row r="790" ht="15" customHeight="1">
      <c r="A790" s="5" t="n"/>
      <c r="B790" s="5" t="n"/>
      <c r="C790" s="5" t="n"/>
      <c r="D790" s="5" t="n"/>
      <c r="E790">
        <f>A790&amp;"|"&amp;B790</f>
        <v/>
      </c>
    </row>
    <row r="791" ht="15" customHeight="1">
      <c r="A791" s="5" t="n"/>
      <c r="B791" s="5" t="n"/>
      <c r="C791" s="5" t="n"/>
      <c r="D791" s="5" t="n"/>
      <c r="E791">
        <f>A791&amp;"|"&amp;B791</f>
        <v/>
      </c>
    </row>
    <row r="792" ht="15" customHeight="1">
      <c r="A792" s="5" t="n"/>
      <c r="B792" s="5" t="n"/>
      <c r="C792" s="5" t="n"/>
      <c r="D792" s="5" t="n"/>
      <c r="E792">
        <f>A792&amp;"|"&amp;B792</f>
        <v/>
      </c>
    </row>
    <row r="793" ht="15" customHeight="1">
      <c r="A793" s="5" t="n"/>
      <c r="B793" s="5" t="n"/>
      <c r="C793" s="5" t="n"/>
      <c r="D793" s="5" t="n"/>
      <c r="E793">
        <f>A793&amp;"|"&amp;B793</f>
        <v/>
      </c>
    </row>
    <row r="794" ht="15" customHeight="1">
      <c r="A794" s="5" t="n"/>
      <c r="B794" s="5" t="n"/>
      <c r="C794" s="5" t="n"/>
      <c r="D794" s="5" t="n"/>
      <c r="E794">
        <f>A794&amp;"|"&amp;B794</f>
        <v/>
      </c>
    </row>
    <row r="795" ht="15" customHeight="1">
      <c r="A795" s="5" t="n"/>
      <c r="B795" s="5" t="n"/>
      <c r="C795" s="5" t="n"/>
      <c r="D795" s="5" t="n"/>
      <c r="E795">
        <f>A795&amp;"|"&amp;B795</f>
        <v/>
      </c>
    </row>
    <row r="796" ht="15" customHeight="1">
      <c r="A796" s="5" t="n"/>
      <c r="B796" s="5" t="n"/>
      <c r="C796" s="5" t="n"/>
      <c r="D796" s="5" t="n"/>
      <c r="E796">
        <f>A796&amp;"|"&amp;B796</f>
        <v/>
      </c>
    </row>
    <row r="797" ht="15" customHeight="1">
      <c r="A797" s="5" t="n"/>
      <c r="B797" s="5" t="n"/>
      <c r="C797" s="5" t="n"/>
      <c r="D797" s="5" t="n"/>
      <c r="E797">
        <f>A797&amp;"|"&amp;B797</f>
        <v/>
      </c>
    </row>
    <row r="798" ht="15" customHeight="1">
      <c r="A798" s="5" t="n"/>
      <c r="B798" s="5" t="n"/>
      <c r="C798" s="5" t="n"/>
      <c r="D798" s="5" t="n"/>
      <c r="E798">
        <f>A798&amp;"|"&amp;B798</f>
        <v/>
      </c>
    </row>
    <row r="799" ht="15" customHeight="1">
      <c r="A799" s="5" t="n"/>
      <c r="B799" s="5" t="n"/>
      <c r="C799" s="5" t="n"/>
      <c r="D799" s="5" t="n"/>
      <c r="E799">
        <f>A799&amp;"|"&amp;B799</f>
        <v/>
      </c>
    </row>
    <row r="800" ht="15" customHeight="1">
      <c r="A800" s="5" t="n"/>
      <c r="B800" s="5" t="n"/>
      <c r="C800" s="5" t="n"/>
      <c r="D800" s="5" t="n"/>
      <c r="E800">
        <f>A800&amp;"|"&amp;B800</f>
        <v/>
      </c>
    </row>
    <row r="801" ht="15" customHeight="1">
      <c r="A801" s="5" t="n"/>
      <c r="B801" s="5" t="n"/>
      <c r="C801" s="5" t="n"/>
      <c r="D801" s="5" t="n"/>
      <c r="E801">
        <f>A801&amp;"|"&amp;B801</f>
        <v/>
      </c>
    </row>
    <row r="802" ht="15" customHeight="1">
      <c r="A802" s="5" t="n"/>
      <c r="B802" s="5" t="n"/>
      <c r="C802" s="5" t="n"/>
      <c r="D802" s="5" t="n"/>
      <c r="E802">
        <f>A802&amp;"|"&amp;B802</f>
        <v/>
      </c>
    </row>
    <row r="803" ht="15" customHeight="1">
      <c r="A803" s="5" t="n"/>
      <c r="B803" s="5" t="n"/>
      <c r="C803" s="5" t="n"/>
      <c r="D803" s="5" t="n"/>
      <c r="E803">
        <f>A803&amp;"|"&amp;B803</f>
        <v/>
      </c>
    </row>
    <row r="804" ht="15" customHeight="1">
      <c r="A804" s="5" t="n"/>
      <c r="B804" s="5" t="n"/>
      <c r="C804" s="5" t="n"/>
      <c r="D804" s="5" t="n"/>
      <c r="E804">
        <f>A804&amp;"|"&amp;B804</f>
        <v/>
      </c>
    </row>
    <row r="805" ht="15" customHeight="1">
      <c r="A805" s="5" t="n"/>
      <c r="B805" s="5" t="n"/>
      <c r="C805" s="5" t="n"/>
      <c r="D805" s="5" t="n"/>
      <c r="E805">
        <f>A805&amp;"|"&amp;B805</f>
        <v/>
      </c>
    </row>
    <row r="806" ht="15" customHeight="1">
      <c r="A806" s="5" t="n"/>
      <c r="B806" s="5" t="n"/>
      <c r="C806" s="5" t="n"/>
      <c r="D806" s="5" t="n"/>
      <c r="E806">
        <f>A806&amp;"|"&amp;B806</f>
        <v/>
      </c>
    </row>
    <row r="807" ht="15" customHeight="1">
      <c r="A807" s="5" t="n"/>
      <c r="B807" s="5" t="n"/>
      <c r="C807" s="5" t="n"/>
      <c r="D807" s="5" t="n"/>
      <c r="E807">
        <f>A807&amp;"|"&amp;B807</f>
        <v/>
      </c>
    </row>
    <row r="808" ht="15" customHeight="1">
      <c r="A808" s="5" t="n"/>
      <c r="B808" s="5" t="n"/>
      <c r="C808" s="5" t="n"/>
      <c r="D808" s="5" t="n"/>
      <c r="E808">
        <f>A808&amp;"|"&amp;B808</f>
        <v/>
      </c>
    </row>
    <row r="809" ht="15" customHeight="1">
      <c r="A809" s="5" t="n"/>
      <c r="B809" s="5" t="n"/>
      <c r="C809" s="5" t="n"/>
      <c r="D809" s="5" t="n"/>
      <c r="E809">
        <f>A809&amp;"|"&amp;B809</f>
        <v/>
      </c>
    </row>
    <row r="810" ht="15" customHeight="1">
      <c r="A810" s="5" t="n"/>
      <c r="B810" s="5" t="n"/>
      <c r="C810" s="5" t="n"/>
      <c r="D810" s="5" t="n"/>
      <c r="E810">
        <f>A810&amp;"|"&amp;B810</f>
        <v/>
      </c>
    </row>
    <row r="811" ht="15" customHeight="1">
      <c r="A811" s="5" t="n"/>
      <c r="B811" s="5" t="n"/>
      <c r="C811" s="5" t="n"/>
      <c r="D811" s="5" t="n"/>
      <c r="E811">
        <f>A811&amp;"|"&amp;B811</f>
        <v/>
      </c>
    </row>
    <row r="812" ht="15" customHeight="1">
      <c r="A812" s="5" t="n"/>
      <c r="B812" s="5" t="n"/>
      <c r="C812" s="5" t="n"/>
      <c r="D812" s="5" t="n"/>
      <c r="E812">
        <f>A812&amp;"|"&amp;B812</f>
        <v/>
      </c>
    </row>
    <row r="813" ht="15" customHeight="1">
      <c r="A813" s="5" t="n"/>
      <c r="B813" s="5" t="n"/>
      <c r="C813" s="5" t="n"/>
      <c r="D813" s="5" t="n"/>
      <c r="E813">
        <f>A813&amp;"|"&amp;B813</f>
        <v/>
      </c>
    </row>
    <row r="814" ht="15" customHeight="1">
      <c r="A814" s="5" t="n"/>
      <c r="B814" s="5" t="n"/>
      <c r="C814" s="5" t="n"/>
      <c r="D814" s="5" t="n"/>
      <c r="E814">
        <f>A814&amp;"|"&amp;B814</f>
        <v/>
      </c>
    </row>
    <row r="815" ht="15" customHeight="1">
      <c r="A815" s="5" t="n"/>
      <c r="B815" s="5" t="n"/>
      <c r="C815" s="5" t="n"/>
      <c r="D815" s="5" t="n"/>
      <c r="E815">
        <f>A815&amp;"|"&amp;B815</f>
        <v/>
      </c>
    </row>
    <row r="816" ht="15" customHeight="1">
      <c r="A816" s="5" t="n"/>
      <c r="B816" s="5" t="n"/>
      <c r="C816" s="5" t="n"/>
      <c r="D816" s="5" t="n"/>
      <c r="E816">
        <f>A816&amp;"|"&amp;B816</f>
        <v/>
      </c>
    </row>
    <row r="817" ht="15" customHeight="1">
      <c r="A817" s="5" t="n"/>
      <c r="B817" s="5" t="n"/>
      <c r="C817" s="5" t="n"/>
      <c r="D817" s="5" t="n"/>
      <c r="E817">
        <f>A817&amp;"|"&amp;B817</f>
        <v/>
      </c>
    </row>
    <row r="818" ht="15" customHeight="1">
      <c r="A818" s="5" t="n"/>
      <c r="B818" s="5" t="n"/>
      <c r="C818" s="5" t="n"/>
      <c r="D818" s="5" t="n"/>
      <c r="E818">
        <f>A818&amp;"|"&amp;B818</f>
        <v/>
      </c>
    </row>
    <row r="819" ht="15" customHeight="1">
      <c r="A819" s="5" t="n"/>
      <c r="B819" s="5" t="n"/>
      <c r="C819" s="5" t="n"/>
      <c r="D819" s="5" t="n"/>
      <c r="E819">
        <f>A819&amp;"|"&amp;B819</f>
        <v/>
      </c>
    </row>
    <row r="820" ht="15" customHeight="1">
      <c r="A820" s="5" t="n"/>
      <c r="B820" s="5" t="n"/>
      <c r="C820" s="5" t="n"/>
      <c r="D820" s="5" t="n"/>
      <c r="E820">
        <f>A820&amp;"|"&amp;B820</f>
        <v/>
      </c>
    </row>
    <row r="821" ht="15" customHeight="1">
      <c r="A821" s="5" t="n"/>
      <c r="B821" s="5" t="n"/>
      <c r="C821" s="5" t="n"/>
      <c r="D821" s="5" t="n"/>
      <c r="E821">
        <f>A821&amp;"|"&amp;B821</f>
        <v/>
      </c>
    </row>
    <row r="822" ht="15" customHeight="1">
      <c r="A822" s="5" t="n"/>
      <c r="B822" s="5" t="n"/>
      <c r="C822" s="5" t="n"/>
      <c r="D822" s="5" t="n"/>
      <c r="E822">
        <f>A822&amp;"|"&amp;B822</f>
        <v/>
      </c>
    </row>
    <row r="823" ht="15" customHeight="1">
      <c r="A823" s="5" t="n"/>
      <c r="B823" s="5" t="n"/>
      <c r="C823" s="5" t="n"/>
      <c r="D823" s="5" t="n"/>
      <c r="E823">
        <f>A823&amp;"|"&amp;B823</f>
        <v/>
      </c>
    </row>
    <row r="824" ht="15" customHeight="1">
      <c r="A824" s="5" t="n"/>
      <c r="B824" s="5" t="n"/>
      <c r="C824" s="5" t="n"/>
      <c r="D824" s="5" t="n"/>
      <c r="E824">
        <f>A824&amp;"|"&amp;B824</f>
        <v/>
      </c>
    </row>
    <row r="825" ht="15" customHeight="1">
      <c r="A825" s="5" t="n"/>
      <c r="B825" s="5" t="n"/>
      <c r="C825" s="5" t="n"/>
      <c r="D825" s="5" t="n"/>
      <c r="E825">
        <f>A825&amp;"|"&amp;B825</f>
        <v/>
      </c>
    </row>
    <row r="826" ht="15" customHeight="1">
      <c r="A826" s="5" t="n"/>
      <c r="B826" s="5" t="n"/>
      <c r="C826" s="5" t="n"/>
      <c r="D826" s="5" t="n"/>
      <c r="E826">
        <f>A826&amp;"|"&amp;B826</f>
        <v/>
      </c>
    </row>
    <row r="827" ht="15" customHeight="1">
      <c r="A827" s="5" t="n"/>
      <c r="B827" s="5" t="n"/>
      <c r="C827" s="5" t="n"/>
      <c r="D827" s="5" t="n"/>
      <c r="E827">
        <f>A827&amp;"|"&amp;B827</f>
        <v/>
      </c>
    </row>
    <row r="828" ht="15" customHeight="1">
      <c r="A828" s="5" t="n"/>
      <c r="B828" s="5" t="n"/>
      <c r="C828" s="5" t="n"/>
      <c r="D828" s="5" t="n"/>
      <c r="E828">
        <f>A828&amp;"|"&amp;B828</f>
        <v/>
      </c>
    </row>
    <row r="829" ht="15" customHeight="1">
      <c r="A829" s="5" t="n"/>
      <c r="B829" s="5" t="n"/>
      <c r="C829" s="5" t="n"/>
      <c r="D829" s="5" t="n"/>
      <c r="E829">
        <f>A829&amp;"|"&amp;B829</f>
        <v/>
      </c>
    </row>
    <row r="830" ht="15" customHeight="1">
      <c r="A830" s="5" t="n"/>
      <c r="B830" s="5" t="n"/>
      <c r="C830" s="5" t="n"/>
      <c r="D830" s="5" t="n"/>
      <c r="E830">
        <f>A830&amp;"|"&amp;B830</f>
        <v/>
      </c>
    </row>
    <row r="831" ht="15" customHeight="1">
      <c r="A831" s="5" t="n"/>
      <c r="B831" s="5" t="n"/>
      <c r="C831" s="5" t="n"/>
      <c r="D831" s="5" t="n"/>
      <c r="E831">
        <f>A831&amp;"|"&amp;B831</f>
        <v/>
      </c>
    </row>
    <row r="832" ht="15" customHeight="1">
      <c r="A832" s="5" t="n"/>
      <c r="B832" s="5" t="n"/>
      <c r="C832" s="5" t="n"/>
      <c r="D832" s="5" t="n"/>
      <c r="E832">
        <f>A832&amp;"|"&amp;B832</f>
        <v/>
      </c>
    </row>
    <row r="833" ht="15" customHeight="1">
      <c r="A833" s="5" t="n"/>
      <c r="B833" s="5" t="n"/>
      <c r="C833" s="5" t="n"/>
      <c r="D833" s="5" t="n"/>
      <c r="E833">
        <f>A833&amp;"|"&amp;B833</f>
        <v/>
      </c>
    </row>
    <row r="834" ht="15" customHeight="1">
      <c r="A834" s="5" t="n"/>
      <c r="B834" s="5" t="n"/>
      <c r="C834" s="5" t="n"/>
      <c r="D834" s="5" t="n"/>
      <c r="E834">
        <f>A834&amp;"|"&amp;B834</f>
        <v/>
      </c>
    </row>
    <row r="835" ht="15" customHeight="1">
      <c r="A835" s="5" t="n"/>
      <c r="B835" s="5" t="n"/>
      <c r="C835" s="5" t="n"/>
      <c r="D835" s="5" t="n"/>
      <c r="E835">
        <f>A835&amp;"|"&amp;B835</f>
        <v/>
      </c>
    </row>
    <row r="836" ht="15" customHeight="1">
      <c r="A836" s="5" t="n"/>
      <c r="B836" s="5" t="n"/>
      <c r="C836" s="5" t="n"/>
      <c r="D836" s="5" t="n"/>
      <c r="E836">
        <f>A836&amp;"|"&amp;B836</f>
        <v/>
      </c>
    </row>
    <row r="837" ht="15" customHeight="1">
      <c r="A837" s="5" t="n"/>
      <c r="B837" s="5" t="n"/>
      <c r="C837" s="5" t="n"/>
      <c r="D837" s="5" t="n"/>
      <c r="E837">
        <f>A837&amp;"|"&amp;B837</f>
        <v/>
      </c>
    </row>
    <row r="838" ht="15" customHeight="1">
      <c r="A838" s="5" t="n"/>
      <c r="B838" s="5" t="n"/>
      <c r="C838" s="5" t="n"/>
      <c r="D838" s="5" t="n"/>
      <c r="E838">
        <f>A838&amp;"|"&amp;B838</f>
        <v/>
      </c>
    </row>
    <row r="839" ht="15" customHeight="1">
      <c r="A839" s="5" t="n"/>
      <c r="B839" s="5" t="n"/>
      <c r="C839" s="5" t="n"/>
      <c r="D839" s="5" t="n"/>
      <c r="E839">
        <f>A839&amp;"|"&amp;B839</f>
        <v/>
      </c>
    </row>
    <row r="840" ht="15" customHeight="1">
      <c r="A840" s="5" t="n"/>
      <c r="B840" s="5" t="n"/>
      <c r="C840" s="5" t="n"/>
      <c r="D840" s="5" t="n"/>
      <c r="E840">
        <f>A840&amp;"|"&amp;B840</f>
        <v/>
      </c>
    </row>
    <row r="841" ht="15" customHeight="1">
      <c r="A841" s="5" t="n"/>
      <c r="B841" s="5" t="n"/>
      <c r="C841" s="5" t="n"/>
      <c r="D841" s="5" t="n"/>
      <c r="E841">
        <f>A841&amp;"|"&amp;B841</f>
        <v/>
      </c>
    </row>
    <row r="842" ht="15" customHeight="1">
      <c r="A842" s="5" t="n"/>
      <c r="B842" s="5" t="n"/>
      <c r="C842" s="5" t="n"/>
      <c r="D842" s="5" t="n"/>
      <c r="E842">
        <f>A842&amp;"|"&amp;B842</f>
        <v/>
      </c>
    </row>
    <row r="843" ht="15" customHeight="1">
      <c r="A843" s="5" t="n"/>
      <c r="B843" s="5" t="n"/>
      <c r="C843" s="5" t="n"/>
      <c r="D843" s="5" t="n"/>
      <c r="E843">
        <f>A843&amp;"|"&amp;B843</f>
        <v/>
      </c>
    </row>
    <row r="844" ht="15" customHeight="1">
      <c r="A844" s="5" t="n"/>
      <c r="B844" s="5" t="n"/>
      <c r="C844" s="5" t="n"/>
      <c r="D844" s="5" t="n"/>
      <c r="E844">
        <f>A844&amp;"|"&amp;B844</f>
        <v/>
      </c>
    </row>
    <row r="845" ht="15" customHeight="1">
      <c r="A845" s="5" t="n"/>
      <c r="B845" s="5" t="n"/>
      <c r="C845" s="5" t="n"/>
      <c r="D845" s="5" t="n"/>
      <c r="E845">
        <f>A845&amp;"|"&amp;B845</f>
        <v/>
      </c>
    </row>
    <row r="846" ht="15" customHeight="1">
      <c r="A846" s="5" t="n"/>
      <c r="B846" s="5" t="n"/>
      <c r="C846" s="5" t="n"/>
      <c r="D846" s="5" t="n"/>
      <c r="E846">
        <f>A846&amp;"|"&amp;B846</f>
        <v/>
      </c>
    </row>
    <row r="847" ht="15" customHeight="1">
      <c r="A847" s="5" t="n"/>
      <c r="B847" s="5" t="n"/>
      <c r="C847" s="5" t="n"/>
      <c r="D847" s="5" t="n"/>
      <c r="E847">
        <f>A847&amp;"|"&amp;B847</f>
        <v/>
      </c>
    </row>
    <row r="848" ht="15" customHeight="1">
      <c r="A848" s="5" t="n"/>
      <c r="B848" s="5" t="n"/>
      <c r="C848" s="5" t="n"/>
      <c r="D848" s="5" t="n"/>
      <c r="E848">
        <f>A848&amp;"|"&amp;B848</f>
        <v/>
      </c>
    </row>
    <row r="849" ht="15" customHeight="1">
      <c r="A849" s="5" t="n"/>
      <c r="B849" s="5" t="n"/>
      <c r="C849" s="5" t="n"/>
      <c r="D849" s="5" t="n"/>
      <c r="E849">
        <f>A849&amp;"|"&amp;B849</f>
        <v/>
      </c>
    </row>
    <row r="850" ht="15" customHeight="1">
      <c r="A850" s="5" t="n"/>
      <c r="B850" s="5" t="n"/>
      <c r="C850" s="5" t="n"/>
      <c r="D850" s="5" t="n"/>
      <c r="E850">
        <f>A850&amp;"|"&amp;B850</f>
        <v/>
      </c>
    </row>
    <row r="851" ht="15" customHeight="1">
      <c r="A851" s="5" t="n"/>
      <c r="B851" s="5" t="n"/>
      <c r="C851" s="5" t="n"/>
      <c r="D851" s="5" t="n"/>
      <c r="E851">
        <f>A851&amp;"|"&amp;B851</f>
        <v/>
      </c>
    </row>
    <row r="852" ht="15" customHeight="1">
      <c r="A852" s="5" t="n"/>
      <c r="B852" s="5" t="n"/>
      <c r="C852" s="5" t="n"/>
      <c r="D852" s="5" t="n"/>
      <c r="E852">
        <f>A852&amp;"|"&amp;B852</f>
        <v/>
      </c>
    </row>
    <row r="853" ht="15" customHeight="1">
      <c r="A853" s="5" t="n"/>
      <c r="B853" s="5" t="n"/>
      <c r="C853" s="5" t="n"/>
      <c r="D853" s="5" t="n"/>
      <c r="E853">
        <f>A853&amp;"|"&amp;B853</f>
        <v/>
      </c>
    </row>
    <row r="854" ht="15" customHeight="1">
      <c r="A854" s="5" t="n"/>
      <c r="B854" s="5" t="n"/>
      <c r="C854" s="5" t="n"/>
      <c r="D854" s="5" t="n"/>
      <c r="E854">
        <f>A854&amp;"|"&amp;B854</f>
        <v/>
      </c>
    </row>
    <row r="855" ht="15" customHeight="1">
      <c r="A855" s="5" t="n"/>
      <c r="B855" s="5" t="n"/>
      <c r="C855" s="5" t="n"/>
      <c r="D855" s="5" t="n"/>
      <c r="E855">
        <f>A855&amp;"|"&amp;B855</f>
        <v/>
      </c>
    </row>
    <row r="856" ht="15" customHeight="1">
      <c r="A856" s="5" t="n"/>
      <c r="B856" s="5" t="n"/>
      <c r="C856" s="5" t="n"/>
      <c r="D856" s="5" t="n"/>
      <c r="E856">
        <f>A856&amp;"|"&amp;B856</f>
        <v/>
      </c>
    </row>
    <row r="857" ht="15" customHeight="1">
      <c r="A857" s="5" t="n"/>
      <c r="B857" s="5" t="n"/>
      <c r="C857" s="5" t="n"/>
      <c r="D857" s="5" t="n"/>
      <c r="E857">
        <f>A857&amp;"|"&amp;B857</f>
        <v/>
      </c>
    </row>
    <row r="858" ht="15" customHeight="1">
      <c r="A858" s="5" t="n"/>
      <c r="B858" s="5" t="n"/>
      <c r="C858" s="5" t="n"/>
      <c r="D858" s="5" t="n"/>
      <c r="E858">
        <f>A858&amp;"|"&amp;B858</f>
        <v/>
      </c>
    </row>
    <row r="859" ht="15" customHeight="1">
      <c r="A859" s="5" t="n"/>
      <c r="B859" s="5" t="n"/>
      <c r="C859" s="5" t="n"/>
      <c r="D859" s="5" t="n"/>
      <c r="E859">
        <f>A859&amp;"|"&amp;B859</f>
        <v/>
      </c>
    </row>
    <row r="860" ht="15" customHeight="1">
      <c r="A860" s="5" t="n"/>
      <c r="B860" s="5" t="n"/>
      <c r="C860" s="5" t="n"/>
      <c r="D860" s="5" t="n"/>
      <c r="E860">
        <f>A860&amp;"|"&amp;B860</f>
        <v/>
      </c>
    </row>
    <row r="861" ht="15" customHeight="1">
      <c r="A861" s="5" t="n"/>
      <c r="B861" s="5" t="n"/>
      <c r="C861" s="5" t="n"/>
      <c r="D861" s="5" t="n"/>
      <c r="E861">
        <f>A861&amp;"|"&amp;B861</f>
        <v/>
      </c>
    </row>
    <row r="862" ht="15" customHeight="1">
      <c r="A862" s="5" t="n"/>
      <c r="B862" s="5" t="n"/>
      <c r="C862" s="5" t="n"/>
      <c r="D862" s="5" t="n"/>
      <c r="E862">
        <f>A862&amp;"|"&amp;B862</f>
        <v/>
      </c>
    </row>
    <row r="863" ht="15" customHeight="1">
      <c r="A863" s="5" t="n"/>
      <c r="B863" s="5" t="n"/>
      <c r="C863" s="5" t="n"/>
      <c r="D863" s="5" t="n"/>
      <c r="E863">
        <f>A863&amp;"|"&amp;B863</f>
        <v/>
      </c>
    </row>
    <row r="864" ht="15" customHeight="1">
      <c r="A864" s="5" t="n"/>
      <c r="B864" s="5" t="n"/>
      <c r="C864" s="5" t="n"/>
      <c r="D864" s="5" t="n"/>
      <c r="E864">
        <f>A864&amp;"|"&amp;B864</f>
        <v/>
      </c>
    </row>
    <row r="865" ht="15" customHeight="1">
      <c r="A865" s="5" t="n"/>
      <c r="B865" s="5" t="n"/>
      <c r="C865" s="5" t="n"/>
      <c r="D865" s="5" t="n"/>
      <c r="E865">
        <f>A865&amp;"|"&amp;B865</f>
        <v/>
      </c>
    </row>
    <row r="866" ht="15" customHeight="1">
      <c r="A866" s="5" t="n"/>
      <c r="B866" s="5" t="n"/>
      <c r="C866" s="5" t="n"/>
      <c r="D866" s="5" t="n"/>
      <c r="E866">
        <f>A866&amp;"|"&amp;B866</f>
        <v/>
      </c>
    </row>
    <row r="867" ht="15" customHeight="1">
      <c r="A867" s="5" t="n"/>
      <c r="B867" s="5" t="n"/>
      <c r="C867" s="5" t="n"/>
      <c r="D867" s="5" t="n"/>
      <c r="E867">
        <f>A867&amp;"|"&amp;B867</f>
        <v/>
      </c>
    </row>
    <row r="868" ht="15" customHeight="1">
      <c r="A868" s="5" t="n"/>
      <c r="B868" s="5" t="n"/>
      <c r="C868" s="5" t="n"/>
      <c r="D868" s="5" t="n"/>
      <c r="E868">
        <f>A868&amp;"|"&amp;B868</f>
        <v/>
      </c>
    </row>
    <row r="869" ht="15" customHeight="1">
      <c r="A869" s="5" t="n"/>
      <c r="B869" s="5" t="n"/>
      <c r="C869" s="5" t="n"/>
      <c r="D869" s="5" t="n"/>
      <c r="E869">
        <f>A869&amp;"|"&amp;B869</f>
        <v/>
      </c>
    </row>
    <row r="870" ht="15" customHeight="1">
      <c r="A870" s="5" t="n"/>
      <c r="B870" s="5" t="n"/>
      <c r="C870" s="5" t="n"/>
      <c r="D870" s="5" t="n"/>
      <c r="E870">
        <f>A870&amp;"|"&amp;B870</f>
        <v/>
      </c>
    </row>
    <row r="871" ht="15" customHeight="1">
      <c r="A871" s="5" t="n"/>
      <c r="B871" s="5" t="n"/>
      <c r="C871" s="5" t="n"/>
      <c r="D871" s="5" t="n"/>
      <c r="E871">
        <f>A871&amp;"|"&amp;B871</f>
        <v/>
      </c>
    </row>
    <row r="872" ht="15" customHeight="1">
      <c r="A872" s="5" t="n"/>
      <c r="B872" s="5" t="n"/>
      <c r="C872" s="5" t="n"/>
      <c r="D872" s="5" t="n"/>
      <c r="E872">
        <f>A872&amp;"|"&amp;B872</f>
        <v/>
      </c>
    </row>
    <row r="873" ht="15" customHeight="1">
      <c r="A873" s="5" t="n"/>
      <c r="B873" s="5" t="n"/>
      <c r="C873" s="5" t="n"/>
      <c r="D873" s="5" t="n"/>
      <c r="E873">
        <f>A873&amp;"|"&amp;B873</f>
        <v/>
      </c>
    </row>
    <row r="874" ht="15" customHeight="1">
      <c r="A874" s="5" t="n"/>
      <c r="B874" s="5" t="n"/>
      <c r="C874" s="5" t="n"/>
      <c r="D874" s="5" t="n"/>
      <c r="E874">
        <f>A874&amp;"|"&amp;B874</f>
        <v/>
      </c>
    </row>
    <row r="875" ht="15" customHeight="1">
      <c r="A875" s="5" t="n"/>
      <c r="B875" s="5" t="n"/>
      <c r="C875" s="5" t="n"/>
      <c r="D875" s="5" t="n"/>
      <c r="E875">
        <f>A875&amp;"|"&amp;B875</f>
        <v/>
      </c>
    </row>
    <row r="876" ht="15" customHeight="1">
      <c r="A876" s="5" t="n"/>
      <c r="B876" s="5" t="n"/>
      <c r="C876" s="5" t="n"/>
      <c r="D876" s="5" t="n"/>
      <c r="E876">
        <f>A876&amp;"|"&amp;B876</f>
        <v/>
      </c>
    </row>
    <row r="877" ht="15" customHeight="1">
      <c r="A877" s="5" t="n"/>
      <c r="B877" s="5" t="n"/>
      <c r="C877" s="5" t="n"/>
      <c r="D877" s="5" t="n"/>
      <c r="E877">
        <f>A877&amp;"|"&amp;B877</f>
        <v/>
      </c>
    </row>
    <row r="878" ht="15" customHeight="1">
      <c r="A878" s="5" t="n"/>
      <c r="B878" s="5" t="n"/>
      <c r="C878" s="5" t="n"/>
      <c r="D878" s="5" t="n"/>
      <c r="E878">
        <f>A878&amp;"|"&amp;B878</f>
        <v/>
      </c>
    </row>
    <row r="879" ht="15" customHeight="1">
      <c r="A879" s="5" t="n"/>
      <c r="B879" s="5" t="n"/>
      <c r="C879" s="5" t="n"/>
      <c r="D879" s="5" t="n"/>
      <c r="E879">
        <f>A879&amp;"|"&amp;B879</f>
        <v/>
      </c>
    </row>
    <row r="880" ht="15" customHeight="1">
      <c r="A880" s="5" t="n"/>
      <c r="B880" s="5" t="n"/>
      <c r="C880" s="5" t="n"/>
      <c r="D880" s="5" t="n"/>
      <c r="E880">
        <f>A880&amp;"|"&amp;B880</f>
        <v/>
      </c>
    </row>
    <row r="881" ht="15" customHeight="1">
      <c r="A881" s="5" t="n"/>
      <c r="B881" s="5" t="n"/>
      <c r="C881" s="5" t="n"/>
      <c r="D881" s="5" t="n"/>
      <c r="E881">
        <f>A881&amp;"|"&amp;B881</f>
        <v/>
      </c>
    </row>
    <row r="882" ht="15" customHeight="1">
      <c r="A882" s="5" t="n"/>
      <c r="B882" s="5" t="n"/>
      <c r="C882" s="5" t="n"/>
      <c r="D882" s="5" t="n"/>
      <c r="E882">
        <f>A882&amp;"|"&amp;B882</f>
        <v/>
      </c>
    </row>
    <row r="883" ht="15" customHeight="1">
      <c r="A883" s="5" t="n"/>
      <c r="B883" s="5" t="n"/>
      <c r="C883" s="5" t="n"/>
      <c r="D883" s="5" t="n"/>
      <c r="E883">
        <f>A883&amp;"|"&amp;B883</f>
        <v/>
      </c>
    </row>
    <row r="884" ht="15" customHeight="1">
      <c r="A884" s="5" t="n"/>
      <c r="B884" s="5" t="n"/>
      <c r="C884" s="5" t="n"/>
      <c r="D884" s="5" t="n"/>
      <c r="E884">
        <f>A884&amp;"|"&amp;B884</f>
        <v/>
      </c>
    </row>
    <row r="885" ht="15" customHeight="1">
      <c r="A885" s="5" t="n"/>
      <c r="B885" s="5" t="n"/>
      <c r="C885" s="5" t="n"/>
      <c r="D885" s="5" t="n"/>
      <c r="E885">
        <f>A885&amp;"|"&amp;B885</f>
        <v/>
      </c>
    </row>
    <row r="886" ht="15" customHeight="1">
      <c r="A886" s="5" t="n"/>
      <c r="B886" s="5" t="n"/>
      <c r="C886" s="5" t="n"/>
      <c r="D886" s="5" t="n"/>
      <c r="E886">
        <f>A886&amp;"|"&amp;B886</f>
        <v/>
      </c>
    </row>
    <row r="887" ht="15" customHeight="1">
      <c r="A887" s="5" t="n"/>
      <c r="B887" s="5" t="n"/>
      <c r="C887" s="5" t="n"/>
      <c r="D887" s="5" t="n"/>
      <c r="E887">
        <f>A887&amp;"|"&amp;B887</f>
        <v/>
      </c>
    </row>
    <row r="888" ht="15" customHeight="1">
      <c r="A888" s="5" t="n"/>
      <c r="B888" s="5" t="n"/>
      <c r="C888" s="5" t="n"/>
      <c r="D888" s="5" t="n"/>
      <c r="E888">
        <f>A888&amp;"|"&amp;B888</f>
        <v/>
      </c>
    </row>
    <row r="889" ht="15" customHeight="1">
      <c r="A889" s="5" t="n"/>
      <c r="B889" s="5" t="n"/>
      <c r="C889" s="5" t="n"/>
      <c r="D889" s="5" t="n"/>
      <c r="E889">
        <f>A889&amp;"|"&amp;B889</f>
        <v/>
      </c>
    </row>
    <row r="890" ht="15" customHeight="1">
      <c r="A890" s="5" t="n"/>
      <c r="B890" s="5" t="n"/>
      <c r="C890" s="5" t="n"/>
      <c r="D890" s="5" t="n"/>
      <c r="E890">
        <f>A890&amp;"|"&amp;B890</f>
        <v/>
      </c>
    </row>
    <row r="891" ht="15" customHeight="1">
      <c r="A891" s="5" t="n"/>
      <c r="B891" s="5" t="n"/>
      <c r="C891" s="5" t="n"/>
      <c r="D891" s="5" t="n"/>
      <c r="E891">
        <f>A891&amp;"|"&amp;B891</f>
        <v/>
      </c>
    </row>
    <row r="892" ht="15" customHeight="1">
      <c r="A892" s="5" t="n"/>
      <c r="B892" s="5" t="n"/>
      <c r="C892" s="5" t="n"/>
      <c r="D892" s="5" t="n"/>
      <c r="E892">
        <f>A892&amp;"|"&amp;B892</f>
        <v/>
      </c>
    </row>
    <row r="893" ht="15" customHeight="1">
      <c r="A893" s="5" t="n"/>
      <c r="B893" s="5" t="n"/>
      <c r="C893" s="5" t="n"/>
      <c r="D893" s="5" t="n"/>
      <c r="E893">
        <f>A893&amp;"|"&amp;B893</f>
        <v/>
      </c>
    </row>
    <row r="894" ht="15" customHeight="1">
      <c r="A894" s="5" t="n"/>
      <c r="B894" s="5" t="n"/>
      <c r="C894" s="5" t="n"/>
      <c r="D894" s="5" t="n"/>
      <c r="E894">
        <f>A894&amp;"|"&amp;B894</f>
        <v/>
      </c>
    </row>
    <row r="895" ht="15" customHeight="1">
      <c r="A895" s="5" t="n"/>
      <c r="B895" s="5" t="n"/>
      <c r="C895" s="5" t="n"/>
      <c r="D895" s="5" t="n"/>
      <c r="E895">
        <f>A895&amp;"|"&amp;B895</f>
        <v/>
      </c>
    </row>
    <row r="896" ht="15" customHeight="1">
      <c r="A896" s="5" t="n"/>
      <c r="B896" s="5" t="n"/>
      <c r="C896" s="5" t="n"/>
      <c r="D896" s="5" t="n"/>
      <c r="E896">
        <f>A896&amp;"|"&amp;B896</f>
        <v/>
      </c>
    </row>
    <row r="897" ht="15" customHeight="1">
      <c r="A897" s="5" t="n"/>
      <c r="B897" s="5" t="n"/>
      <c r="C897" s="5" t="n"/>
      <c r="D897" s="5" t="n"/>
      <c r="E897">
        <f>A897&amp;"|"&amp;B897</f>
        <v/>
      </c>
    </row>
    <row r="898" ht="15" customHeight="1">
      <c r="A898" s="5" t="n"/>
      <c r="B898" s="5" t="n"/>
      <c r="C898" s="5" t="n"/>
      <c r="D898" s="5" t="n"/>
      <c r="E898">
        <f>A898&amp;"|"&amp;B898</f>
        <v/>
      </c>
    </row>
    <row r="899" ht="15" customHeight="1">
      <c r="A899" s="5" t="n"/>
      <c r="B899" s="5" t="n"/>
      <c r="C899" s="5" t="n"/>
      <c r="D899" s="5" t="n"/>
      <c r="E899">
        <f>A899&amp;"|"&amp;B899</f>
        <v/>
      </c>
    </row>
    <row r="900" ht="15" customHeight="1">
      <c r="A900" s="5" t="n"/>
      <c r="B900" s="5" t="n"/>
      <c r="C900" s="5" t="n"/>
      <c r="D900" s="5" t="n"/>
      <c r="E900">
        <f>A900&amp;"|"&amp;B900</f>
        <v/>
      </c>
    </row>
    <row r="901" ht="15" customHeight="1">
      <c r="A901" s="5" t="n"/>
      <c r="B901" s="5" t="n"/>
      <c r="C901" s="5" t="n"/>
      <c r="D901" s="5" t="n"/>
      <c r="E901">
        <f>A901&amp;"|"&amp;B901</f>
        <v/>
      </c>
    </row>
    <row r="902" ht="15" customHeight="1">
      <c r="A902" s="5" t="n"/>
      <c r="B902" s="5" t="n"/>
      <c r="C902" s="5" t="n"/>
      <c r="D902" s="5" t="n"/>
      <c r="E902">
        <f>A902&amp;"|"&amp;B902</f>
        <v/>
      </c>
    </row>
    <row r="903" ht="15" customHeight="1">
      <c r="A903" s="5" t="n"/>
      <c r="B903" s="5" t="n"/>
      <c r="C903" s="5" t="n"/>
      <c r="D903" s="5" t="n"/>
      <c r="E903">
        <f>A903&amp;"|"&amp;B903</f>
        <v/>
      </c>
    </row>
    <row r="904" ht="15" customHeight="1">
      <c r="A904" s="5" t="n"/>
      <c r="B904" s="5" t="n"/>
      <c r="C904" s="5" t="n"/>
      <c r="D904" s="5" t="n"/>
      <c r="E904">
        <f>A904&amp;"|"&amp;B904</f>
        <v/>
      </c>
    </row>
    <row r="905" ht="15" customHeight="1">
      <c r="A905" s="5" t="n"/>
      <c r="B905" s="5" t="n"/>
      <c r="C905" s="5" t="n"/>
      <c r="D905" s="5" t="n"/>
      <c r="E905">
        <f>A905&amp;"|"&amp;B905</f>
        <v/>
      </c>
    </row>
    <row r="906" ht="15" customHeight="1">
      <c r="A906" s="5" t="n"/>
      <c r="B906" s="5" t="n"/>
      <c r="C906" s="5" t="n"/>
      <c r="D906" s="5" t="n"/>
      <c r="E906">
        <f>A906&amp;"|"&amp;B906</f>
        <v/>
      </c>
    </row>
    <row r="907" ht="15" customHeight="1">
      <c r="A907" s="5" t="n"/>
      <c r="B907" s="5" t="n"/>
      <c r="C907" s="5" t="n"/>
      <c r="D907" s="5" t="n"/>
      <c r="E907">
        <f>A907&amp;"|"&amp;B907</f>
        <v/>
      </c>
    </row>
    <row r="908" ht="15" customHeight="1">
      <c r="A908" s="5" t="n"/>
      <c r="B908" s="5" t="n"/>
      <c r="C908" s="5" t="n"/>
      <c r="D908" s="5" t="n"/>
      <c r="E908">
        <f>A908&amp;"|"&amp;B908</f>
        <v/>
      </c>
    </row>
    <row r="909" ht="15" customHeight="1">
      <c r="A909" s="5" t="n"/>
      <c r="B909" s="5" t="n"/>
      <c r="C909" s="5" t="n"/>
      <c r="D909" s="5" t="n"/>
      <c r="E909">
        <f>A909&amp;"|"&amp;B909</f>
        <v/>
      </c>
    </row>
    <row r="910" ht="15" customHeight="1">
      <c r="A910" s="5" t="n"/>
      <c r="B910" s="5" t="n"/>
      <c r="C910" s="5" t="n"/>
      <c r="D910" s="5" t="n"/>
      <c r="E910">
        <f>A910&amp;"|"&amp;B910</f>
        <v/>
      </c>
    </row>
    <row r="911" ht="15" customHeight="1">
      <c r="A911" s="5" t="n"/>
      <c r="B911" s="5" t="n"/>
      <c r="C911" s="5" t="n"/>
      <c r="D911" s="5" t="n"/>
      <c r="E911">
        <f>A911&amp;"|"&amp;B911</f>
        <v/>
      </c>
    </row>
    <row r="912" ht="15" customHeight="1">
      <c r="A912" s="5" t="n"/>
      <c r="B912" s="5" t="n"/>
      <c r="C912" s="5" t="n"/>
      <c r="D912" s="5" t="n"/>
      <c r="E912">
        <f>A912&amp;"|"&amp;B912</f>
        <v/>
      </c>
    </row>
    <row r="913" ht="15" customHeight="1">
      <c r="A913" s="5" t="n"/>
      <c r="B913" s="5" t="n"/>
      <c r="C913" s="5" t="n"/>
      <c r="D913" s="5" t="n"/>
      <c r="E913">
        <f>A913&amp;"|"&amp;B913</f>
        <v/>
      </c>
    </row>
    <row r="914" ht="15" customHeight="1">
      <c r="A914" s="5" t="n"/>
      <c r="B914" s="5" t="n"/>
      <c r="C914" s="5" t="n"/>
      <c r="D914" s="5" t="n"/>
      <c r="E914">
        <f>A914&amp;"|"&amp;B914</f>
        <v/>
      </c>
    </row>
    <row r="915" ht="15" customHeight="1">
      <c r="A915" s="5" t="n"/>
      <c r="B915" s="5" t="n"/>
      <c r="C915" s="5" t="n"/>
      <c r="D915" s="5" t="n"/>
      <c r="E915">
        <f>A915&amp;"|"&amp;B915</f>
        <v/>
      </c>
    </row>
    <row r="916" ht="15" customHeight="1">
      <c r="A916" s="5" t="n"/>
      <c r="B916" s="5" t="n"/>
      <c r="C916" s="5" t="n"/>
      <c r="D916" s="5" t="n"/>
      <c r="E916">
        <f>A916&amp;"|"&amp;B916</f>
        <v/>
      </c>
    </row>
    <row r="917" ht="15" customHeight="1">
      <c r="A917" s="5" t="n"/>
      <c r="B917" s="5" t="n"/>
      <c r="C917" s="5" t="n"/>
      <c r="D917" s="5" t="n"/>
      <c r="E917">
        <f>A917&amp;"|"&amp;B917</f>
        <v/>
      </c>
    </row>
    <row r="918" ht="15" customHeight="1">
      <c r="A918" s="5" t="n"/>
      <c r="B918" s="5" t="n"/>
      <c r="C918" s="5" t="n"/>
      <c r="D918" s="5" t="n"/>
      <c r="E918">
        <f>A918&amp;"|"&amp;B918</f>
        <v/>
      </c>
    </row>
    <row r="919" ht="15" customHeight="1">
      <c r="A919" s="5" t="n"/>
      <c r="B919" s="5" t="n"/>
      <c r="C919" s="5" t="n"/>
      <c r="D919" s="5" t="n"/>
      <c r="E919">
        <f>A919&amp;"|"&amp;B919</f>
        <v/>
      </c>
    </row>
    <row r="920" ht="15" customHeight="1">
      <c r="A920" s="5" t="n"/>
      <c r="B920" s="5" t="n"/>
      <c r="C920" s="5" t="n"/>
      <c r="D920" s="5" t="n"/>
      <c r="E920">
        <f>A920&amp;"|"&amp;B920</f>
        <v/>
      </c>
    </row>
    <row r="921" ht="15" customHeight="1">
      <c r="A921" s="5" t="n"/>
      <c r="B921" s="5" t="n"/>
      <c r="C921" s="5" t="n"/>
      <c r="D921" s="5" t="n"/>
      <c r="E921">
        <f>A921&amp;"|"&amp;B921</f>
        <v/>
      </c>
    </row>
    <row r="922" ht="15" customHeight="1">
      <c r="A922" s="5" t="n"/>
      <c r="B922" s="5" t="n"/>
      <c r="C922" s="5" t="n"/>
      <c r="D922" s="5" t="n"/>
      <c r="E922">
        <f>A922&amp;"|"&amp;B922</f>
        <v/>
      </c>
    </row>
    <row r="923" ht="15" customHeight="1">
      <c r="A923" s="5" t="n"/>
      <c r="B923" s="5" t="n"/>
      <c r="C923" s="5" t="n"/>
      <c r="D923" s="5" t="n"/>
      <c r="E923">
        <f>A923&amp;"|"&amp;B923</f>
        <v/>
      </c>
    </row>
    <row r="924" ht="15" customHeight="1">
      <c r="A924" s="5" t="n"/>
      <c r="B924" s="5" t="n"/>
      <c r="C924" s="5" t="n"/>
      <c r="D924" s="5" t="n"/>
      <c r="E924">
        <f>A924&amp;"|"&amp;B924</f>
        <v/>
      </c>
    </row>
    <row r="925" ht="15" customHeight="1">
      <c r="A925" s="5" t="n"/>
      <c r="B925" s="5" t="n"/>
      <c r="C925" s="5" t="n"/>
      <c r="D925" s="5" t="n"/>
      <c r="E925">
        <f>A925&amp;"|"&amp;B925</f>
        <v/>
      </c>
    </row>
    <row r="926" ht="15" customHeight="1">
      <c r="A926" s="5" t="n"/>
      <c r="B926" s="5" t="n"/>
      <c r="C926" s="5" t="n"/>
      <c r="D926" s="5" t="n"/>
      <c r="E926">
        <f>A926&amp;"|"&amp;B926</f>
        <v/>
      </c>
    </row>
    <row r="927" ht="15" customHeight="1">
      <c r="A927" s="5" t="n"/>
      <c r="B927" s="5" t="n"/>
      <c r="C927" s="5" t="n"/>
      <c r="D927" s="5" t="n"/>
      <c r="E927">
        <f>A927&amp;"|"&amp;B927</f>
        <v/>
      </c>
    </row>
    <row r="928" ht="15" customHeight="1">
      <c r="A928" s="5" t="n"/>
      <c r="B928" s="5" t="n"/>
      <c r="C928" s="5" t="n"/>
      <c r="D928" s="5" t="n"/>
      <c r="E928">
        <f>A928&amp;"|"&amp;B928</f>
        <v/>
      </c>
    </row>
    <row r="929" ht="15" customHeight="1">
      <c r="A929" s="5" t="n"/>
      <c r="B929" s="5" t="n"/>
      <c r="C929" s="5" t="n"/>
      <c r="D929" s="5" t="n"/>
      <c r="E929">
        <f>A929&amp;"|"&amp;B929</f>
        <v/>
      </c>
    </row>
    <row r="930" ht="15" customHeight="1">
      <c r="A930" s="5" t="n"/>
      <c r="B930" s="5" t="n"/>
      <c r="C930" s="5" t="n"/>
      <c r="D930" s="5" t="n"/>
      <c r="E930">
        <f>A930&amp;"|"&amp;B930</f>
        <v/>
      </c>
    </row>
    <row r="931" ht="15" customHeight="1">
      <c r="A931" s="5" t="n"/>
      <c r="B931" s="5" t="n"/>
      <c r="C931" s="5" t="n"/>
      <c r="D931" s="5" t="n"/>
      <c r="E931">
        <f>A931&amp;"|"&amp;B931</f>
        <v/>
      </c>
    </row>
    <row r="932" ht="15" customHeight="1">
      <c r="A932" s="5" t="n"/>
      <c r="B932" s="5" t="n"/>
      <c r="C932" s="5" t="n"/>
      <c r="D932" s="5" t="n"/>
      <c r="E932">
        <f>A932&amp;"|"&amp;B932</f>
        <v/>
      </c>
    </row>
    <row r="933" ht="15" customHeight="1">
      <c r="A933" s="5" t="n"/>
      <c r="B933" s="5" t="n"/>
      <c r="C933" s="5" t="n"/>
      <c r="D933" s="5" t="n"/>
      <c r="E933">
        <f>A933&amp;"|"&amp;B933</f>
        <v/>
      </c>
    </row>
    <row r="934" ht="15" customHeight="1">
      <c r="A934" s="5" t="n"/>
      <c r="B934" s="5" t="n"/>
      <c r="C934" s="5" t="n"/>
      <c r="D934" s="5" t="n"/>
      <c r="E934">
        <f>A934&amp;"|"&amp;B934</f>
        <v/>
      </c>
    </row>
    <row r="935" ht="15" customHeight="1">
      <c r="A935" s="5" t="n"/>
      <c r="B935" s="5" t="n"/>
      <c r="C935" s="5" t="n"/>
      <c r="D935" s="5" t="n"/>
      <c r="E935">
        <f>A935&amp;"|"&amp;B935</f>
        <v/>
      </c>
    </row>
    <row r="936" ht="15" customHeight="1">
      <c r="A936" s="5" t="n"/>
      <c r="B936" s="5" t="n"/>
      <c r="C936" s="5" t="n"/>
      <c r="D936" s="5" t="n"/>
      <c r="E936">
        <f>A936&amp;"|"&amp;B936</f>
        <v/>
      </c>
    </row>
    <row r="937" ht="15" customHeight="1">
      <c r="A937" s="5" t="n"/>
      <c r="B937" s="5" t="n"/>
      <c r="C937" s="5" t="n"/>
      <c r="D937" s="5" t="n"/>
      <c r="E937">
        <f>A937&amp;"|"&amp;B937</f>
        <v/>
      </c>
    </row>
    <row r="938" ht="15" customHeight="1">
      <c r="A938" s="5" t="n"/>
      <c r="B938" s="5" t="n"/>
      <c r="C938" s="5" t="n"/>
      <c r="D938" s="5" t="n"/>
      <c r="E938">
        <f>A938&amp;"|"&amp;B938</f>
        <v/>
      </c>
    </row>
    <row r="939" ht="15" customHeight="1">
      <c r="A939" s="5" t="n"/>
      <c r="B939" s="5" t="n"/>
      <c r="C939" s="5" t="n"/>
      <c r="D939" s="5" t="n"/>
      <c r="E939">
        <f>A939&amp;"|"&amp;B939</f>
        <v/>
      </c>
    </row>
    <row r="940" ht="15" customHeight="1">
      <c r="A940" s="5" t="n"/>
      <c r="B940" s="5" t="n"/>
      <c r="C940" s="5" t="n"/>
      <c r="D940" s="5" t="n"/>
      <c r="E940">
        <f>A940&amp;"|"&amp;B940</f>
        <v/>
      </c>
    </row>
    <row r="941" ht="15" customHeight="1">
      <c r="A941" s="5" t="n"/>
      <c r="B941" s="5" t="n"/>
      <c r="C941" s="5" t="n"/>
      <c r="D941" s="5" t="n"/>
      <c r="E941">
        <f>A941&amp;"|"&amp;B941</f>
        <v/>
      </c>
    </row>
    <row r="942" ht="15" customHeight="1">
      <c r="A942" s="5" t="n"/>
      <c r="B942" s="5" t="n"/>
      <c r="C942" s="5" t="n"/>
      <c r="D942" s="5" t="n"/>
      <c r="E942">
        <f>A942&amp;"|"&amp;B942</f>
        <v/>
      </c>
    </row>
    <row r="943" ht="15" customHeight="1">
      <c r="A943" s="5" t="n"/>
      <c r="B943" s="5" t="n"/>
      <c r="C943" s="5" t="n"/>
      <c r="D943" s="5" t="n"/>
      <c r="E943">
        <f>A943&amp;"|"&amp;B943</f>
        <v/>
      </c>
    </row>
    <row r="944" ht="15" customHeight="1">
      <c r="A944" s="5" t="n"/>
      <c r="B944" s="5" t="n"/>
      <c r="C944" s="5" t="n"/>
      <c r="D944" s="5" t="n"/>
      <c r="E944">
        <f>A944&amp;"|"&amp;B944</f>
        <v/>
      </c>
    </row>
    <row r="945" ht="15" customHeight="1">
      <c r="A945" s="5" t="n"/>
      <c r="B945" s="5" t="n"/>
      <c r="C945" s="5" t="n"/>
      <c r="D945" s="5" t="n"/>
      <c r="E945">
        <f>A945&amp;"|"&amp;B945</f>
        <v/>
      </c>
    </row>
    <row r="946" ht="15" customHeight="1">
      <c r="A946" s="5" t="n"/>
      <c r="B946" s="5" t="n"/>
      <c r="C946" s="5" t="n"/>
      <c r="D946" s="5" t="n"/>
      <c r="E946">
        <f>A946&amp;"|"&amp;B946</f>
        <v/>
      </c>
    </row>
    <row r="947" ht="15" customHeight="1">
      <c r="A947" s="5" t="n"/>
      <c r="B947" s="5" t="n"/>
      <c r="C947" s="5" t="n"/>
      <c r="D947" s="5" t="n"/>
      <c r="E947">
        <f>A947&amp;"|"&amp;B947</f>
        <v/>
      </c>
    </row>
    <row r="948" ht="15" customHeight="1">
      <c r="A948" s="5" t="n"/>
      <c r="B948" s="5" t="n"/>
      <c r="C948" s="5" t="n"/>
      <c r="D948" s="5" t="n"/>
      <c r="E948">
        <f>A948&amp;"|"&amp;B948</f>
        <v/>
      </c>
    </row>
    <row r="949" ht="15" customHeight="1">
      <c r="A949" s="5" t="n"/>
      <c r="B949" s="5" t="n"/>
      <c r="C949" s="5" t="n"/>
      <c r="D949" s="5" t="n"/>
      <c r="E949">
        <f>A949&amp;"|"&amp;B949</f>
        <v/>
      </c>
    </row>
    <row r="950" ht="15" customHeight="1">
      <c r="A950" s="5" t="n"/>
      <c r="B950" s="5" t="n"/>
      <c r="C950" s="5" t="n"/>
      <c r="D950" s="5" t="n"/>
      <c r="E950">
        <f>A950&amp;"|"&amp;B950</f>
        <v/>
      </c>
    </row>
    <row r="951" ht="15" customHeight="1">
      <c r="A951" s="5" t="n"/>
      <c r="B951" s="5" t="n"/>
      <c r="C951" s="5" t="n"/>
      <c r="D951" s="5" t="n"/>
      <c r="E951">
        <f>A951&amp;"|"&amp;B951</f>
        <v/>
      </c>
    </row>
    <row r="952" ht="15" customHeight="1">
      <c r="A952" s="5" t="n"/>
      <c r="B952" s="5" t="n"/>
      <c r="C952" s="5" t="n"/>
      <c r="D952" s="5" t="n"/>
      <c r="E952">
        <f>A952&amp;"|"&amp;B952</f>
        <v/>
      </c>
    </row>
    <row r="953" ht="15" customHeight="1">
      <c r="A953" s="5" t="n"/>
      <c r="B953" s="5" t="n"/>
      <c r="C953" s="5" t="n"/>
      <c r="D953" s="5" t="n"/>
      <c r="E953">
        <f>A953&amp;"|"&amp;B953</f>
        <v/>
      </c>
    </row>
    <row r="954" ht="15" customHeight="1">
      <c r="A954" s="5" t="n"/>
      <c r="B954" s="5" t="n"/>
      <c r="C954" s="5" t="n"/>
      <c r="D954" s="5" t="n"/>
      <c r="E954">
        <f>A954&amp;"|"&amp;B954</f>
        <v/>
      </c>
    </row>
    <row r="955" ht="15" customHeight="1">
      <c r="A955" s="5" t="n"/>
      <c r="B955" s="5" t="n"/>
      <c r="C955" s="5" t="n"/>
      <c r="D955" s="5" t="n"/>
      <c r="E955">
        <f>A955&amp;"|"&amp;B955</f>
        <v/>
      </c>
    </row>
    <row r="956" ht="15" customHeight="1">
      <c r="A956" s="5" t="n"/>
      <c r="B956" s="5" t="n"/>
      <c r="C956" s="5" t="n"/>
      <c r="D956" s="5" t="n"/>
      <c r="E956">
        <f>A956&amp;"|"&amp;B956</f>
        <v/>
      </c>
    </row>
    <row r="957" ht="15" customHeight="1">
      <c r="A957" s="5" t="n"/>
      <c r="B957" s="5" t="n"/>
      <c r="C957" s="5" t="n"/>
      <c r="D957" s="5" t="n"/>
      <c r="E957">
        <f>A957&amp;"|"&amp;B957</f>
        <v/>
      </c>
    </row>
    <row r="958" ht="15" customHeight="1">
      <c r="A958" s="5" t="n"/>
      <c r="B958" s="5" t="n"/>
      <c r="C958" s="5" t="n"/>
      <c r="D958" s="5" t="n"/>
      <c r="E958">
        <f>A958&amp;"|"&amp;B958</f>
        <v/>
      </c>
    </row>
    <row r="959" ht="15" customHeight="1">
      <c r="A959" s="5" t="n"/>
      <c r="B959" s="5" t="n"/>
      <c r="C959" s="5" t="n"/>
      <c r="D959" s="5" t="n"/>
      <c r="E959">
        <f>A959&amp;"|"&amp;B959</f>
        <v/>
      </c>
    </row>
    <row r="960" ht="15" customHeight="1">
      <c r="A960" s="5" t="n"/>
      <c r="B960" s="5" t="n"/>
      <c r="C960" s="5" t="n"/>
      <c r="D960" s="5" t="n"/>
      <c r="E960">
        <f>A960&amp;"|"&amp;B960</f>
        <v/>
      </c>
    </row>
    <row r="961" ht="15" customHeight="1">
      <c r="A961" s="5" t="n"/>
      <c r="B961" s="5" t="n"/>
      <c r="C961" s="5" t="n"/>
      <c r="D961" s="5" t="n"/>
      <c r="E961">
        <f>A961&amp;"|"&amp;B961</f>
        <v/>
      </c>
    </row>
    <row r="962" ht="15" customHeight="1">
      <c r="A962" s="5" t="n"/>
      <c r="B962" s="5" t="n"/>
      <c r="C962" s="5" t="n"/>
      <c r="D962" s="5" t="n"/>
      <c r="E962">
        <f>A962&amp;"|"&amp;B962</f>
        <v/>
      </c>
    </row>
    <row r="963" ht="15" customHeight="1">
      <c r="A963" s="5" t="n"/>
      <c r="B963" s="5" t="n"/>
      <c r="C963" s="5" t="n"/>
      <c r="D963" s="5" t="n"/>
      <c r="E963">
        <f>A963&amp;"|"&amp;B963</f>
        <v/>
      </c>
    </row>
    <row r="964" ht="15" customHeight="1">
      <c r="A964" s="5" t="n"/>
      <c r="B964" s="5" t="n"/>
      <c r="C964" s="5" t="n"/>
      <c r="D964" s="5" t="n"/>
      <c r="E964">
        <f>A964&amp;"|"&amp;B964</f>
        <v/>
      </c>
    </row>
    <row r="965" ht="15" customHeight="1">
      <c r="A965" s="5" t="n"/>
      <c r="B965" s="5" t="n"/>
      <c r="C965" s="5" t="n"/>
      <c r="D965" s="5" t="n"/>
      <c r="E965">
        <f>A965&amp;"|"&amp;B965</f>
        <v/>
      </c>
    </row>
    <row r="966" ht="15" customHeight="1">
      <c r="A966" s="5" t="n"/>
      <c r="B966" s="5" t="n"/>
      <c r="C966" s="5" t="n"/>
      <c r="D966" s="5" t="n"/>
      <c r="E966">
        <f>A966&amp;"|"&amp;B966</f>
        <v/>
      </c>
    </row>
    <row r="967" ht="15" customHeight="1">
      <c r="A967" s="5" t="n"/>
      <c r="B967" s="5" t="n"/>
      <c r="C967" s="5" t="n"/>
      <c r="D967" s="5" t="n"/>
      <c r="E967">
        <f>A967&amp;"|"&amp;B967</f>
        <v/>
      </c>
    </row>
    <row r="968" ht="15" customHeight="1">
      <c r="A968" s="5" t="n"/>
      <c r="B968" s="5" t="n"/>
      <c r="C968" s="5" t="n"/>
      <c r="D968" s="5" t="n"/>
      <c r="E968">
        <f>A968&amp;"|"&amp;B968</f>
        <v/>
      </c>
    </row>
    <row r="969" ht="15" customHeight="1">
      <c r="A969" s="5" t="n"/>
      <c r="B969" s="5" t="n"/>
      <c r="C969" s="5" t="n"/>
      <c r="D969" s="5" t="n"/>
      <c r="E969">
        <f>A969&amp;"|"&amp;B969</f>
        <v/>
      </c>
    </row>
    <row r="970" ht="15" customHeight="1">
      <c r="A970" s="5" t="n"/>
      <c r="B970" s="5" t="n"/>
      <c r="C970" s="5" t="n"/>
      <c r="D970" s="5" t="n"/>
      <c r="E970">
        <f>A970&amp;"|"&amp;B970</f>
        <v/>
      </c>
    </row>
    <row r="971" ht="15" customHeight="1">
      <c r="A971" s="5" t="n"/>
      <c r="B971" s="5" t="n"/>
      <c r="C971" s="5" t="n"/>
      <c r="D971" s="5" t="n"/>
      <c r="E971">
        <f>A971&amp;"|"&amp;B971</f>
        <v/>
      </c>
    </row>
    <row r="972" ht="15" customHeight="1">
      <c r="A972" s="5" t="n"/>
      <c r="B972" s="5" t="n"/>
      <c r="C972" s="5" t="n"/>
      <c r="D972" s="5" t="n"/>
      <c r="E972">
        <f>A972&amp;"|"&amp;B972</f>
        <v/>
      </c>
    </row>
    <row r="973" ht="15" customHeight="1">
      <c r="A973" s="5" t="n"/>
      <c r="B973" s="5" t="n"/>
      <c r="C973" s="5" t="n"/>
      <c r="D973" s="5" t="n"/>
      <c r="E973">
        <f>A973&amp;"|"&amp;B973</f>
        <v/>
      </c>
    </row>
    <row r="974" ht="15" customHeight="1">
      <c r="A974" s="5" t="n"/>
      <c r="B974" s="5" t="n"/>
      <c r="C974" s="5" t="n"/>
      <c r="D974" s="5" t="n"/>
      <c r="E974">
        <f>A974&amp;"|"&amp;B974</f>
        <v/>
      </c>
    </row>
    <row r="975" ht="15" customHeight="1">
      <c r="A975" s="5" t="n"/>
      <c r="B975" s="5" t="n"/>
      <c r="C975" s="5" t="n"/>
      <c r="D975" s="5" t="n"/>
      <c r="E975">
        <f>A975&amp;"|"&amp;B975</f>
        <v/>
      </c>
    </row>
    <row r="976" ht="15" customHeight="1">
      <c r="A976" s="5" t="n"/>
      <c r="B976" s="5" t="n"/>
      <c r="C976" s="5" t="n"/>
      <c r="D976" s="5" t="n"/>
      <c r="E976">
        <f>A976&amp;"|"&amp;B976</f>
        <v/>
      </c>
    </row>
    <row r="977" ht="15" customHeight="1">
      <c r="A977" s="5" t="n"/>
      <c r="B977" s="5" t="n"/>
      <c r="C977" s="5" t="n"/>
      <c r="D977" s="5" t="n"/>
      <c r="E977">
        <f>A977&amp;"|"&amp;B977</f>
        <v/>
      </c>
    </row>
    <row r="978" ht="15" customHeight="1">
      <c r="A978" s="5" t="n"/>
      <c r="B978" s="5" t="n"/>
      <c r="C978" s="5" t="n"/>
      <c r="D978" s="5" t="n"/>
      <c r="E978">
        <f>A978&amp;"|"&amp;B978</f>
        <v/>
      </c>
    </row>
    <row r="979" ht="15" customHeight="1">
      <c r="A979" s="5" t="n"/>
      <c r="B979" s="5" t="n"/>
      <c r="C979" s="5" t="n"/>
      <c r="D979" s="5" t="n"/>
      <c r="E979">
        <f>A979&amp;"|"&amp;B979</f>
        <v/>
      </c>
    </row>
    <row r="980" ht="15" customHeight="1">
      <c r="A980" s="5" t="n"/>
      <c r="B980" s="5" t="n"/>
      <c r="C980" s="5" t="n"/>
      <c r="D980" s="5" t="n"/>
      <c r="E980">
        <f>A980&amp;"|"&amp;B980</f>
        <v/>
      </c>
    </row>
    <row r="981" ht="15" customHeight="1">
      <c r="A981" s="5" t="n"/>
      <c r="B981" s="5" t="n"/>
      <c r="C981" s="5" t="n"/>
      <c r="D981" s="5" t="n"/>
      <c r="E981">
        <f>A981&amp;"|"&amp;B981</f>
        <v/>
      </c>
    </row>
    <row r="982" ht="15" customHeight="1">
      <c r="A982" s="5" t="n"/>
      <c r="B982" s="5" t="n"/>
      <c r="C982" s="5" t="n"/>
      <c r="D982" s="5" t="n"/>
      <c r="E982">
        <f>A982&amp;"|"&amp;B982</f>
        <v/>
      </c>
    </row>
    <row r="983" ht="15" customHeight="1">
      <c r="A983" s="5" t="n"/>
      <c r="B983" s="5" t="n"/>
      <c r="C983" s="5" t="n"/>
      <c r="D983" s="5" t="n"/>
      <c r="E983">
        <f>A983&amp;"|"&amp;B983</f>
        <v/>
      </c>
    </row>
    <row r="984" ht="15" customHeight="1">
      <c r="A984" s="5" t="n"/>
      <c r="B984" s="5" t="n"/>
      <c r="C984" s="5" t="n"/>
      <c r="D984" s="5" t="n"/>
      <c r="E984">
        <f>A984&amp;"|"&amp;B984</f>
        <v/>
      </c>
    </row>
    <row r="985" ht="15" customHeight="1">
      <c r="A985" s="5" t="n"/>
      <c r="B985" s="5" t="n"/>
      <c r="C985" s="5" t="n"/>
      <c r="D985" s="5" t="n"/>
      <c r="E985">
        <f>A985&amp;"|"&amp;B985</f>
        <v/>
      </c>
    </row>
    <row r="986" ht="15" customHeight="1">
      <c r="A986" s="5" t="n"/>
      <c r="B986" s="5" t="n"/>
      <c r="C986" s="5" t="n"/>
      <c r="D986" s="5" t="n"/>
      <c r="E986">
        <f>A986&amp;"|"&amp;B986</f>
        <v/>
      </c>
    </row>
    <row r="987" ht="15" customHeight="1">
      <c r="A987" s="5" t="n"/>
      <c r="B987" s="5" t="n"/>
      <c r="C987" s="5" t="n"/>
      <c r="D987" s="5" t="n"/>
      <c r="E987">
        <f>A987&amp;"|"&amp;B987</f>
        <v/>
      </c>
    </row>
    <row r="988" ht="15" customHeight="1">
      <c r="A988" s="5" t="n"/>
      <c r="B988" s="5" t="n"/>
      <c r="C988" s="5" t="n"/>
      <c r="D988" s="5" t="n"/>
      <c r="E988">
        <f>A988&amp;"|"&amp;B988</f>
        <v/>
      </c>
    </row>
    <row r="989" ht="15" customHeight="1">
      <c r="A989" s="5" t="n"/>
      <c r="B989" s="5" t="n"/>
      <c r="C989" s="5" t="n"/>
      <c r="D989" s="5" t="n"/>
      <c r="E989">
        <f>A989&amp;"|"&amp;B989</f>
        <v/>
      </c>
    </row>
    <row r="990" ht="15" customHeight="1">
      <c r="A990" s="5" t="n"/>
      <c r="B990" s="5" t="n"/>
      <c r="C990" s="5" t="n"/>
      <c r="D990" s="5" t="n"/>
      <c r="E990">
        <f>A990&amp;"|"&amp;B990</f>
        <v/>
      </c>
    </row>
    <row r="991" ht="15" customHeight="1">
      <c r="A991" s="5" t="n"/>
      <c r="B991" s="5" t="n"/>
      <c r="C991" s="5" t="n"/>
      <c r="D991" s="5" t="n"/>
      <c r="E991">
        <f>A991&amp;"|"&amp;B991</f>
        <v/>
      </c>
    </row>
    <row r="992" ht="15" customHeight="1">
      <c r="A992" s="5" t="n"/>
      <c r="B992" s="5" t="n"/>
      <c r="C992" s="5" t="n"/>
      <c r="D992" s="5" t="n"/>
      <c r="E992">
        <f>A992&amp;"|"&amp;B992</f>
        <v/>
      </c>
    </row>
    <row r="993" ht="15" customHeight="1">
      <c r="A993" s="5" t="n"/>
      <c r="B993" s="5" t="n"/>
      <c r="C993" s="5" t="n"/>
      <c r="D993" s="5" t="n"/>
      <c r="E993">
        <f>A993&amp;"|"&amp;B993</f>
        <v/>
      </c>
    </row>
    <row r="994" ht="15" customHeight="1">
      <c r="A994" s="5" t="n"/>
      <c r="B994" s="5" t="n"/>
      <c r="C994" s="5" t="n"/>
      <c r="D994" s="5" t="n"/>
      <c r="E994">
        <f>A994&amp;"|"&amp;B994</f>
        <v/>
      </c>
    </row>
    <row r="995" ht="15" customHeight="1">
      <c r="A995" s="5" t="n"/>
      <c r="B995" s="5" t="n"/>
      <c r="C995" s="5" t="n"/>
      <c r="D995" s="5" t="n"/>
      <c r="E995">
        <f>A995&amp;"|"&amp;B995</f>
        <v/>
      </c>
    </row>
    <row r="996" ht="15" customHeight="1">
      <c r="A996" s="5" t="n"/>
      <c r="B996" s="5" t="n"/>
      <c r="C996" s="5" t="n"/>
      <c r="D996" s="5" t="n"/>
      <c r="E996">
        <f>A996&amp;"|"&amp;B996</f>
        <v/>
      </c>
    </row>
    <row r="997" ht="15" customHeight="1">
      <c r="A997" s="5" t="n"/>
      <c r="B997" s="5" t="n"/>
      <c r="C997" s="5" t="n"/>
      <c r="D997" s="5" t="n"/>
      <c r="E997">
        <f>A997&amp;"|"&amp;B997</f>
        <v/>
      </c>
    </row>
    <row r="998" ht="15" customHeight="1">
      <c r="A998" s="5" t="n"/>
      <c r="B998" s="5" t="n"/>
      <c r="C998" s="5" t="n"/>
      <c r="D998" s="5" t="n"/>
      <c r="E998">
        <f>A998&amp;"|"&amp;B998</f>
        <v/>
      </c>
    </row>
    <row r="999" ht="15" customHeight="1">
      <c r="A999" s="5" t="n"/>
      <c r="B999" s="5" t="n"/>
      <c r="C999" s="5" t="n"/>
      <c r="D999" s="5" t="n"/>
      <c r="E999">
        <f>A999&amp;"|"&amp;B999</f>
        <v/>
      </c>
    </row>
    <row r="1000" ht="15" customHeight="1">
      <c r="A1000" s="5" t="n"/>
      <c r="B1000" s="5" t="n"/>
      <c r="C1000" s="5" t="n"/>
      <c r="D1000" s="5" t="n"/>
      <c r="E1000">
        <f>A1000&amp;"|"&amp;B1000</f>
        <v/>
      </c>
    </row>
    <row r="1001" ht="15" customHeight="1">
      <c r="A1001" s="5" t="n"/>
      <c r="B1001" s="5" t="n"/>
      <c r="C1001" s="5" t="n"/>
      <c r="D1001" s="5" t="n"/>
      <c r="E1001">
        <f>A1001&amp;"|"&amp;B1001</f>
        <v/>
      </c>
    </row>
    <row r="1002" ht="15" customHeight="1">
      <c r="A1002" s="5" t="n"/>
      <c r="B1002" s="5" t="n"/>
      <c r="C1002" s="5" t="n"/>
      <c r="D1002" s="5" t="n"/>
      <c r="E1002">
        <f>A1002&amp;"|"&amp;B1002</f>
        <v/>
      </c>
    </row>
    <row r="1003" ht="15" customHeight="1">
      <c r="A1003" s="5" t="n"/>
      <c r="B1003" s="5" t="n"/>
      <c r="C1003" s="5" t="n"/>
      <c r="D1003" s="5" t="n"/>
      <c r="E1003">
        <f>A1003&amp;"|"&amp;B1003</f>
        <v/>
      </c>
    </row>
    <row r="1004" ht="15" customHeight="1">
      <c r="A1004" s="5" t="n"/>
      <c r="B1004" s="5" t="n"/>
      <c r="C1004" s="5" t="n"/>
      <c r="D1004" s="5" t="n"/>
      <c r="E1004">
        <f>A1004&amp;"|"&amp;B1004</f>
        <v/>
      </c>
    </row>
    <row r="1005" ht="15" customHeight="1">
      <c r="A1005" s="5" t="n"/>
      <c r="B1005" s="5" t="n"/>
      <c r="C1005" s="5" t="n"/>
      <c r="D1005" s="5" t="n"/>
      <c r="E1005">
        <f>A1005&amp;"|"&amp;B1005</f>
        <v/>
      </c>
    </row>
    <row r="1006" ht="15" customHeight="1">
      <c r="A1006" s="5" t="n"/>
      <c r="B1006" s="5" t="n"/>
      <c r="C1006" s="5" t="n"/>
      <c r="D1006" s="5" t="n"/>
      <c r="E1006">
        <f>A1006&amp;"|"&amp;B1006</f>
        <v/>
      </c>
    </row>
    <row r="1007" ht="15" customHeight="1">
      <c r="A1007" s="5" t="n"/>
      <c r="B1007" s="5" t="n"/>
      <c r="C1007" s="5" t="n"/>
      <c r="D1007" s="5" t="n"/>
      <c r="E1007">
        <f>A1007&amp;"|"&amp;B1007</f>
        <v/>
      </c>
    </row>
    <row r="1008" ht="15" customHeight="1">
      <c r="A1008" s="5" t="n"/>
      <c r="B1008" s="5" t="n"/>
      <c r="C1008" s="5" t="n"/>
      <c r="D1008" s="5" t="n"/>
      <c r="E1008">
        <f>A1008&amp;"|"&amp;B1008</f>
        <v/>
      </c>
    </row>
    <row r="1009" ht="15" customHeight="1">
      <c r="A1009" s="5" t="n"/>
      <c r="B1009" s="5" t="n"/>
      <c r="C1009" s="5" t="n"/>
      <c r="D1009" s="5" t="n"/>
      <c r="E1009">
        <f>A1009&amp;"|"&amp;B1009</f>
        <v/>
      </c>
    </row>
    <row r="1010" ht="15" customHeight="1">
      <c r="A1010" s="5" t="n"/>
      <c r="B1010" s="5" t="n"/>
      <c r="C1010" s="5" t="n"/>
      <c r="D1010" s="5" t="n"/>
      <c r="E1010">
        <f>A1010&amp;"|"&amp;B1010</f>
        <v/>
      </c>
    </row>
    <row r="1011" ht="15" customHeight="1">
      <c r="A1011" s="5" t="n"/>
      <c r="B1011" s="5" t="n"/>
      <c r="C1011" s="5" t="n"/>
      <c r="D1011" s="5" t="n"/>
      <c r="E1011">
        <f>A1011&amp;"|"&amp;B1011</f>
        <v/>
      </c>
    </row>
    <row r="1012" ht="15" customHeight="1">
      <c r="A1012" s="5" t="n"/>
      <c r="B1012" s="5" t="n"/>
      <c r="C1012" s="5" t="n"/>
      <c r="D1012" s="5" t="n"/>
      <c r="E1012">
        <f>A1012&amp;"|"&amp;B1012</f>
        <v/>
      </c>
    </row>
    <row r="1013" ht="15" customHeight="1">
      <c r="A1013" s="5" t="n"/>
      <c r="B1013" s="5" t="n"/>
      <c r="C1013" s="5" t="n"/>
      <c r="D1013" s="5" t="n"/>
      <c r="E1013">
        <f>A1013&amp;"|"&amp;B1013</f>
        <v/>
      </c>
    </row>
    <row r="1014" ht="15" customHeight="1">
      <c r="A1014" s="5" t="n"/>
      <c r="B1014" s="5" t="n"/>
      <c r="C1014" s="5" t="n"/>
      <c r="D1014" s="5" t="n"/>
      <c r="E1014">
        <f>A1014&amp;"|"&amp;B1014</f>
        <v/>
      </c>
    </row>
    <row r="1015" ht="15" customHeight="1">
      <c r="A1015" s="5" t="n"/>
      <c r="B1015" s="5" t="n"/>
      <c r="C1015" s="5" t="n"/>
      <c r="D1015" s="5" t="n"/>
      <c r="E1015">
        <f>A1015&amp;"|"&amp;B1015</f>
        <v/>
      </c>
    </row>
    <row r="1016" ht="15" customHeight="1">
      <c r="A1016" s="5" t="n"/>
      <c r="B1016" s="5" t="n"/>
      <c r="C1016" s="5" t="n"/>
      <c r="D1016" s="5" t="n"/>
      <c r="E1016">
        <f>A1016&amp;"|"&amp;B1016</f>
        <v/>
      </c>
    </row>
    <row r="1017" ht="15" customHeight="1">
      <c r="A1017" s="5" t="n"/>
      <c r="B1017" s="5" t="n"/>
      <c r="C1017" s="5" t="n"/>
      <c r="D1017" s="5" t="n"/>
      <c r="E1017">
        <f>A1017&amp;"|"&amp;B1017</f>
        <v/>
      </c>
    </row>
    <row r="1018" ht="15" customHeight="1">
      <c r="A1018" s="5" t="n"/>
      <c r="B1018" s="5" t="n"/>
      <c r="C1018" s="5" t="n"/>
      <c r="D1018" s="5" t="n"/>
      <c r="E1018">
        <f>A1018&amp;"|"&amp;B1018</f>
        <v/>
      </c>
    </row>
    <row r="1019" ht="15" customHeight="1">
      <c r="A1019" s="5" t="n"/>
      <c r="B1019" s="5" t="n"/>
      <c r="C1019" s="5" t="n"/>
      <c r="D1019" s="5" t="n"/>
      <c r="E1019">
        <f>A1019&amp;"|"&amp;B1019</f>
        <v/>
      </c>
    </row>
    <row r="1020" ht="15" customHeight="1">
      <c r="A1020" s="5" t="n"/>
      <c r="B1020" s="5" t="n"/>
      <c r="C1020" s="5" t="n"/>
      <c r="D1020" s="5" t="n"/>
      <c r="E1020">
        <f>A1020&amp;"|"&amp;B1020</f>
        <v/>
      </c>
    </row>
    <row r="1021" ht="15" customHeight="1">
      <c r="A1021" s="5" t="n"/>
      <c r="B1021" s="5" t="n"/>
      <c r="C1021" s="5" t="n"/>
      <c r="D1021" s="5" t="n"/>
      <c r="E1021">
        <f>A1021&amp;"|"&amp;B1021</f>
        <v/>
      </c>
    </row>
    <row r="1022" ht="15" customHeight="1">
      <c r="A1022" s="5" t="n"/>
      <c r="B1022" s="5" t="n"/>
      <c r="C1022" s="5" t="n"/>
      <c r="D1022" s="5" t="n"/>
      <c r="E1022">
        <f>A1022&amp;"|"&amp;B1022</f>
        <v/>
      </c>
    </row>
    <row r="1023" ht="15" customHeight="1">
      <c r="A1023" s="5" t="n"/>
      <c r="B1023" s="5" t="n"/>
      <c r="C1023" s="5" t="n"/>
      <c r="D1023" s="5" t="n"/>
      <c r="E1023">
        <f>A1023&amp;"|"&amp;B1023</f>
        <v/>
      </c>
    </row>
    <row r="1024" ht="15" customHeight="1">
      <c r="A1024" s="5" t="n"/>
      <c r="B1024" s="5" t="n"/>
      <c r="C1024" s="5" t="n"/>
      <c r="D1024" s="5" t="n"/>
      <c r="E1024">
        <f>A1024&amp;"|"&amp;B1024</f>
        <v/>
      </c>
    </row>
    <row r="1025" ht="15" customHeight="1">
      <c r="A1025" s="5" t="n"/>
      <c r="B1025" s="5" t="n"/>
      <c r="C1025" s="5" t="n"/>
      <c r="D1025" s="5" t="n"/>
      <c r="E1025">
        <f>A1025&amp;"|"&amp;B1025</f>
        <v/>
      </c>
    </row>
    <row r="1026" ht="15" customHeight="1">
      <c r="A1026" s="5" t="n"/>
      <c r="B1026" s="5" t="n"/>
      <c r="C1026" s="5" t="n"/>
      <c r="D1026" s="5" t="n"/>
      <c r="E1026">
        <f>A1026&amp;"|"&amp;B1026</f>
        <v/>
      </c>
    </row>
    <row r="1027" ht="15" customHeight="1">
      <c r="A1027" s="5" t="n"/>
      <c r="B1027" s="5" t="n"/>
      <c r="C1027" s="5" t="n"/>
      <c r="D1027" s="5" t="n"/>
      <c r="E1027">
        <f>A1027&amp;"|"&amp;B1027</f>
        <v/>
      </c>
    </row>
    <row r="1028" ht="15" customHeight="1">
      <c r="A1028" s="5" t="n"/>
      <c r="B1028" s="5" t="n"/>
      <c r="C1028" s="5" t="n"/>
      <c r="D1028" s="5" t="n"/>
      <c r="E1028">
        <f>A1028&amp;"|"&amp;B1028</f>
        <v/>
      </c>
    </row>
    <row r="1029" ht="15" customHeight="1">
      <c r="A1029" s="5" t="n"/>
      <c r="B1029" s="5" t="n"/>
      <c r="C1029" s="5" t="n"/>
      <c r="D1029" s="5" t="n"/>
      <c r="E1029">
        <f>A1029&amp;"|"&amp;B1029</f>
        <v/>
      </c>
    </row>
    <row r="1030" ht="15" customHeight="1">
      <c r="A1030" s="5" t="n"/>
      <c r="B1030" s="5" t="n"/>
      <c r="C1030" s="5" t="n"/>
      <c r="D1030" s="5" t="n"/>
      <c r="E1030">
        <f>A1030&amp;"|"&amp;B1030</f>
        <v/>
      </c>
    </row>
    <row r="1031" ht="15" customHeight="1">
      <c r="A1031" s="5" t="n"/>
      <c r="B1031" s="5" t="n"/>
      <c r="C1031" s="5" t="n"/>
      <c r="D1031" s="5" t="n"/>
      <c r="E1031">
        <f>A1031&amp;"|"&amp;B1031</f>
        <v/>
      </c>
    </row>
    <row r="1032" ht="15" customHeight="1">
      <c r="A1032" s="5" t="n"/>
      <c r="B1032" s="5" t="n"/>
      <c r="C1032" s="5" t="n"/>
      <c r="D1032" s="5" t="n"/>
      <c r="E1032">
        <f>A1032&amp;"|"&amp;B1032</f>
        <v/>
      </c>
    </row>
    <row r="1033" ht="15" customHeight="1">
      <c r="A1033" s="5" t="n"/>
      <c r="B1033" s="5" t="n"/>
      <c r="C1033" s="5" t="n"/>
      <c r="D1033" s="5" t="n"/>
      <c r="E1033">
        <f>A1033&amp;"|"&amp;B1033</f>
        <v/>
      </c>
    </row>
    <row r="1034" ht="15" customHeight="1">
      <c r="A1034" s="5" t="n"/>
      <c r="B1034" s="5" t="n"/>
      <c r="C1034" s="5" t="n"/>
      <c r="D1034" s="5" t="n"/>
      <c r="E1034">
        <f>A1034&amp;"|"&amp;B1034</f>
        <v/>
      </c>
    </row>
    <row r="1035" ht="15" customHeight="1">
      <c r="A1035" s="5" t="n"/>
      <c r="B1035" s="5" t="n"/>
      <c r="C1035" s="5" t="n"/>
      <c r="D1035" s="5" t="n"/>
      <c r="E1035">
        <f>A1035&amp;"|"&amp;B1035</f>
        <v/>
      </c>
    </row>
    <row r="1036" ht="15" customHeight="1">
      <c r="A1036" s="5" t="n"/>
      <c r="B1036" s="5" t="n"/>
      <c r="C1036" s="5" t="n"/>
      <c r="D1036" s="5" t="n"/>
      <c r="E1036">
        <f>A1036&amp;"|"&amp;B1036</f>
        <v/>
      </c>
    </row>
    <row r="1037" ht="15" customHeight="1">
      <c r="A1037" s="5" t="n"/>
      <c r="B1037" s="5" t="n"/>
      <c r="C1037" s="5" t="n"/>
      <c r="D1037" s="5" t="n"/>
      <c r="E1037">
        <f>A1037&amp;"|"&amp;B1037</f>
        <v/>
      </c>
    </row>
    <row r="1038" ht="15" customHeight="1">
      <c r="A1038" s="5" t="n"/>
      <c r="B1038" s="5" t="n"/>
      <c r="C1038" s="5" t="n"/>
      <c r="D1038" s="5" t="n"/>
      <c r="E1038">
        <f>A1038&amp;"|"&amp;B1038</f>
        <v/>
      </c>
    </row>
    <row r="1039" ht="15" customHeight="1">
      <c r="A1039" s="5" t="n"/>
      <c r="B1039" s="5" t="n"/>
      <c r="C1039" s="5" t="n"/>
      <c r="D1039" s="5" t="n"/>
      <c r="E1039">
        <f>A1039&amp;"|"&amp;B1039</f>
        <v/>
      </c>
    </row>
    <row r="1040" ht="15" customHeight="1">
      <c r="A1040" s="5" t="n"/>
      <c r="B1040" s="5" t="n"/>
      <c r="C1040" s="5" t="n"/>
      <c r="D1040" s="5" t="n"/>
      <c r="E1040">
        <f>A1040&amp;"|"&amp;B1040</f>
        <v/>
      </c>
    </row>
    <row r="1041" ht="15" customHeight="1">
      <c r="A1041" s="5" t="n"/>
      <c r="B1041" s="5" t="n"/>
      <c r="C1041" s="5" t="n"/>
      <c r="D1041" s="5" t="n"/>
      <c r="E1041">
        <f>A1041&amp;"|"&amp;B1041</f>
        <v/>
      </c>
    </row>
    <row r="1042" ht="15" customHeight="1">
      <c r="A1042" s="5" t="n"/>
      <c r="B1042" s="5" t="n"/>
      <c r="C1042" s="5" t="n"/>
      <c r="D1042" s="5" t="n"/>
      <c r="E1042">
        <f>A1042&amp;"|"&amp;B1042</f>
        <v/>
      </c>
    </row>
    <row r="1043" ht="15" customHeight="1">
      <c r="A1043" s="5" t="n"/>
      <c r="B1043" s="5" t="n"/>
      <c r="C1043" s="5" t="n"/>
      <c r="D1043" s="5" t="n"/>
      <c r="E1043">
        <f>A1043&amp;"|"&amp;B1043</f>
        <v/>
      </c>
    </row>
    <row r="1044" ht="15" customHeight="1">
      <c r="A1044" s="5" t="n"/>
      <c r="B1044" s="5" t="n"/>
      <c r="C1044" s="5" t="n"/>
      <c r="D1044" s="5" t="n"/>
      <c r="E1044">
        <f>A1044&amp;"|"&amp;B1044</f>
        <v/>
      </c>
    </row>
    <row r="1045" ht="15" customHeight="1">
      <c r="A1045" s="5" t="n"/>
      <c r="B1045" s="5" t="n"/>
      <c r="C1045" s="5" t="n"/>
      <c r="D1045" s="5" t="n"/>
      <c r="E1045">
        <f>A1045&amp;"|"&amp;B1045</f>
        <v/>
      </c>
    </row>
    <row r="1046" ht="15" customHeight="1">
      <c r="A1046" s="5" t="n"/>
      <c r="B1046" s="5" t="n"/>
      <c r="C1046" s="5" t="n"/>
      <c r="D1046" s="5" t="n"/>
      <c r="E1046">
        <f>A1046&amp;"|"&amp;B1046</f>
        <v/>
      </c>
    </row>
    <row r="1047" ht="15" customHeight="1">
      <c r="A1047" s="5" t="n"/>
      <c r="B1047" s="5" t="n"/>
      <c r="C1047" s="5" t="n"/>
      <c r="D1047" s="5" t="n"/>
      <c r="E1047">
        <f>A1047&amp;"|"&amp;B1047</f>
        <v/>
      </c>
    </row>
    <row r="1048" ht="15" customHeight="1">
      <c r="A1048" s="5" t="n"/>
      <c r="B1048" s="5" t="n"/>
      <c r="C1048" s="5" t="n"/>
      <c r="D1048" s="5" t="n"/>
      <c r="E1048">
        <f>A1048&amp;"|"&amp;B1048</f>
        <v/>
      </c>
    </row>
    <row r="1049" ht="15" customHeight="1">
      <c r="A1049" s="5" t="n"/>
      <c r="B1049" s="5" t="n"/>
      <c r="C1049" s="5" t="n"/>
      <c r="D1049" s="5" t="n"/>
      <c r="E1049">
        <f>A1049&amp;"|"&amp;B1049</f>
        <v/>
      </c>
    </row>
    <row r="1050" ht="15" customHeight="1">
      <c r="A1050" s="5" t="n"/>
      <c r="B1050" s="5" t="n"/>
      <c r="C1050" s="5" t="n"/>
      <c r="D1050" s="5" t="n"/>
      <c r="E1050">
        <f>A1050&amp;"|"&amp;B1050</f>
        <v/>
      </c>
    </row>
    <row r="1051" ht="15" customHeight="1">
      <c r="A1051" s="5" t="n"/>
      <c r="B1051" s="5" t="n"/>
      <c r="C1051" s="5" t="n"/>
      <c r="D1051" s="5" t="n"/>
      <c r="E1051">
        <f>A1051&amp;"|"&amp;B1051</f>
        <v/>
      </c>
    </row>
    <row r="1052" ht="15" customHeight="1">
      <c r="A1052" s="5" t="n"/>
      <c r="B1052" s="5" t="n"/>
      <c r="C1052" s="5" t="n"/>
      <c r="D1052" s="5" t="n"/>
      <c r="E1052">
        <f>A1052&amp;"|"&amp;B1052</f>
        <v/>
      </c>
    </row>
    <row r="1053" ht="15" customHeight="1">
      <c r="A1053" s="5" t="n"/>
      <c r="B1053" s="5" t="n"/>
      <c r="C1053" s="5" t="n"/>
      <c r="D1053" s="5" t="n"/>
      <c r="E1053">
        <f>A1053&amp;"|"&amp;B1053</f>
        <v/>
      </c>
    </row>
    <row r="1054" ht="15" customHeight="1">
      <c r="A1054" s="5" t="n"/>
      <c r="B1054" s="5" t="n"/>
      <c r="C1054" s="5" t="n"/>
      <c r="D1054" s="5" t="n"/>
      <c r="E1054">
        <f>A1054&amp;"|"&amp;B1054</f>
        <v/>
      </c>
    </row>
    <row r="1055" ht="15" customHeight="1">
      <c r="A1055" s="5" t="n"/>
      <c r="B1055" s="5" t="n"/>
      <c r="C1055" s="5" t="n"/>
      <c r="D1055" s="5" t="n"/>
      <c r="E1055">
        <f>A1055&amp;"|"&amp;B1055</f>
        <v/>
      </c>
    </row>
    <row r="1056" ht="15" customHeight="1">
      <c r="A1056" s="5" t="n"/>
      <c r="B1056" s="5" t="n"/>
      <c r="C1056" s="5" t="n"/>
      <c r="D1056" s="5" t="n"/>
      <c r="E1056">
        <f>A1056&amp;"|"&amp;B1056</f>
        <v/>
      </c>
    </row>
    <row r="1057" ht="15" customHeight="1">
      <c r="A1057" s="5" t="n"/>
      <c r="B1057" s="5" t="n"/>
      <c r="C1057" s="5" t="n"/>
      <c r="D1057" s="5" t="n"/>
      <c r="E1057">
        <f>A1057&amp;"|"&amp;B1057</f>
        <v/>
      </c>
    </row>
    <row r="1058" ht="15" customHeight="1">
      <c r="A1058" s="5" t="n"/>
      <c r="B1058" s="5" t="n"/>
      <c r="C1058" s="5" t="n"/>
      <c r="D1058" s="5" t="n"/>
      <c r="E1058">
        <f>A1058&amp;"|"&amp;B1058</f>
        <v/>
      </c>
    </row>
    <row r="1059" ht="15" customHeight="1">
      <c r="A1059" s="5" t="n"/>
      <c r="B1059" s="5" t="n"/>
      <c r="C1059" s="5" t="n"/>
      <c r="D1059" s="5" t="n"/>
      <c r="E1059">
        <f>A1059&amp;"|"&amp;B1059</f>
        <v/>
      </c>
    </row>
    <row r="1060" ht="15" customHeight="1">
      <c r="A1060" s="5" t="n"/>
      <c r="B1060" s="5" t="n"/>
      <c r="C1060" s="5" t="n"/>
      <c r="D1060" s="5" t="n"/>
      <c r="E1060">
        <f>A1060&amp;"|"&amp;B1060</f>
        <v/>
      </c>
    </row>
    <row r="1061" ht="15" customHeight="1">
      <c r="A1061" s="5" t="n"/>
      <c r="B1061" s="5" t="n"/>
      <c r="C1061" s="5" t="n"/>
      <c r="D1061" s="5" t="n"/>
      <c r="E1061">
        <f>A1061&amp;"|"&amp;B1061</f>
        <v/>
      </c>
    </row>
    <row r="1062" ht="15" customHeight="1">
      <c r="A1062" s="5" t="n"/>
      <c r="B1062" s="5" t="n"/>
      <c r="C1062" s="5" t="n"/>
      <c r="D1062" s="5" t="n"/>
      <c r="E1062">
        <f>A1062&amp;"|"&amp;B1062</f>
        <v/>
      </c>
    </row>
    <row r="1063" ht="15" customHeight="1">
      <c r="A1063" s="5" t="n"/>
      <c r="B1063" s="5" t="n"/>
      <c r="C1063" s="5" t="n"/>
      <c r="D1063" s="5" t="n"/>
      <c r="E1063">
        <f>A1063&amp;"|"&amp;B1063</f>
        <v/>
      </c>
    </row>
    <row r="1064" ht="15" customHeight="1">
      <c r="A1064" s="5" t="n"/>
      <c r="B1064" s="5" t="n"/>
      <c r="C1064" s="5" t="n"/>
      <c r="D1064" s="5" t="n"/>
      <c r="E1064">
        <f>A1064&amp;"|"&amp;B1064</f>
        <v/>
      </c>
    </row>
    <row r="1065" ht="15" customHeight="1">
      <c r="A1065" s="5" t="n"/>
      <c r="B1065" s="5" t="n"/>
      <c r="C1065" s="5" t="n"/>
      <c r="D1065" s="5" t="n"/>
      <c r="E1065">
        <f>A1065&amp;"|"&amp;B1065</f>
        <v/>
      </c>
    </row>
    <row r="1066" ht="15" customHeight="1">
      <c r="A1066" s="5" t="n"/>
      <c r="B1066" s="5" t="n"/>
      <c r="C1066" s="5" t="n"/>
      <c r="D1066" s="5" t="n"/>
      <c r="E1066">
        <f>A1066&amp;"|"&amp;B1066</f>
        <v/>
      </c>
    </row>
    <row r="1067" ht="15" customHeight="1">
      <c r="A1067" s="5" t="n"/>
      <c r="B1067" s="5" t="n"/>
      <c r="C1067" s="5" t="n"/>
      <c r="D1067" s="5" t="n"/>
      <c r="E1067">
        <f>A1067&amp;"|"&amp;B1067</f>
        <v/>
      </c>
    </row>
    <row r="1068" ht="15" customHeight="1">
      <c r="A1068" s="5" t="n"/>
      <c r="B1068" s="5" t="n"/>
      <c r="C1068" s="5" t="n"/>
      <c r="D1068" s="5" t="n"/>
      <c r="E1068">
        <f>A1068&amp;"|"&amp;B1068</f>
        <v/>
      </c>
    </row>
    <row r="1069" ht="15" customHeight="1">
      <c r="A1069" s="5" t="n"/>
      <c r="B1069" s="5" t="n"/>
      <c r="C1069" s="5" t="n"/>
      <c r="D1069" s="5" t="n"/>
      <c r="E1069">
        <f>A1069&amp;"|"&amp;B1069</f>
        <v/>
      </c>
    </row>
    <row r="1070" ht="15" customHeight="1">
      <c r="A1070" s="5" t="n"/>
      <c r="B1070" s="5" t="n"/>
      <c r="C1070" s="5" t="n"/>
      <c r="D1070" s="5" t="n"/>
      <c r="E1070">
        <f>A1070&amp;"|"&amp;B1070</f>
        <v/>
      </c>
    </row>
    <row r="1071" ht="15" customHeight="1">
      <c r="A1071" s="5" t="n"/>
      <c r="B1071" s="5" t="n"/>
      <c r="C1071" s="5" t="n"/>
      <c r="D1071" s="5" t="n"/>
      <c r="E1071">
        <f>A1071&amp;"|"&amp;B1071</f>
        <v/>
      </c>
    </row>
    <row r="1072" ht="15" customHeight="1">
      <c r="A1072" s="5" t="n"/>
      <c r="B1072" s="5" t="n"/>
      <c r="C1072" s="5" t="n"/>
      <c r="D1072" s="5" t="n"/>
      <c r="E1072">
        <f>A1072&amp;"|"&amp;B1072</f>
        <v/>
      </c>
    </row>
    <row r="1073" ht="15" customHeight="1">
      <c r="A1073" s="5" t="n"/>
      <c r="B1073" s="5" t="n"/>
      <c r="C1073" s="5" t="n"/>
      <c r="D1073" s="5" t="n"/>
      <c r="E1073">
        <f>A1073&amp;"|"&amp;B1073</f>
        <v/>
      </c>
    </row>
    <row r="1074" ht="15" customHeight="1">
      <c r="A1074" s="5" t="n"/>
      <c r="B1074" s="5" t="n"/>
      <c r="C1074" s="5" t="n"/>
      <c r="D1074" s="5" t="n"/>
      <c r="E1074">
        <f>A1074&amp;"|"&amp;B1074</f>
        <v/>
      </c>
    </row>
    <row r="1075" ht="15" customHeight="1">
      <c r="A1075" s="5" t="n"/>
      <c r="B1075" s="5" t="n"/>
      <c r="C1075" s="5" t="n"/>
      <c r="D1075" s="5" t="n"/>
      <c r="E1075">
        <f>A1075&amp;"|"&amp;B1075</f>
        <v/>
      </c>
    </row>
    <row r="1076" ht="15" customHeight="1">
      <c r="A1076" s="5" t="n"/>
      <c r="B1076" s="5" t="n"/>
      <c r="C1076" s="5" t="n"/>
      <c r="D1076" s="5" t="n"/>
      <c r="E1076">
        <f>A1076&amp;"|"&amp;B1076</f>
        <v/>
      </c>
    </row>
    <row r="1077" ht="15" customHeight="1">
      <c r="A1077" s="5" t="n"/>
      <c r="B1077" s="5" t="n"/>
      <c r="C1077" s="5" t="n"/>
      <c r="D1077" s="5" t="n"/>
      <c r="E1077">
        <f>A1077&amp;"|"&amp;B1077</f>
        <v/>
      </c>
    </row>
    <row r="1078" ht="15" customHeight="1">
      <c r="A1078" s="5" t="n"/>
      <c r="B1078" s="5" t="n"/>
      <c r="C1078" s="5" t="n"/>
      <c r="D1078" s="5" t="n"/>
      <c r="E1078">
        <f>A1078&amp;"|"&amp;B1078</f>
        <v/>
      </c>
    </row>
    <row r="1079" ht="15" customHeight="1">
      <c r="A1079" s="5" t="n"/>
      <c r="B1079" s="5" t="n"/>
      <c r="C1079" s="5" t="n"/>
      <c r="D1079" s="5" t="n"/>
      <c r="E1079">
        <f>A1079&amp;"|"&amp;B1079</f>
        <v/>
      </c>
    </row>
    <row r="1080" ht="15" customHeight="1">
      <c r="A1080" s="5" t="n"/>
      <c r="B1080" s="5" t="n"/>
      <c r="C1080" s="5" t="n"/>
      <c r="D1080" s="5" t="n"/>
      <c r="E1080">
        <f>A1080&amp;"|"&amp;B1080</f>
        <v/>
      </c>
    </row>
    <row r="1081" ht="15" customHeight="1">
      <c r="A1081" s="5" t="n"/>
      <c r="B1081" s="5" t="n"/>
      <c r="C1081" s="5" t="n"/>
      <c r="D1081" s="5" t="n"/>
      <c r="E1081">
        <f>A1081&amp;"|"&amp;B1081</f>
        <v/>
      </c>
    </row>
    <row r="1082" ht="15" customHeight="1">
      <c r="A1082" s="5" t="n"/>
      <c r="B1082" s="5" t="n"/>
      <c r="C1082" s="5" t="n"/>
      <c r="D1082" s="5" t="n"/>
      <c r="E1082">
        <f>A1082&amp;"|"&amp;B1082</f>
        <v/>
      </c>
    </row>
    <row r="1083" ht="15" customHeight="1">
      <c r="A1083" s="5" t="n"/>
      <c r="B1083" s="5" t="n"/>
      <c r="C1083" s="5" t="n"/>
      <c r="D1083" s="5" t="n"/>
      <c r="E1083">
        <f>A1083&amp;"|"&amp;B1083</f>
        <v/>
      </c>
    </row>
    <row r="1084" ht="15" customHeight="1">
      <c r="A1084" s="5" t="n"/>
      <c r="B1084" s="5" t="n"/>
      <c r="C1084" s="5" t="n"/>
      <c r="D1084" s="5" t="n"/>
      <c r="E1084">
        <f>A1084&amp;"|"&amp;B1084</f>
        <v/>
      </c>
    </row>
    <row r="1085" ht="15" customHeight="1">
      <c r="A1085" s="5" t="n"/>
      <c r="B1085" s="5" t="n"/>
      <c r="C1085" s="5" t="n"/>
      <c r="D1085" s="5" t="n"/>
      <c r="E1085">
        <f>A1085&amp;"|"&amp;B1085</f>
        <v/>
      </c>
    </row>
    <row r="1086" ht="15" customHeight="1">
      <c r="A1086" s="5" t="n"/>
      <c r="B1086" s="5" t="n"/>
      <c r="C1086" s="5" t="n"/>
      <c r="D1086" s="5" t="n"/>
      <c r="E1086">
        <f>A1086&amp;"|"&amp;B1086</f>
        <v/>
      </c>
    </row>
    <row r="1087" ht="15" customHeight="1">
      <c r="A1087" s="5" t="n"/>
      <c r="B1087" s="5" t="n"/>
      <c r="C1087" s="5" t="n"/>
      <c r="D1087" s="5" t="n"/>
      <c r="E1087">
        <f>A1087&amp;"|"&amp;B1087</f>
        <v/>
      </c>
    </row>
    <row r="1088" ht="15" customHeight="1">
      <c r="A1088" s="5" t="n"/>
      <c r="B1088" s="5" t="n"/>
      <c r="C1088" s="5" t="n"/>
      <c r="D1088" s="5" t="n"/>
      <c r="E1088">
        <f>A1088&amp;"|"&amp;B1088</f>
        <v/>
      </c>
    </row>
    <row r="1089" ht="15" customHeight="1">
      <c r="A1089" s="5" t="n"/>
      <c r="B1089" s="5" t="n"/>
      <c r="C1089" s="5" t="n"/>
      <c r="D1089" s="5" t="n"/>
      <c r="E1089">
        <f>A1089&amp;"|"&amp;B1089</f>
        <v/>
      </c>
    </row>
    <row r="1090" ht="15" customHeight="1">
      <c r="A1090" s="5" t="n"/>
      <c r="B1090" s="5" t="n"/>
      <c r="C1090" s="5" t="n"/>
      <c r="D1090" s="5" t="n"/>
      <c r="E1090">
        <f>A1090&amp;"|"&amp;B1090</f>
        <v/>
      </c>
    </row>
    <row r="1091" ht="15" customHeight="1">
      <c r="A1091" s="5" t="n"/>
      <c r="B1091" s="5" t="n"/>
      <c r="C1091" s="5" t="n"/>
      <c r="D1091" s="5" t="n"/>
      <c r="E1091">
        <f>A1091&amp;"|"&amp;B1091</f>
        <v/>
      </c>
    </row>
    <row r="1092" ht="15" customHeight="1">
      <c r="A1092" s="5" t="n"/>
      <c r="B1092" s="5" t="n"/>
      <c r="C1092" s="5" t="n"/>
      <c r="D1092" s="5" t="n"/>
      <c r="E1092">
        <f>A1092&amp;"|"&amp;B1092</f>
        <v/>
      </c>
    </row>
    <row r="1093" ht="15" customHeight="1">
      <c r="A1093" s="5" t="n"/>
      <c r="B1093" s="5" t="n"/>
      <c r="C1093" s="5" t="n"/>
      <c r="D1093" s="5" t="n"/>
      <c r="E1093">
        <f>A1093&amp;"|"&amp;B1093</f>
        <v/>
      </c>
    </row>
    <row r="1094" ht="15" customHeight="1">
      <c r="A1094" s="5" t="n"/>
      <c r="B1094" s="5" t="n"/>
      <c r="C1094" s="5" t="n"/>
      <c r="D1094" s="5" t="n"/>
      <c r="E1094">
        <f>A1094&amp;"|"&amp;B1094</f>
        <v/>
      </c>
    </row>
    <row r="1095" ht="15" customHeight="1">
      <c r="A1095" s="5" t="n"/>
      <c r="B1095" s="5" t="n"/>
      <c r="C1095" s="5" t="n"/>
      <c r="D1095" s="5" t="n"/>
      <c r="E1095">
        <f>A1095&amp;"|"&amp;B1095</f>
        <v/>
      </c>
    </row>
    <row r="1096" ht="15" customHeight="1">
      <c r="A1096" s="5" t="n"/>
      <c r="B1096" s="5" t="n"/>
      <c r="C1096" s="5" t="n"/>
      <c r="D1096" s="5" t="n"/>
      <c r="E1096">
        <f>A1096&amp;"|"&amp;B1096</f>
        <v/>
      </c>
    </row>
    <row r="1097" ht="15" customHeight="1">
      <c r="A1097" s="5" t="n"/>
      <c r="B1097" s="5" t="n"/>
      <c r="C1097" s="5" t="n"/>
      <c r="D1097" s="5" t="n"/>
      <c r="E1097">
        <f>A1097&amp;"|"&amp;B1097</f>
        <v/>
      </c>
    </row>
    <row r="1098" ht="15" customHeight="1">
      <c r="A1098" s="5" t="n"/>
      <c r="B1098" s="5" t="n"/>
      <c r="C1098" s="5" t="n"/>
      <c r="D1098" s="5" t="n"/>
      <c r="E1098">
        <f>A1098&amp;"|"&amp;B1098</f>
        <v/>
      </c>
    </row>
    <row r="1099" ht="15" customHeight="1">
      <c r="A1099" s="5" t="n"/>
      <c r="B1099" s="5" t="n"/>
      <c r="C1099" s="5" t="n"/>
      <c r="D1099" s="5" t="n"/>
      <c r="E1099">
        <f>A1099&amp;"|"&amp;B1099</f>
        <v/>
      </c>
    </row>
    <row r="1100" ht="15" customHeight="1">
      <c r="A1100" s="5" t="n"/>
      <c r="B1100" s="5" t="n"/>
      <c r="C1100" s="5" t="n"/>
      <c r="D1100" s="5" t="n"/>
      <c r="E1100">
        <f>A1100&amp;"|"&amp;B1100</f>
        <v/>
      </c>
    </row>
    <row r="1101" ht="15" customHeight="1">
      <c r="A1101" s="5" t="n"/>
      <c r="B1101" s="5" t="n"/>
      <c r="C1101" s="5" t="n"/>
      <c r="D1101" s="5" t="n"/>
      <c r="E1101">
        <f>A1101&amp;"|"&amp;B1101</f>
        <v/>
      </c>
    </row>
    <row r="1102" ht="15" customHeight="1">
      <c r="A1102" s="5" t="n"/>
      <c r="B1102" s="5" t="n"/>
      <c r="C1102" s="5" t="n"/>
      <c r="D1102" s="5" t="n"/>
      <c r="E1102">
        <f>A1102&amp;"|"&amp;B1102</f>
        <v/>
      </c>
    </row>
    <row r="1103" ht="15" customHeight="1">
      <c r="A1103" s="5" t="n"/>
      <c r="B1103" s="5" t="n"/>
      <c r="C1103" s="5" t="n"/>
      <c r="D1103" s="5" t="n"/>
      <c r="E1103">
        <f>A1103&amp;"|"&amp;B1103</f>
        <v/>
      </c>
    </row>
    <row r="1104" ht="15" customHeight="1">
      <c r="A1104" s="5" t="n"/>
      <c r="B1104" s="5" t="n"/>
      <c r="C1104" s="5" t="n"/>
      <c r="D1104" s="5" t="n"/>
      <c r="E1104">
        <f>A1104&amp;"|"&amp;B1104</f>
        <v/>
      </c>
    </row>
    <row r="1105" ht="15" customHeight="1">
      <c r="A1105" s="5" t="n"/>
      <c r="B1105" s="5" t="n"/>
      <c r="C1105" s="5" t="n"/>
      <c r="D1105" s="5" t="n"/>
      <c r="E1105">
        <f>A1105&amp;"|"&amp;B1105</f>
        <v/>
      </c>
    </row>
    <row r="1106" ht="15" customHeight="1">
      <c r="A1106" s="5" t="n"/>
      <c r="B1106" s="5" t="n"/>
      <c r="C1106" s="5" t="n"/>
      <c r="D1106" s="5" t="n"/>
      <c r="E1106">
        <f>A1106&amp;"|"&amp;B1106</f>
        <v/>
      </c>
    </row>
    <row r="1107" ht="15" customHeight="1">
      <c r="A1107" s="5" t="n"/>
      <c r="B1107" s="5" t="n"/>
      <c r="C1107" s="5" t="n"/>
      <c r="D1107" s="5" t="n"/>
      <c r="E1107">
        <f>A1107&amp;"|"&amp;B1107</f>
        <v/>
      </c>
    </row>
    <row r="1108" ht="15" customHeight="1">
      <c r="A1108" s="5" t="n"/>
      <c r="B1108" s="5" t="n"/>
      <c r="C1108" s="5" t="n"/>
      <c r="D1108" s="5" t="n"/>
      <c r="E1108">
        <f>A1108&amp;"|"&amp;B1108</f>
        <v/>
      </c>
    </row>
    <row r="1109" ht="15" customHeight="1">
      <c r="A1109" s="5" t="n"/>
      <c r="B1109" s="5" t="n"/>
      <c r="C1109" s="5" t="n"/>
      <c r="D1109" s="5" t="n"/>
      <c r="E1109">
        <f>A1109&amp;"|"&amp;B1109</f>
        <v/>
      </c>
    </row>
    <row r="1110" ht="15" customHeight="1">
      <c r="A1110" s="5" t="n"/>
      <c r="B1110" s="5" t="n"/>
      <c r="C1110" s="5" t="n"/>
      <c r="D1110" s="5" t="n"/>
      <c r="E1110">
        <f>A1110&amp;"|"&amp;B1110</f>
        <v/>
      </c>
    </row>
    <row r="1111" ht="15" customHeight="1">
      <c r="A1111" s="5" t="n"/>
      <c r="B1111" s="5" t="n"/>
      <c r="C1111" s="5" t="n"/>
      <c r="D1111" s="5" t="n"/>
      <c r="E1111">
        <f>A1111&amp;"|"&amp;B1111</f>
        <v/>
      </c>
    </row>
    <row r="1112" ht="15" customHeight="1">
      <c r="A1112" s="5" t="n"/>
      <c r="B1112" s="5" t="n"/>
      <c r="C1112" s="5" t="n"/>
      <c r="D1112" s="5" t="n"/>
      <c r="E1112">
        <f>A1112&amp;"|"&amp;B1112</f>
        <v/>
      </c>
    </row>
    <row r="1113" ht="15" customHeight="1">
      <c r="A1113" s="5" t="n"/>
      <c r="B1113" s="5" t="n"/>
      <c r="C1113" s="5" t="n"/>
      <c r="D1113" s="5" t="n"/>
      <c r="E1113">
        <f>A1113&amp;"|"&amp;B1113</f>
        <v/>
      </c>
    </row>
    <row r="1114" ht="15" customHeight="1">
      <c r="A1114" s="5" t="n"/>
      <c r="B1114" s="5" t="n"/>
      <c r="C1114" s="5" t="n"/>
      <c r="D1114" s="5" t="n"/>
      <c r="E1114">
        <f>A1114&amp;"|"&amp;B1114</f>
        <v/>
      </c>
    </row>
    <row r="1115" ht="15" customHeight="1">
      <c r="A1115" s="5" t="n"/>
      <c r="B1115" s="5" t="n"/>
      <c r="C1115" s="5" t="n"/>
      <c r="D1115" s="5" t="n"/>
      <c r="E1115">
        <f>A1115&amp;"|"&amp;B1115</f>
        <v/>
      </c>
    </row>
    <row r="1116" ht="15" customHeight="1">
      <c r="A1116" s="5" t="n"/>
      <c r="B1116" s="5" t="n"/>
      <c r="C1116" s="5" t="n"/>
      <c r="D1116" s="5" t="n"/>
      <c r="E1116">
        <f>A1116&amp;"|"&amp;B1116</f>
        <v/>
      </c>
    </row>
    <row r="1117" ht="15" customHeight="1">
      <c r="A1117" s="5" t="n"/>
      <c r="B1117" s="5" t="n"/>
      <c r="C1117" s="5" t="n"/>
      <c r="D1117" s="5" t="n"/>
      <c r="E1117">
        <f>A1117&amp;"|"&amp;B1117</f>
        <v/>
      </c>
    </row>
    <row r="1118" ht="15" customHeight="1">
      <c r="A1118" s="5" t="n"/>
      <c r="B1118" s="5" t="n"/>
      <c r="C1118" s="5" t="n"/>
      <c r="D1118" s="5" t="n"/>
      <c r="E1118">
        <f>A1118&amp;"|"&amp;B1118</f>
        <v/>
      </c>
    </row>
    <row r="1119" ht="15" customHeight="1">
      <c r="A1119" s="5" t="n"/>
      <c r="B1119" s="5" t="n"/>
      <c r="C1119" s="5" t="n"/>
      <c r="D1119" s="5" t="n"/>
      <c r="E1119">
        <f>A1119&amp;"|"&amp;B1119</f>
        <v/>
      </c>
    </row>
    <row r="1120" ht="15" customHeight="1">
      <c r="A1120" s="5" t="n"/>
      <c r="B1120" s="5" t="n"/>
      <c r="C1120" s="5" t="n"/>
      <c r="D1120" s="5" t="n"/>
      <c r="E1120">
        <f>A1120&amp;"|"&amp;B1120</f>
        <v/>
      </c>
    </row>
    <row r="1121" ht="15" customHeight="1">
      <c r="A1121" s="5" t="n"/>
      <c r="B1121" s="5" t="n"/>
      <c r="C1121" s="5" t="n"/>
      <c r="D1121" s="5" t="n"/>
      <c r="E1121">
        <f>A1121&amp;"|"&amp;B1121</f>
        <v/>
      </c>
    </row>
    <row r="1122" ht="15" customHeight="1">
      <c r="A1122" s="5" t="n"/>
      <c r="B1122" s="5" t="n"/>
      <c r="C1122" s="5" t="n"/>
      <c r="D1122" s="5" t="n"/>
      <c r="E1122">
        <f>A1122&amp;"|"&amp;B1122</f>
        <v/>
      </c>
    </row>
    <row r="1123" ht="15" customHeight="1">
      <c r="A1123" s="5" t="n"/>
      <c r="B1123" s="5" t="n"/>
      <c r="C1123" s="5" t="n"/>
      <c r="D1123" s="5" t="n"/>
      <c r="E1123">
        <f>A1123&amp;"|"&amp;B1123</f>
        <v/>
      </c>
    </row>
    <row r="1124" ht="15" customHeight="1">
      <c r="A1124" s="5" t="n"/>
      <c r="B1124" s="5" t="n"/>
      <c r="C1124" s="5" t="n"/>
      <c r="D1124" s="5" t="n"/>
      <c r="E1124">
        <f>A1124&amp;"|"&amp;B1124</f>
        <v/>
      </c>
    </row>
    <row r="1125" ht="15" customHeight="1">
      <c r="A1125" s="5" t="n"/>
      <c r="B1125" s="5" t="n"/>
      <c r="C1125" s="5" t="n"/>
      <c r="D1125" s="5" t="n"/>
      <c r="E1125">
        <f>A1125&amp;"|"&amp;B1125</f>
        <v/>
      </c>
    </row>
    <row r="1126" ht="15" customHeight="1">
      <c r="A1126" s="5" t="n"/>
      <c r="B1126" s="5" t="n"/>
      <c r="C1126" s="5" t="n"/>
      <c r="D1126" s="5" t="n"/>
      <c r="E1126">
        <f>A1126&amp;"|"&amp;B1126</f>
        <v/>
      </c>
    </row>
    <row r="1127" ht="15" customHeight="1">
      <c r="A1127" s="5" t="n"/>
      <c r="B1127" s="5" t="n"/>
      <c r="C1127" s="5" t="n"/>
      <c r="D1127" s="5" t="n"/>
      <c r="E1127">
        <f>A1127&amp;"|"&amp;B1127</f>
        <v/>
      </c>
    </row>
    <row r="1128" ht="15" customHeight="1">
      <c r="A1128" s="5" t="n"/>
      <c r="B1128" s="5" t="n"/>
      <c r="C1128" s="5" t="n"/>
      <c r="D1128" s="5" t="n"/>
      <c r="E1128">
        <f>A1128&amp;"|"&amp;B1128</f>
        <v/>
      </c>
    </row>
    <row r="1129" ht="15" customHeight="1">
      <c r="A1129" s="5" t="n"/>
      <c r="B1129" s="5" t="n"/>
      <c r="C1129" s="5" t="n"/>
      <c r="D1129" s="5" t="n"/>
      <c r="E1129">
        <f>A1129&amp;"|"&amp;B1129</f>
        <v/>
      </c>
    </row>
    <row r="1130" ht="15" customHeight="1">
      <c r="A1130" s="5" t="n"/>
      <c r="B1130" s="5" t="n"/>
      <c r="C1130" s="5" t="n"/>
      <c r="D1130" s="5" t="n"/>
      <c r="E1130">
        <f>A1130&amp;"|"&amp;B1130</f>
        <v/>
      </c>
    </row>
    <row r="1131" ht="15" customHeight="1">
      <c r="A1131" s="5" t="n"/>
      <c r="B1131" s="5" t="n"/>
      <c r="C1131" s="5" t="n"/>
      <c r="D1131" s="5" t="n"/>
      <c r="E1131">
        <f>A1131&amp;"|"&amp;B1131</f>
        <v/>
      </c>
    </row>
    <row r="1132" ht="15" customHeight="1">
      <c r="A1132" s="5" t="n"/>
      <c r="B1132" s="5" t="n"/>
      <c r="C1132" s="5" t="n"/>
      <c r="D1132" s="5" t="n"/>
      <c r="E1132">
        <f>A1132&amp;"|"&amp;B1132</f>
        <v/>
      </c>
    </row>
    <row r="1133" ht="15" customHeight="1">
      <c r="A1133" s="5" t="n"/>
      <c r="B1133" s="5" t="n"/>
      <c r="C1133" s="5" t="n"/>
      <c r="D1133" s="5" t="n"/>
      <c r="E1133">
        <f>A1133&amp;"|"&amp;B1133</f>
        <v/>
      </c>
    </row>
    <row r="1134" ht="15" customHeight="1">
      <c r="A1134" s="5" t="n"/>
      <c r="B1134" s="5" t="n"/>
      <c r="C1134" s="5" t="n"/>
      <c r="D1134" s="5" t="n"/>
      <c r="E1134">
        <f>A1134&amp;"|"&amp;B1134</f>
        <v/>
      </c>
    </row>
    <row r="1135" ht="15" customHeight="1">
      <c r="A1135" s="5" t="n"/>
      <c r="B1135" s="5" t="n"/>
      <c r="C1135" s="5" t="n"/>
      <c r="D1135" s="5" t="n"/>
      <c r="E1135">
        <f>A1135&amp;"|"&amp;B1135</f>
        <v/>
      </c>
    </row>
    <row r="1136" ht="15" customHeight="1">
      <c r="A1136" s="5" t="n"/>
      <c r="B1136" s="5" t="n"/>
      <c r="C1136" s="5" t="n"/>
      <c r="D1136" s="5" t="n"/>
      <c r="E1136">
        <f>A1136&amp;"|"&amp;B1136</f>
        <v/>
      </c>
    </row>
    <row r="1137" ht="15" customHeight="1">
      <c r="A1137" s="5" t="n"/>
      <c r="B1137" s="5" t="n"/>
      <c r="C1137" s="5" t="n"/>
      <c r="D1137" s="5" t="n"/>
      <c r="E1137">
        <f>A1137&amp;"|"&amp;B1137</f>
        <v/>
      </c>
    </row>
    <row r="1138" ht="15" customHeight="1">
      <c r="A1138" s="5" t="n"/>
      <c r="B1138" s="5" t="n"/>
      <c r="C1138" s="5" t="n"/>
      <c r="D1138" s="5" t="n"/>
      <c r="E1138">
        <f>A1138&amp;"|"&amp;B1138</f>
        <v/>
      </c>
    </row>
    <row r="1139" ht="15" customHeight="1">
      <c r="A1139" s="5" t="n"/>
      <c r="B1139" s="5" t="n"/>
      <c r="C1139" s="5" t="n"/>
      <c r="D1139" s="5" t="n"/>
      <c r="E1139">
        <f>A1139&amp;"|"&amp;B1139</f>
        <v/>
      </c>
    </row>
    <row r="1140" ht="15" customHeight="1">
      <c r="A1140" s="5" t="n"/>
      <c r="B1140" s="5" t="n"/>
      <c r="C1140" s="5" t="n"/>
      <c r="D1140" s="5" t="n"/>
      <c r="E1140">
        <f>A1140&amp;"|"&amp;B1140</f>
        <v/>
      </c>
    </row>
    <row r="1141" ht="15" customHeight="1">
      <c r="A1141" s="5" t="n"/>
      <c r="B1141" s="5" t="n"/>
      <c r="C1141" s="5" t="n"/>
      <c r="D1141" s="5" t="n"/>
      <c r="E1141">
        <f>A1141&amp;"|"&amp;B1141</f>
        <v/>
      </c>
    </row>
    <row r="1142" ht="15" customHeight="1">
      <c r="A1142" s="5" t="n"/>
      <c r="B1142" s="5" t="n"/>
      <c r="C1142" s="5" t="n"/>
      <c r="D1142" s="5" t="n"/>
      <c r="E1142">
        <f>A1142&amp;"|"&amp;B1142</f>
        <v/>
      </c>
    </row>
    <row r="1143" ht="15" customHeight="1">
      <c r="A1143" s="5" t="n"/>
      <c r="B1143" s="5" t="n"/>
      <c r="C1143" s="5" t="n"/>
      <c r="D1143" s="5" t="n"/>
      <c r="E1143">
        <f>A1143&amp;"|"&amp;B1143</f>
        <v/>
      </c>
    </row>
    <row r="1144" ht="15" customHeight="1">
      <c r="A1144" s="5" t="n"/>
      <c r="B1144" s="5" t="n"/>
      <c r="C1144" s="5" t="n"/>
      <c r="D1144" s="5" t="n"/>
      <c r="E1144">
        <f>A1144&amp;"|"&amp;B1144</f>
        <v/>
      </c>
    </row>
    <row r="1145" ht="15" customHeight="1">
      <c r="A1145" s="5" t="n"/>
      <c r="B1145" s="5" t="n"/>
      <c r="C1145" s="5" t="n"/>
      <c r="D1145" s="5" t="n"/>
      <c r="E1145">
        <f>A1145&amp;"|"&amp;B1145</f>
        <v/>
      </c>
    </row>
    <row r="1146" ht="15" customHeight="1">
      <c r="A1146" s="5" t="n"/>
      <c r="B1146" s="5" t="n"/>
      <c r="C1146" s="5" t="n"/>
      <c r="D1146" s="5" t="n"/>
      <c r="E1146">
        <f>A1146&amp;"|"&amp;B1146</f>
        <v/>
      </c>
    </row>
    <row r="1147" ht="15" customHeight="1">
      <c r="A1147" s="5" t="n"/>
      <c r="B1147" s="5" t="n"/>
      <c r="C1147" s="5" t="n"/>
      <c r="D1147" s="5" t="n"/>
      <c r="E1147">
        <f>A1147&amp;"|"&amp;B1147</f>
        <v/>
      </c>
    </row>
    <row r="1148" ht="15" customHeight="1">
      <c r="A1148" s="5" t="n"/>
      <c r="B1148" s="5" t="n"/>
      <c r="C1148" s="5" t="n"/>
      <c r="D1148" s="5" t="n"/>
      <c r="E1148">
        <f>A1148&amp;"|"&amp;B1148</f>
        <v/>
      </c>
    </row>
    <row r="1149" ht="15" customHeight="1">
      <c r="A1149" s="5" t="n"/>
      <c r="B1149" s="5" t="n"/>
      <c r="C1149" s="5" t="n"/>
      <c r="D1149" s="5" t="n"/>
      <c r="E1149">
        <f>A1149&amp;"|"&amp;B1149</f>
        <v/>
      </c>
    </row>
    <row r="1150" ht="15" customHeight="1">
      <c r="A1150" s="5" t="n"/>
      <c r="B1150" s="5" t="n"/>
      <c r="C1150" s="5" t="n"/>
      <c r="D1150" s="5" t="n"/>
      <c r="E1150">
        <f>A1150&amp;"|"&amp;B1150</f>
        <v/>
      </c>
    </row>
    <row r="1151" ht="15" customHeight="1">
      <c r="A1151" s="5" t="n"/>
      <c r="B1151" s="5" t="n"/>
      <c r="C1151" s="5" t="n"/>
      <c r="D1151" s="5" t="n"/>
      <c r="E1151">
        <f>A1151&amp;"|"&amp;B1151</f>
        <v/>
      </c>
    </row>
    <row r="1152" ht="15" customHeight="1">
      <c r="A1152" s="5" t="n"/>
      <c r="B1152" s="5" t="n"/>
      <c r="C1152" s="5" t="n"/>
      <c r="D1152" s="5" t="n"/>
      <c r="E1152">
        <f>A1152&amp;"|"&amp;B1152</f>
        <v/>
      </c>
    </row>
    <row r="1153" ht="15" customHeight="1">
      <c r="A1153" s="5" t="n"/>
      <c r="B1153" s="5" t="n"/>
      <c r="C1153" s="5" t="n"/>
      <c r="D1153" s="5" t="n"/>
      <c r="E1153">
        <f>A1153&amp;"|"&amp;B1153</f>
        <v/>
      </c>
    </row>
    <row r="1154" ht="15" customHeight="1">
      <c r="A1154" s="5" t="n"/>
      <c r="B1154" s="5" t="n"/>
      <c r="C1154" s="5" t="n"/>
      <c r="D1154" s="5" t="n"/>
      <c r="E1154">
        <f>A1154&amp;"|"&amp;B1154</f>
        <v/>
      </c>
    </row>
    <row r="1155" ht="15" customHeight="1">
      <c r="A1155" s="5" t="n"/>
      <c r="B1155" s="5" t="n"/>
      <c r="C1155" s="5" t="n"/>
      <c r="D1155" s="5" t="n"/>
      <c r="E1155">
        <f>A1155&amp;"|"&amp;B1155</f>
        <v/>
      </c>
    </row>
    <row r="1156" ht="15" customHeight="1">
      <c r="A1156" s="5" t="n"/>
      <c r="B1156" s="5" t="n"/>
      <c r="C1156" s="5" t="n"/>
      <c r="D1156" s="5" t="n"/>
      <c r="E1156">
        <f>A1156&amp;"|"&amp;B1156</f>
        <v/>
      </c>
    </row>
    <row r="1157" ht="15" customHeight="1">
      <c r="A1157" s="5" t="n"/>
      <c r="B1157" s="5" t="n"/>
      <c r="C1157" s="5" t="n"/>
      <c r="D1157" s="5" t="n"/>
      <c r="E1157">
        <f>A1157&amp;"|"&amp;B1157</f>
        <v/>
      </c>
    </row>
    <row r="1158" ht="15" customHeight="1">
      <c r="A1158" s="5" t="n"/>
      <c r="B1158" s="5" t="n"/>
      <c r="C1158" s="5" t="n"/>
      <c r="D1158" s="5" t="n"/>
      <c r="E1158">
        <f>A1158&amp;"|"&amp;B1158</f>
        <v/>
      </c>
    </row>
    <row r="1159" ht="15" customHeight="1">
      <c r="A1159" s="5" t="n"/>
      <c r="B1159" s="5" t="n"/>
      <c r="C1159" s="5" t="n"/>
      <c r="D1159" s="5" t="n"/>
      <c r="E1159">
        <f>A1159&amp;"|"&amp;B1159</f>
        <v/>
      </c>
    </row>
    <row r="1160" ht="15" customHeight="1">
      <c r="A1160" s="5" t="n"/>
      <c r="B1160" s="5" t="n"/>
      <c r="C1160" s="5" t="n"/>
      <c r="D1160" s="5" t="n"/>
      <c r="E1160">
        <f>A1160&amp;"|"&amp;B1160</f>
        <v/>
      </c>
    </row>
    <row r="1161" ht="15" customHeight="1">
      <c r="A1161" s="5" t="n"/>
      <c r="B1161" s="5" t="n"/>
      <c r="C1161" s="5" t="n"/>
      <c r="D1161" s="5" t="n"/>
      <c r="E1161">
        <f>A1161&amp;"|"&amp;B1161</f>
        <v/>
      </c>
    </row>
    <row r="1162" ht="15" customHeight="1">
      <c r="A1162" s="5" t="n"/>
      <c r="B1162" s="5" t="n"/>
      <c r="C1162" s="5" t="n"/>
      <c r="D1162" s="5" t="n"/>
      <c r="E1162">
        <f>A1162&amp;"|"&amp;B1162</f>
        <v/>
      </c>
    </row>
    <row r="1163" ht="15" customHeight="1">
      <c r="A1163" s="5" t="n"/>
      <c r="B1163" s="5" t="n"/>
      <c r="C1163" s="5" t="n"/>
      <c r="D1163" s="5" t="n"/>
      <c r="E1163">
        <f>A1163&amp;"|"&amp;B1163</f>
        <v/>
      </c>
    </row>
    <row r="1164" ht="15" customHeight="1">
      <c r="A1164" s="5" t="n"/>
      <c r="B1164" s="5" t="n"/>
      <c r="C1164" s="5" t="n"/>
      <c r="D1164" s="5" t="n"/>
      <c r="E1164">
        <f>A1164&amp;"|"&amp;B1164</f>
        <v/>
      </c>
    </row>
    <row r="1165" ht="15" customHeight="1">
      <c r="A1165" s="5" t="n"/>
      <c r="B1165" s="5" t="n"/>
      <c r="C1165" s="5" t="n"/>
      <c r="D1165" s="5" t="n"/>
      <c r="E1165">
        <f>A1165&amp;"|"&amp;B1165</f>
        <v/>
      </c>
    </row>
    <row r="1166" ht="15" customHeight="1">
      <c r="A1166" s="5" t="n"/>
      <c r="B1166" s="5" t="n"/>
      <c r="C1166" s="5" t="n"/>
      <c r="D1166" s="5" t="n"/>
      <c r="E1166">
        <f>A1166&amp;"|"&amp;B1166</f>
        <v/>
      </c>
    </row>
    <row r="1167" ht="15" customHeight="1">
      <c r="A1167" s="5" t="n"/>
      <c r="B1167" s="5" t="n"/>
      <c r="C1167" s="5" t="n"/>
      <c r="D1167" s="5" t="n"/>
      <c r="E1167">
        <f>A1167&amp;"|"&amp;B1167</f>
        <v/>
      </c>
    </row>
    <row r="1168" ht="15" customHeight="1">
      <c r="A1168" s="5" t="n"/>
      <c r="B1168" s="5" t="n"/>
      <c r="C1168" s="5" t="n"/>
      <c r="D1168" s="5" t="n"/>
      <c r="E1168">
        <f>A1168&amp;"|"&amp;B1168</f>
        <v/>
      </c>
    </row>
    <row r="1169" ht="15" customHeight="1">
      <c r="A1169" s="5" t="n"/>
      <c r="B1169" s="5" t="n"/>
      <c r="C1169" s="5" t="n"/>
      <c r="D1169" s="5" t="n"/>
      <c r="E1169">
        <f>A1169&amp;"|"&amp;B1169</f>
        <v/>
      </c>
    </row>
    <row r="1170" ht="15" customHeight="1">
      <c r="A1170" s="5" t="n"/>
      <c r="B1170" s="5" t="n"/>
      <c r="C1170" s="5" t="n"/>
      <c r="D1170" s="5" t="n"/>
      <c r="E1170">
        <f>A1170&amp;"|"&amp;B1170</f>
        <v/>
      </c>
    </row>
    <row r="1171" ht="15" customHeight="1">
      <c r="A1171" s="5" t="n"/>
      <c r="B1171" s="5" t="n"/>
      <c r="C1171" s="5" t="n"/>
      <c r="D1171" s="5" t="n"/>
      <c r="E1171">
        <f>A1171&amp;"|"&amp;B1171</f>
        <v/>
      </c>
    </row>
    <row r="1172" ht="15" customHeight="1">
      <c r="A1172" s="5" t="n"/>
      <c r="B1172" s="5" t="n"/>
      <c r="C1172" s="5" t="n"/>
      <c r="D1172" s="5" t="n"/>
      <c r="E1172">
        <f>A1172&amp;"|"&amp;B1172</f>
        <v/>
      </c>
    </row>
    <row r="1173" ht="15" customHeight="1">
      <c r="A1173" s="5" t="n"/>
      <c r="B1173" s="5" t="n"/>
      <c r="C1173" s="5" t="n"/>
      <c r="D1173" s="5" t="n"/>
      <c r="E1173">
        <f>A1173&amp;"|"&amp;B1173</f>
        <v/>
      </c>
    </row>
    <row r="1174" ht="15" customHeight="1">
      <c r="A1174" s="5" t="n"/>
      <c r="B1174" s="5" t="n"/>
      <c r="C1174" s="5" t="n"/>
      <c r="D1174" s="5" t="n"/>
      <c r="E1174">
        <f>A1174&amp;"|"&amp;B1174</f>
        <v/>
      </c>
    </row>
    <row r="1175" ht="15" customHeight="1">
      <c r="A1175" s="5" t="n"/>
      <c r="B1175" s="5" t="n"/>
      <c r="C1175" s="5" t="n"/>
      <c r="D1175" s="5" t="n"/>
      <c r="E1175">
        <f>A1175&amp;"|"&amp;B1175</f>
        <v/>
      </c>
    </row>
    <row r="1176" ht="15" customHeight="1">
      <c r="A1176" s="5" t="n"/>
      <c r="B1176" s="5" t="n"/>
      <c r="C1176" s="5" t="n"/>
      <c r="D1176" s="5" t="n"/>
      <c r="E1176">
        <f>A1176&amp;"|"&amp;B1176</f>
        <v/>
      </c>
    </row>
    <row r="1177" ht="15" customHeight="1">
      <c r="A1177" s="5" t="n"/>
      <c r="B1177" s="5" t="n"/>
      <c r="C1177" s="5" t="n"/>
      <c r="D1177" s="5" t="n"/>
      <c r="E1177">
        <f>A1177&amp;"|"&amp;B1177</f>
        <v/>
      </c>
    </row>
    <row r="1178" ht="15" customHeight="1">
      <c r="A1178" s="5" t="n"/>
      <c r="B1178" s="5" t="n"/>
      <c r="C1178" s="5" t="n"/>
      <c r="D1178" s="5" t="n"/>
      <c r="E1178">
        <f>A1178&amp;"|"&amp;B1178</f>
        <v/>
      </c>
    </row>
    <row r="1179" ht="15" customHeight="1">
      <c r="A1179" s="5" t="n"/>
      <c r="B1179" s="5" t="n"/>
      <c r="C1179" s="5" t="n"/>
      <c r="D1179" s="5" t="n"/>
      <c r="E1179">
        <f>A1179&amp;"|"&amp;B1179</f>
        <v/>
      </c>
    </row>
    <row r="1180" ht="15" customHeight="1">
      <c r="A1180" s="5" t="n"/>
      <c r="B1180" s="5" t="n"/>
      <c r="C1180" s="5" t="n"/>
      <c r="D1180" s="5" t="n"/>
      <c r="E1180">
        <f>A1180&amp;"|"&amp;B1180</f>
        <v/>
      </c>
    </row>
    <row r="1181" ht="15" customHeight="1">
      <c r="A1181" s="5" t="n"/>
      <c r="B1181" s="5" t="n"/>
      <c r="C1181" s="5" t="n"/>
      <c r="D1181" s="5" t="n"/>
      <c r="E1181">
        <f>A1181&amp;"|"&amp;B1181</f>
        <v/>
      </c>
    </row>
    <row r="1182" ht="15" customHeight="1">
      <c r="A1182" s="5" t="n"/>
      <c r="B1182" s="5" t="n"/>
      <c r="C1182" s="5" t="n"/>
      <c r="D1182" s="5" t="n"/>
      <c r="E1182">
        <f>A1182&amp;"|"&amp;B1182</f>
        <v/>
      </c>
    </row>
    <row r="1183" ht="15" customHeight="1">
      <c r="A1183" s="5" t="n"/>
      <c r="B1183" s="5" t="n"/>
      <c r="C1183" s="5" t="n"/>
      <c r="D1183" s="5" t="n"/>
      <c r="E1183">
        <f>A1183&amp;"|"&amp;B1183</f>
        <v/>
      </c>
    </row>
    <row r="1184" ht="15" customHeight="1">
      <c r="A1184" s="5" t="n"/>
      <c r="B1184" s="5" t="n"/>
      <c r="C1184" s="5" t="n"/>
      <c r="D1184" s="5" t="n"/>
      <c r="E1184">
        <f>A1184&amp;"|"&amp;B1184</f>
        <v/>
      </c>
    </row>
    <row r="1185" ht="15" customHeight="1">
      <c r="A1185" s="5" t="n"/>
      <c r="B1185" s="5" t="n"/>
      <c r="C1185" s="5" t="n"/>
      <c r="D1185" s="5" t="n"/>
      <c r="E1185">
        <f>A1185&amp;"|"&amp;B1185</f>
        <v/>
      </c>
    </row>
    <row r="1186" ht="15" customHeight="1">
      <c r="A1186" s="5" t="n"/>
      <c r="B1186" s="5" t="n"/>
      <c r="C1186" s="5" t="n"/>
      <c r="D1186" s="5" t="n"/>
      <c r="E1186">
        <f>A1186&amp;"|"&amp;B1186</f>
        <v/>
      </c>
    </row>
    <row r="1187" ht="15" customHeight="1">
      <c r="A1187" s="5" t="n"/>
      <c r="B1187" s="5" t="n"/>
      <c r="C1187" s="5" t="n"/>
      <c r="D1187" s="5" t="n"/>
      <c r="E1187">
        <f>A1187&amp;"|"&amp;B1187</f>
        <v/>
      </c>
    </row>
    <row r="1188" ht="15" customHeight="1">
      <c r="A1188" s="5" t="n"/>
      <c r="B1188" s="5" t="n"/>
      <c r="C1188" s="5" t="n"/>
      <c r="D1188" s="5" t="n"/>
      <c r="E1188">
        <f>A1188&amp;"|"&amp;B1188</f>
        <v/>
      </c>
    </row>
    <row r="1189" ht="15" customHeight="1">
      <c r="A1189" s="5" t="n"/>
      <c r="B1189" s="5" t="n"/>
      <c r="C1189" s="5" t="n"/>
      <c r="D1189" s="5" t="n"/>
      <c r="E1189">
        <f>A1189&amp;"|"&amp;B1189</f>
        <v/>
      </c>
    </row>
  </sheetData>
  <mergeCells count="8">
    <mergeCell ref="A131:H131"/>
    <mergeCell ref="A3:N3"/>
    <mergeCell ref="A5:H5"/>
    <mergeCell ref="A162:W162"/>
    <mergeCell ref="A1:H1"/>
    <mergeCell ref="A27:H27"/>
    <mergeCell ref="A188:E188"/>
    <mergeCell ref="A17:H17"/>
  </mergeCells>
  <dataValidations count="3">
    <dataValidation sqref="A29:A128" showDropDown="0" showInputMessage="0" showErrorMessage="1" allowBlank="1" errorTitle="Invalid hero" error="Pick a hero name from the list." type="list">
      <formula1>=Heroes!$B$2:$B$134</formula1>
    </dataValidation>
    <dataValidation sqref="B29:B128" showDropDown="0" showInputMessage="0" showErrorMessage="1" allowBlank="1" errorTitle="Invalid type" error="Pick Tag, Hero, Role, DamageType, or Resource." type="list">
      <formula1>Tag,Hero,Role,DamageType,Resource</formula1>
    </dataValidation>
    <dataValidation sqref="C29:C128" showDropDown="0" showInputMessage="0" showErrorMessage="1" allowBlank="1" errorTitle="Invalid value" error="Pick a valid condition value from the list." type="list">
      <formula1>=_ConditionValues!$A$1:$A$174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zoomScaleNormal="100" workbookViewId="0">
      <selection activeCell="A1" sqref="A1"/>
    </sheetView>
  </sheetViews>
  <sheetFormatPr baseColWidth="8" defaultColWidth="8.6640625" defaultRowHeight="14.4"/>
  <cols>
    <col width="130" customWidth="1" min="1" max="1"/>
  </cols>
  <sheetData>
    <row r="1" ht="19.5" customHeight="1">
      <c r="A1" s="6" t="inlineStr">
        <is>
          <t>MLBB HERO COUNTER MODEL — COMPUTATIONS ONLY</t>
        </is>
      </c>
    </row>
    <row r="3" ht="27.75" customHeight="1">
      <c r="A3" s="19" t="inlineStr">
        <is>
          <t>This sheet explains ONLY how the numbers are calculated — the tag/point system, role weights, and the exact formulas — so you can edit the logic yourself later. All values that formulas read from live in the "Data-Input" sheet. Never hardcode a number into a formula; if a number needs to change, change it in Data-Input.</t>
        </is>
      </c>
    </row>
    <row r="5" ht="15.75" customHeight="1">
      <c r="A5" s="21" t="inlineStr">
        <is>
          <t>1. WORKBOOK MAP</t>
        </is>
      </c>
    </row>
    <row r="7" ht="15" customHeight="1">
      <c r="A7" s="19" t="inlineStr">
        <is>
          <t>• Heroes — one row per hero: role/role2, base stats (offense, ability_effects, durability, difficulty), and TAGS (style1/style2), damage_type, lane, power_spike/spike_order. This is the raw data. Not touched by this update.</t>
        </is>
      </c>
    </row>
    <row r="8" ht="15" customHeight="1">
      <c r="A8" s="19" t="inlineStr">
        <is>
          <t>• Data-Input — the ONLY sheet you should edit. Contains: Global Weights, Role Matchup Matrix, Hard Counter Rules, Tag Glossary, Style/Tag Interaction Matrix, and Manual Overrides.</t>
        </is>
      </c>
    </row>
    <row r="9" ht="15" customHeight="1">
      <c r="A9" s="19" t="inlineStr">
        <is>
          <t>• CounterCalculator — pick one Attacker + one Defender (dropdowns) and see a full component-by-component score breakdown.</t>
        </is>
      </c>
    </row>
    <row r="10" ht="15" customHeight="1">
      <c r="A10" s="19" t="inlineStr">
        <is>
          <t>• LookupCalc — a hidden-ish engine sheet that computes the SAME score for all 133 heroes as candidate Attackers against whichever Defender is chosen on the Lookup sheet (cell Lookup!A1). This powers the Top-5 tables.</t>
        </is>
      </c>
    </row>
    <row r="11" ht="15" customHeight="1">
      <c r="A11" s="19" t="inlineStr">
        <is>
          <t>• Lookup — pick a hero in A1 and see the Top 5 overall counters, plus Top 5 counters who also share that hero's lane.</t>
        </is>
      </c>
    </row>
    <row r="13" ht="15.75" customHeight="1">
      <c r="A13" s="21" t="inlineStr">
        <is>
          <t>2. WHAT "TAGS" MEANS IN THIS MODEL</t>
        </is>
      </c>
    </row>
    <row r="15" ht="41.25" customHeight="1">
      <c r="A15" s="19" t="inlineStr">
        <is>
          <t>Every hero has up to two tags: Heroes!style1 and Heroes!style2 (e.g. "Dash/Blink", "Burst", "Sustain", "Hard CC"). These are the hero's stylistic identity — how it deals damage, controls fights, and moves. The Data-Input Tag Glossary (Block 4) lists every known tag; the 22 tags marked "In-use" are the ones wired into the Style/Tag Interaction Matrix (Block 5) and therefore actually move the score. Tags marked "Fandom wiki" are reference-only and are not yet scored — promote one by adding it as a new row+column in Block 5.</t>
        </is>
      </c>
    </row>
    <row r="17" ht="15.75" customHeight="1">
      <c r="A17" s="21" t="inlineStr">
        <is>
          <t>3. THE COUNTER SCORE FORMULA</t>
        </is>
      </c>
    </row>
    <row r="19" ht="15" customHeight="1">
      <c r="A19" s="19" t="inlineStr">
        <is>
          <t>TOTAL COUNTER SCORE = Role Advantage + Stat + Difficulty Gap + Damage Type Advantage + Power Spike Timing + Style Matchup + Hard Counter Bonus  (then a Manual Override, if one exists for that exact pair, replaces this entire total).</t>
        </is>
      </c>
    </row>
    <row r="20" ht="15" customHeight="1">
      <c r="A20" s="19" t="inlineStr">
        <is>
          <t>A positive score means the Attacker counters the Defender. Higher = stronger counter. Every component below can be re-weighted from Data-Input Block 1 (Global Weights) without touching any formula.</t>
        </is>
      </c>
    </row>
    <row r="22" ht="15" customHeight="1">
      <c r="A22" s="7" t="inlineStr">
        <is>
          <t>3.1 Role Advantage</t>
        </is>
      </c>
    </row>
    <row r="23" ht="15" customHeight="1">
      <c r="A23" s="20" t="inlineStr">
        <is>
          <t>Formula: MAX( RoleMatrix[Attacker.role -&gt; Defender.role] , RoleMatrix[Attacker.role2 -&gt; Defender.role] ) x role_mult</t>
        </is>
      </c>
    </row>
    <row r="24" ht="27.75" customHeight="1">
      <c r="A24" s="19" t="inlineStr">
        <is>
          <t>RoleMatrix is Data-Input Block 2 (7x7, e.g. Assassin -&gt; Mage = +2). role_mult (default 5) scales it into score points. Attacker's secondary role (role2) is also checked and the better of the two is used, so a hybrid hero (e.g. Fighter/Assassin) gets credit for whichever role fits best against that Defender.</t>
        </is>
      </c>
    </row>
    <row r="25" ht="15" customHeight="1">
      <c r="A25" s="7" t="inlineStr">
        <is>
          <t>3.2 Stat (Burst vs Durability)</t>
        </is>
      </c>
    </row>
    <row r="26" ht="15" customHeight="1">
      <c r="A26" s="20" t="inlineStr">
        <is>
          <t>Formula: ((Attacker.offense + Attacker.ability_effects) / 2 − Defender.durability) x burst_mult</t>
        </is>
      </c>
    </row>
    <row r="27" ht="15" customHeight="1">
      <c r="A27" s="19" t="inlineStr">
        <is>
          <t>Rewards attackers whose raw damage output outweighs the defender's tankiness. burst_mult (default 0.1) keeps this component small relative to Role Advantage and Hard Counter Bonus.</t>
        </is>
      </c>
    </row>
    <row r="28" ht="15" customHeight="1">
      <c r="A28" s="7" t="inlineStr">
        <is>
          <t>3.3 Difficulty Gap</t>
        </is>
      </c>
    </row>
    <row r="29" ht="15" customHeight="1">
      <c r="A29" s="20" t="inlineStr">
        <is>
          <t>Formula: IF( (Attacker.difficulty − Defender.difficulty) &gt; 20 , (Attacker.difficulty − Defender.difficulty) x diff_mult , 0 )</t>
        </is>
      </c>
    </row>
    <row r="30" ht="15" customHeight="1">
      <c r="A30" s="19" t="inlineStr">
        <is>
          <t>Only kicks in when the Attacker is meaningfully harder to play than the Defender is threatening — a small execution-skill proxy. diff_mult default 0.3.</t>
        </is>
      </c>
    </row>
    <row r="31" ht="15" customHeight="1">
      <c r="A31" s="7" t="inlineStr">
        <is>
          <t>3.4 Damage Type Advantage</t>
        </is>
      </c>
    </row>
    <row r="32" ht="15" customHeight="1">
      <c r="A32" s="20" t="inlineStr">
        <is>
          <t>Formula: IF(Attacker.damage_type = "Mixed", dmgtype_mixed, IF(Attacker.damage_type = Defender.damage_type, dmgtype_same, dmgtype_diff))</t>
        </is>
      </c>
    </row>
    <row r="33" ht="15" customHeight="1">
      <c r="A33" s="19" t="inlineStr">
        <is>
          <t>Defaults: Mixed = +5, same type as defender = -2 (defender itemizes one resistance and blocks both), different type = +3 (harder for defender to itemize against both).</t>
        </is>
      </c>
    </row>
    <row r="34" ht="15" customHeight="1">
      <c r="A34" s="7" t="inlineStr">
        <is>
          <t>3.5 Power Spike Timing</t>
        </is>
      </c>
    </row>
    <row r="35" ht="15" customHeight="1">
      <c r="A35" s="20" t="inlineStr">
        <is>
          <t>Formula: (Attacker.spike_order − Defender.spike_order) x spike_mult</t>
        </is>
      </c>
    </row>
    <row r="36" ht="15" customHeight="1">
      <c r="A36" s="19" t="inlineStr">
        <is>
          <t>spike_order is a 1(earliest)-5(latest) rank of when a hero is strongest. A positive gap means the Attacker peaks later than the Defender, i.e. can outlast/outscale them. spike_mult default 3.</t>
        </is>
      </c>
    </row>
    <row r="37" ht="15" customHeight="1">
      <c r="A37" s="7" t="inlineStr">
        <is>
          <t>3.6 Style Matchup  (the core Tag-vs-Tag component)</t>
        </is>
      </c>
    </row>
    <row r="38" ht="15" customHeight="1">
      <c r="A38" s="20" t="inlineStr">
        <is>
          <t>Formula: MAX of up to 4 lookups — (Attacker.style1 or style2) vs (Defender.style1 or style2) — read from the Style/Tag Interaction Matrix (Data-Input Block 5), x style_mult (default 5).</t>
        </is>
      </c>
    </row>
    <row r="39" ht="27.75" customHeight="1">
      <c r="A39" s="19" t="inlineStr">
        <is>
          <t>Example: Attacker style "Hard CC" vs Defender style "High Mobility" = +2 in Block 5 (CC heroes are strong vs high-mobility divers who need to commit to their engage). This component is what previously was MISSING from the Top-5 ranking engine (LookupCalc) in the old file — it has now been added, so tags actually move the rankings, not just the single-pair calculator.</t>
        </is>
      </c>
    </row>
    <row r="40" ht="15" customHeight="1">
      <c r="A40" s="7" t="inlineStr">
        <is>
          <t>3.7 Hard Counter Bonus  (named-hero and tag-triggered special cases — NEW)</t>
        </is>
      </c>
    </row>
    <row r="41" ht="15" customHeight="1">
      <c r="A41" s="19" t="inlineStr">
        <is>
          <t>This is the mechanism behind things like "Phoveus hard-counters dash/blink divers" and "Faramis hard-counters Gloo" — matchups that are stronger than the generic tag system can express, because they hinge on one hero's specific kit.</t>
        </is>
      </c>
    </row>
    <row r="42" ht="15" customHeight="1">
      <c r="A42" s="19" t="inlineStr">
        <is>
          <t>Data-Input Block 3 (Hard Counter Rules) has one row per rule: Attacker (a specific hero name), ConditionType (either "Tag" or "Hero"), ConditionValue, Bonus_To_Attacker, Penalty_To_Defender (stored as a NEGATIVE number), and a Note.</t>
        </is>
      </c>
    </row>
    <row r="43" ht="27.75" customHeight="1">
      <c r="A43" s="19" t="inlineStr">
        <is>
          <t xml:space="preserve">  • ConditionType = "Tag": the rule fires if the Defender's style1 OR style2 equals ConditionValue. Example: Phoveus | Tag | Dash/Blink | +18 | -25 → any hero tagged Dash/Blink (Harith, Paquito, Lancelot, etc.) gets hit with this rule when Phoveus is the Attacker.</t>
        </is>
      </c>
    </row>
    <row r="44" ht="15" customHeight="1">
      <c r="A44" s="19" t="inlineStr">
        <is>
          <t xml:space="preserve">  • ConditionType = "Hero": the rule fires only if the Defender IS that specific named hero. Example: Faramis | Hero | Gloo | +20 | -18 → only fires for Faramis vs Gloo specifically, not Faramis vs other Sustain-tagged heroes.</t>
        </is>
      </c>
    </row>
    <row r="45" ht="41.25" customHeight="1">
      <c r="A45" s="19" t="inlineStr">
        <is>
          <t>Score contribution per matching rule = Bonus_To_Attacker − Penalty_To_Defender. Since Penalty_To_Defender is stored negative, subtracting it ADDS its magnitude — e.g. Bonus 18, Penalty -25 → contributes +43 to the score. Both numbers are kept separate (rather than one merged number) purely so each can be tuned independently: Bonus_To_Attacker represents "how much better the attacker's kit performs," Penalty_To_Defender represents "how much worse the defender's kit performs" against that specific matchup — increase the Bonus to buff the counter-hero's offense, or make the Penalty more negative to punish the countered tag/hero harder.</t>
        </is>
      </c>
    </row>
    <row r="46" ht="27.75" customHeight="1">
      <c r="A46" s="19" t="inlineStr">
        <is>
          <t>A hero can match MULTIPLE rules at once if it has two tags that both appear as ConditionValue for the same Attacker (all matching rules stack — this is intentional, since a hero like Fanny that is both Burst and High Mobility should be punished for both if you write rules for both).</t>
        </is>
      </c>
    </row>
    <row r="47" ht="15" customHeight="1">
      <c r="A47" s="19" t="inlineStr">
        <is>
          <t>TO ADD A NEW HARD COUNTER: go to Data-Input Block 3 and add a new row in the same format. No formula anywhere needs to change — every formula reads this table dynamically by scanning all rows.</t>
        </is>
      </c>
    </row>
    <row r="49" ht="15.75" customHeight="1">
      <c r="A49" s="21" t="inlineStr">
        <is>
          <t>4. MANUAL OVERRIDES  (escape hatch)</t>
        </is>
      </c>
    </row>
    <row r="51" ht="27.75" customHeight="1">
      <c r="A51" s="19" t="inlineStr">
        <is>
          <t>Data-Input Block 6 lets you force an exact score for one specific Attacker -&gt; Defender pair, bypassing every formula above entirely (useful for meta calls the formula genuinely cannot capture). Fill in Attacker, Defender, and Score; the "Key" column concatenates them automatically for lookups — do not edit Key.</t>
        </is>
      </c>
    </row>
    <row r="52" ht="15" customHeight="1">
      <c r="A52" s="19" t="inlineStr">
        <is>
          <t>Overrides apply in ONE direction only (Attacker -&gt; Defender as written) — add a second row for the reverse pairing if needed.</t>
        </is>
      </c>
    </row>
    <row r="54" ht="15.75" customHeight="1">
      <c r="A54" s="21" t="inlineStr">
        <is>
          <t>5. WORKED EXAMPLE: Phoveus (Attacker) vs Harith (Defender)</t>
        </is>
      </c>
    </row>
    <row r="56" ht="15" customHeight="1">
      <c r="A56" s="20" t="inlineStr">
        <is>
          <t>Role Advantage: Fighter vs Mage = +1 x role_mult(5) = 5</t>
        </is>
      </c>
    </row>
    <row r="57" ht="15" customHeight="1">
      <c r="A57" s="20" t="inlineStr">
        <is>
          <t>Stat: ((70+30)/2 − 40) x burst_mult(0.1) = 1</t>
        </is>
      </c>
    </row>
    <row r="58" ht="15" customHeight="1">
      <c r="A58" s="20" t="inlineStr">
        <is>
          <t>Difficulty Gap: (30−50) is not &gt;20, so = 0</t>
        </is>
      </c>
    </row>
    <row r="59" ht="15" customHeight="1">
      <c r="A59" s="20" t="inlineStr">
        <is>
          <t>Damage Type Advantage: Phoveus = Mixed → dmgtype_mixed = 5</t>
        </is>
      </c>
    </row>
    <row r="60" ht="15" customHeight="1">
      <c r="A60" s="20" t="inlineStr">
        <is>
          <t>Power Spike Timing: (3−3) x spike_mult(3) = 0</t>
        </is>
      </c>
    </row>
    <row r="61" ht="15" customHeight="1">
      <c r="A61" s="20" t="inlineStr">
        <is>
          <t>Style Matchup: Phoveus(Shield/Burst) vs Harith(Shield/Dash-Blink) best cell = 0</t>
        </is>
      </c>
    </row>
    <row r="62" ht="15" customHeight="1">
      <c r="A62" s="20" t="inlineStr">
        <is>
          <t>Hard Counter Bonus: Harith is tagged Dash/Blink → Phoveus rule fires: 18 − (−25) = 43</t>
        </is>
      </c>
    </row>
    <row r="63" ht="15" customHeight="1">
      <c r="A63" s="20" t="inlineStr">
        <is>
          <t>TOTAL = 5+1+0+5+0+0+43 = 54  → Phoveus ranks #1 counter for Harith in the Lookup sheet.</t>
        </is>
      </c>
    </row>
    <row r="65" ht="15.75" customHeight="1">
      <c r="A65" s="21" t="inlineStr">
        <is>
          <t>6. WORKED EXAMPLE: Faramis (Attacker) vs Gloo (Defender)</t>
        </is>
      </c>
    </row>
    <row r="67" ht="15" customHeight="1">
      <c r="A67" s="20" t="inlineStr">
        <is>
          <t>Role Advantage: Support vs Tank = -1, but role2 Mage vs Tank = +1 → MAX = +1 x role_mult(5) = 5</t>
        </is>
      </c>
    </row>
    <row r="68" ht="15" customHeight="1">
      <c r="A68" s="20" t="inlineStr">
        <is>
          <t>Stat: ((60+10)/2 − 100) x 0.1 = -6.5</t>
        </is>
      </c>
    </row>
    <row r="69" ht="15" customHeight="1">
      <c r="A69" s="20" t="inlineStr">
        <is>
          <t>Difficulty Gap: (40−70) not &gt;20 → 0</t>
        </is>
      </c>
    </row>
    <row r="70" ht="15" customHeight="1">
      <c r="A70" s="20" t="inlineStr">
        <is>
          <t>Damage Type Advantage: both Magic → dmgtype_same = -2</t>
        </is>
      </c>
    </row>
    <row r="71" ht="15" customHeight="1">
      <c r="A71" s="20" t="inlineStr">
        <is>
          <t>Power Spike Timing: (5−2) x 3 = 9</t>
        </is>
      </c>
    </row>
    <row r="72" ht="15" customHeight="1">
      <c r="A72" s="20" t="inlineStr">
        <is>
          <t>Style Matchup: best cell among Faramis(Healing/AoE Damage) vs Gloo(Sustain/Targeted CC) = 0</t>
        </is>
      </c>
    </row>
    <row r="73" ht="15" customHeight="1">
      <c r="A73" s="20" t="inlineStr">
        <is>
          <t>Hard Counter Bonus: Faramis | Hero | Gloo rule fires: 20 − (−18) = 38</t>
        </is>
      </c>
    </row>
    <row r="74" ht="15" customHeight="1">
      <c r="A74" s="20" t="inlineStr">
        <is>
          <t>TOTAL = 5 − 6.5 + 0 − 2 + 9 + 0 + 38 = 43.5  → Faramis ranks #1 counter for Gloo in the Lookup sheet.</t>
        </is>
      </c>
    </row>
    <row r="76" ht="15.75" customHeight="1">
      <c r="A76" s="21" t="inlineStr">
        <is>
          <t>7. EDITING CHECKLIST</t>
        </is>
      </c>
    </row>
    <row r="78" ht="15" customHeight="1">
      <c r="A78" s="19" t="inlineStr">
        <is>
          <t>☐ Re-balance a role matchup → Data-Input Block 2.</t>
        </is>
      </c>
    </row>
    <row r="79" ht="15" customHeight="1">
      <c r="A79" s="19" t="inlineStr">
        <is>
          <t>☐ Re-balance how much a tag beats another tag in general → Data-Input Block 5 (Style/Tag Interaction Matrix).</t>
        </is>
      </c>
    </row>
    <row r="80" ht="15" customHeight="1">
      <c r="A80" s="19" t="inlineStr">
        <is>
          <t>☐ Add/adjust a named hard counter (like Phoveus vs dash/mobility, or Faramis vs Gloo) → Data-Input Block 3.</t>
        </is>
      </c>
    </row>
    <row r="81" ht="15" customHeight="1">
      <c r="A81" s="19" t="inlineStr">
        <is>
          <t>☐ Force one specific pair to a fixed score → Data-Input Block 6 (Manual Overrides).</t>
        </is>
      </c>
    </row>
    <row r="82" ht="15" customHeight="1">
      <c r="A82" s="19" t="inlineStr">
        <is>
          <t>☐ Change how much any component matters overall → Data-Input Block 1 (Global Weights).</t>
        </is>
      </c>
    </row>
    <row r="83" ht="15" customHeight="1">
      <c r="A83" s="19" t="inlineStr">
        <is>
          <t>☐ Add a brand-new hero → Heroes sheet (add a new row with the same columns as existing heroes). It will automatically appear in every dropdown, the Style Matchup engine, and the Lookup rankings.</t>
        </is>
      </c>
    </row>
    <row r="84" ht="15" customHeight="1">
      <c r="A84" s="19" t="inlineStr">
        <is>
          <t>☐ Add a brand-new tag → give it a row AND column in Data-Input Block 5, and add it to the Tag Glossary in Block 4 for documentation purposes.</t>
        </is>
      </c>
    </row>
  </sheetData>
  <mergeCells count="60">
    <mergeCell ref="A47:J47"/>
    <mergeCell ref="A5:J5"/>
    <mergeCell ref="A23:J23"/>
    <mergeCell ref="A32:J32"/>
    <mergeCell ref="A8:J8"/>
    <mergeCell ref="A17:J17"/>
    <mergeCell ref="A62:J62"/>
    <mergeCell ref="A29:J29"/>
    <mergeCell ref="A35:J35"/>
    <mergeCell ref="A33:J33"/>
    <mergeCell ref="A20:J20"/>
    <mergeCell ref="A38:J38"/>
    <mergeCell ref="A43:J43"/>
    <mergeCell ref="A72:J72"/>
    <mergeCell ref="A52:J52"/>
    <mergeCell ref="A10:J10"/>
    <mergeCell ref="A81:J81"/>
    <mergeCell ref="A13:J13"/>
    <mergeCell ref="A19:J19"/>
    <mergeCell ref="A44:J44"/>
    <mergeCell ref="A63:J63"/>
    <mergeCell ref="A68:J68"/>
    <mergeCell ref="A58:J58"/>
    <mergeCell ref="A9:J9"/>
    <mergeCell ref="A67:J67"/>
    <mergeCell ref="A30:J30"/>
    <mergeCell ref="A39:J39"/>
    <mergeCell ref="A83:J83"/>
    <mergeCell ref="A15:J15"/>
    <mergeCell ref="A59:J59"/>
    <mergeCell ref="A24:J24"/>
    <mergeCell ref="A73:J73"/>
    <mergeCell ref="A82:J82"/>
    <mergeCell ref="A60:J60"/>
    <mergeCell ref="A11:J11"/>
    <mergeCell ref="A49:J49"/>
    <mergeCell ref="A51:J51"/>
    <mergeCell ref="A45:J45"/>
    <mergeCell ref="A36:J36"/>
    <mergeCell ref="A79:J79"/>
    <mergeCell ref="A61:J61"/>
    <mergeCell ref="A70:J70"/>
    <mergeCell ref="A78:J78"/>
    <mergeCell ref="A69:J69"/>
    <mergeCell ref="A7:J7"/>
    <mergeCell ref="A65:J65"/>
    <mergeCell ref="A54:J54"/>
    <mergeCell ref="A41:J41"/>
    <mergeCell ref="A80:J80"/>
    <mergeCell ref="A46:J46"/>
    <mergeCell ref="A84:J84"/>
    <mergeCell ref="A74:J74"/>
    <mergeCell ref="A56:J56"/>
    <mergeCell ref="A27:J27"/>
    <mergeCell ref="A3:J3"/>
    <mergeCell ref="A26:J26"/>
    <mergeCell ref="A57:J57"/>
    <mergeCell ref="A42:J42"/>
    <mergeCell ref="A76:J76"/>
    <mergeCell ref="A71:J7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zoomScaleNormal="100" workbookViewId="0">
      <pane ySplit="1" topLeftCell="A2" activePane="bottomLeft" state="frozen"/>
      <selection pane="bottomLeft" activeCell="D25" sqref="D25"/>
    </sheetView>
  </sheetViews>
  <sheetFormatPr baseColWidth="8" defaultColWidth="8.6640625" defaultRowHeight="14.4"/>
  <cols>
    <col width="26" customWidth="1" min="1" max="1"/>
    <col width="30" customWidth="1" min="2" max="2"/>
    <col width="14" customWidth="1" min="3" max="3"/>
    <col width="16" customWidth="1" min="4" max="4"/>
    <col width="10" customWidth="1" min="5" max="5"/>
    <col width="15" customWidth="1" min="7" max="14"/>
  </cols>
  <sheetData>
    <row r="1" ht="17.25" customHeight="1">
      <c r="A1" s="17" t="inlineStr">
        <is>
          <t>MLBB Counter Calculator</t>
        </is>
      </c>
    </row>
    <row r="2" ht="15" customHeight="1">
      <c r="G2" s="8" t="inlineStr">
        <is>
          <t>ATTACKER (auto)</t>
        </is>
      </c>
      <c r="J2" s="8" t="inlineStr">
        <is>
          <t>DEFENDER (auto)</t>
        </is>
      </c>
      <c r="M2" s="8" t="inlineStr">
        <is>
          <t>WEIGHTS (auto)</t>
        </is>
      </c>
    </row>
    <row r="3" ht="15" customHeight="1">
      <c r="A3" s="1" t="inlineStr">
        <is>
          <t>Attacker:</t>
        </is>
      </c>
      <c r="C3" s="1" t="inlineStr">
        <is>
          <t>Defender:</t>
        </is>
      </c>
      <c r="G3" s="9" t="inlineStr">
        <is>
          <t>Role</t>
        </is>
      </c>
      <c r="H3" s="9">
        <f>IFERROR(INDEX(Heroes!$C$2:$C$134,MATCH($B$3,Heroes!$B$2:$B$134,0)),"")</f>
        <v/>
      </c>
      <c r="J3" s="9" t="inlineStr">
        <is>
          <t>Role</t>
        </is>
      </c>
      <c r="K3" s="9">
        <f>IFERROR(INDEX(Heroes!$C$2:$C$134,MATCH($D$3,Heroes!$B$2:$B$134,0)),"")</f>
        <v/>
      </c>
      <c r="M3" s="9" t="inlineStr">
        <is>
          <t>role_mult</t>
        </is>
      </c>
      <c r="N3" s="9">
        <f>IFERROR(INDEX('Data-Input'!$B$7:$B$14,MATCH("role_mult",'Data-Input'!$A$7:$A$14,0)),5)</f>
        <v/>
      </c>
    </row>
    <row r="4" ht="15" customHeight="1">
      <c r="G4" s="9" t="inlineStr">
        <is>
          <t>Role2</t>
        </is>
      </c>
      <c r="H4" s="9">
        <f>IFERROR(INDEX(Heroes!$D$2:$D$134,MATCH($B$3,Heroes!$B$2:$B$134,0)),"")</f>
        <v/>
      </c>
      <c r="J4" s="9" t="inlineStr">
        <is>
          <t>Role2</t>
        </is>
      </c>
      <c r="K4" s="9">
        <f>IFERROR(INDEX(Heroes!$D$2:$D$134,MATCH($D$3,Heroes!$B$2:$B$134,0)),"")</f>
        <v/>
      </c>
      <c r="M4" s="9" t="inlineStr">
        <is>
          <t>burst_mult</t>
        </is>
      </c>
      <c r="N4" s="9">
        <f>IFERROR(INDEX('Data-Input'!$B$7:$B$14,MATCH("burst_mult",'Data-Input'!$A$7:$A$14,0)),0.1)</f>
        <v/>
      </c>
    </row>
    <row r="5" ht="15" customHeight="1">
      <c r="A5" s="10" t="inlineStr">
        <is>
          <t>Score Breakdown</t>
        </is>
      </c>
      <c r="G5" s="9" t="inlineStr">
        <is>
          <t>Offense</t>
        </is>
      </c>
      <c r="H5" s="9">
        <f>IFERROR(INDEX(Heroes!$E$2:$E$134,MATCH($B$3,Heroes!$B$2:$B$134,0)),"")</f>
        <v/>
      </c>
      <c r="J5" s="9" t="inlineStr">
        <is>
          <t>Durability</t>
        </is>
      </c>
      <c r="K5" s="9">
        <f>IFERROR(INDEX(Heroes!$G$2:$G$134,MATCH($D$3,Heroes!$B$2:$B$134,0)),"")</f>
        <v/>
      </c>
      <c r="M5" s="9" t="inlineStr">
        <is>
          <t>diff_mult</t>
        </is>
      </c>
      <c r="N5" s="9">
        <f>IFERROR(INDEX('Data-Input'!$B$7:$B$14,MATCH("diff_mult",'Data-Input'!$A$7:$A$14,0)),0.3)</f>
        <v/>
      </c>
    </row>
    <row r="6" ht="15" customHeight="1">
      <c r="B6" s="1" t="inlineStr">
        <is>
          <t>Component</t>
        </is>
      </c>
      <c r="C6" s="1" t="inlineStr">
        <is>
          <t>Value</t>
        </is>
      </c>
      <c r="G6" s="9" t="inlineStr">
        <is>
          <t>Ability Effects</t>
        </is>
      </c>
      <c r="H6" s="9">
        <f>IFERROR(INDEX(Heroes!$F$2:$F$134,MATCH($B$3,Heroes!$B$2:$B$134,0)),"")</f>
        <v/>
      </c>
      <c r="J6" s="9" t="inlineStr">
        <is>
          <t>Difficulty</t>
        </is>
      </c>
      <c r="K6" s="9">
        <f>IFERROR(INDEX(Heroes!$H$2:$H$134,MATCH($D$3,Heroes!$B$2:$B$134,0)),"")</f>
        <v/>
      </c>
      <c r="M6" s="3" t="inlineStr">
        <is>
          <t>style_mult</t>
        </is>
      </c>
      <c r="N6">
        <f>IFERROR(INDEX('Data-Input'!$B$7:$B$14,MATCH("style_mult",'Data-Input'!$A$7:$A$14,0)),5)</f>
        <v/>
      </c>
    </row>
    <row r="7" ht="15" customHeight="1">
      <c r="B7" s="3" t="inlineStr">
        <is>
          <t>Role Advantage</t>
        </is>
      </c>
      <c r="C7" s="11">
        <f>IF(OR($B$3="",$D$3=""),0,MAX(IFERROR(INDEX('Data-Input'!$B$19:$G$24,MATCH($H$3,'Data-Input'!$A$19:$A$24,0),MATCH($K$3,'Data-Input'!$B$18:$G$18,0)),0),IF($H$4&lt;&gt;"",IFERROR(INDEX('Data-Input'!$B$19:$G$24,MATCH($H$4,'Data-Input'!$A$19:$A$24,0),MATCH($K$3,'Data-Input'!$B$18:$G$18,0)),0),IFERROR(INDEX('Data-Input'!$B$19:$G$24,MATCH($H$3,'Data-Input'!$A$19:$A$24,0),MATCH($K$3,'Data-Input'!$B$18:$G$18,0)),0)))*$N$3)</f>
        <v/>
      </c>
      <c r="G7" s="9" t="inlineStr">
        <is>
          <t>Difficulty</t>
        </is>
      </c>
      <c r="H7" s="9">
        <f>IFERROR(INDEX(Heroes!$H$2:$H$134,MATCH($B$3,Heroes!$B$2:$B$134,0)),"")</f>
        <v/>
      </c>
      <c r="J7" s="9" t="inlineStr">
        <is>
          <t>Style1</t>
        </is>
      </c>
      <c r="K7" s="9">
        <f>IFERROR(INDEX(Heroes!$I$2:$I$134,MATCH($D$3,Heroes!$B$2:$B$134,0)),"")</f>
        <v/>
      </c>
      <c r="M7" s="3" t="inlineStr">
        <is>
          <t>spike_mult</t>
        </is>
      </c>
      <c r="N7">
        <f>IFERROR(INDEX('Data-Input'!$B$7:$B$14,MATCH("spike_mult",'Data-Input'!$A$7:$A$14,0)),3)</f>
        <v/>
      </c>
    </row>
    <row r="8" ht="15" customHeight="1">
      <c r="B8" s="3" t="inlineStr">
        <is>
          <t>Stat (Burst vs Durability)</t>
        </is>
      </c>
      <c r="C8" s="11">
        <f>IF(OR($B$3="",$D$3=""),0,(($H$5+$H$6)/2-$K$5)*$N$4)</f>
        <v/>
      </c>
      <c r="G8" s="9" t="inlineStr">
        <is>
          <t>Style1</t>
        </is>
      </c>
      <c r="H8" s="9">
        <f>IFERROR(INDEX(Heroes!$I$2:$I$134,MATCH($B$3,Heroes!$B$2:$B$134,0)),"")</f>
        <v/>
      </c>
      <c r="J8" s="9" t="inlineStr">
        <is>
          <t>Style2</t>
        </is>
      </c>
      <c r="K8" s="9">
        <f>IFERROR(INDEX(Heroes!$J$2:$J$134,MATCH($D$3,Heroes!$B$2:$B$134,0)),"")</f>
        <v/>
      </c>
      <c r="M8" s="3" t="inlineStr">
        <is>
          <t>dmgtype_same</t>
        </is>
      </c>
      <c r="N8">
        <f>IFERROR(INDEX('Data-Input'!$B$7:$B$14,MATCH("dmgtype_same",'Data-Input'!$A$7:$A$14,0)),-2)</f>
        <v/>
      </c>
    </row>
    <row r="9" ht="15" customHeight="1">
      <c r="B9" s="3" t="inlineStr">
        <is>
          <t>Difficulty Gap</t>
        </is>
      </c>
      <c r="C9" s="11">
        <f>IF(OR($B$3="",$D$3=""),0,IF(($H$7-$K$6)&gt;20,($H$7-$K$6)*$N$5,0))</f>
        <v/>
      </c>
      <c r="G9" s="9" t="inlineStr">
        <is>
          <t>Style2</t>
        </is>
      </c>
      <c r="H9" s="9">
        <f>IFERROR(INDEX(Heroes!$J$2:$J$134,MATCH($B$3,Heroes!$B$2:$B$134,0)),"")</f>
        <v/>
      </c>
      <c r="J9" s="9" t="inlineStr">
        <is>
          <t>Damage Type</t>
        </is>
      </c>
      <c r="K9" s="9">
        <f>IFERROR(INDEX(Heroes!$K$2:$K$134,MATCH($D$3,Heroes!$B$2:$B$134,0)),"")</f>
        <v/>
      </c>
      <c r="M9" s="3" t="inlineStr">
        <is>
          <t>dmgtype_diff</t>
        </is>
      </c>
      <c r="N9">
        <f>IFERROR(INDEX('Data-Input'!$B$7:$B$14,MATCH("dmgtype_diff",'Data-Input'!$A$7:$A$14,0)),3)</f>
        <v/>
      </c>
    </row>
    <row r="10" ht="15" customHeight="1">
      <c r="B10" s="3" t="inlineStr">
        <is>
          <t>Damage Type Advantage</t>
        </is>
      </c>
      <c r="C10" s="11">
        <f>IF(OR($B$3="",$D$3=""),0,IF($H$10="Mixed",$N$10,IF($H$10=$K$9,$N$8,$N$9)))</f>
        <v/>
      </c>
      <c r="G10" s="9" t="inlineStr">
        <is>
          <t>Damage Type</t>
        </is>
      </c>
      <c r="H10" s="9">
        <f>IFERROR(INDEX(Heroes!$K$2:$K$134,MATCH($B$3,Heroes!$B$2:$B$134,0)),"")</f>
        <v/>
      </c>
      <c r="J10" s="9" t="inlineStr">
        <is>
          <t>Spike Order</t>
        </is>
      </c>
      <c r="K10" s="9">
        <f>IFERROR(INDEX(Heroes!$Q$2:$Q$134,MATCH($D$3,Heroes!$B$2:$B$134,0)),"")</f>
        <v/>
      </c>
      <c r="M10" s="3" t="inlineStr">
        <is>
          <t>dmgtype_mixed</t>
        </is>
      </c>
      <c r="N10">
        <f>IFERROR(INDEX('Data-Input'!$B$7:$B$14,MATCH("dmgtype_mixed",'Data-Input'!$A$7:$A$14,0)),5)</f>
        <v/>
      </c>
    </row>
    <row r="11" ht="15" customHeight="1">
      <c r="B11" s="3" t="inlineStr">
        <is>
          <t>Power Spike Timing</t>
        </is>
      </c>
      <c r="C11" s="11">
        <f>IF(OR($B$3="",$D$3=""),0,($H$11-$K$10)*$N$7)</f>
        <v/>
      </c>
      <c r="G11" s="9" t="inlineStr">
        <is>
          <t>Spike Order</t>
        </is>
      </c>
      <c r="H11" s="9">
        <f>IFERROR(INDEX(Heroes!$Q$2:$Q$134,MATCH($B$3,Heroes!$B$2:$B$134,0)),"")</f>
        <v/>
      </c>
      <c r="J11" t="inlineStr">
        <is>
          <t>Resource</t>
        </is>
      </c>
      <c r="K11">
        <f>IFERROR(INDEX(Heroes!$P$2:$P$134,MATCH($D$3,Heroes!$B$2:$B$134,0)),"")</f>
        <v/>
      </c>
      <c r="M11" t="inlineStr">
        <is>
          <t>rangetype_mult</t>
        </is>
      </c>
      <c r="N11">
        <f>IFERROR(INDEX('Data-Input'!$B$7:$B$16,MATCH("rangetype_mult",'Data-Input'!$A$7:$A$16,0)),3)</f>
        <v/>
      </c>
    </row>
    <row r="12" ht="15" customHeight="1">
      <c r="B12" s="3" t="inlineStr">
        <is>
          <t>Style Matchup</t>
        </is>
      </c>
      <c r="C12" s="11">
        <f>IF(OR($B$3="",$D$3=""),0,MAX(IF($H$8&lt;&gt;"",IFERROR(INDEX('Data-Input'!$B$164:$W$185,MATCH($H$8,'Data-Input'!$A$164:$A$185,0),MATCH($K$7,'Data-Input'!$B$163:$W$163,0)),0),0),IF(AND($H$8&lt;&gt;"",$K$8&lt;&gt;""),IFERROR(INDEX('Data-Input'!$B$164:$W$185,MATCH($H$8,'Data-Input'!$A$164:$A$185,0),MATCH($K$8,'Data-Input'!$B$163:$W$163,0)),0),0),IF($H$9&lt;&gt;"",IFERROR(INDEX('Data-Input'!$B$164:$W$185,MATCH($H$9,'Data-Input'!$A$164:$A$185,0),MATCH($K$7,'Data-Input'!$B$163:$W$163,0)),0),0),IF(AND($H$9&lt;&gt;"",$K$8&lt;&gt;""),IFERROR(INDEX('Data-Input'!$B$164:$W$185,MATCH($H$9,'Data-Input'!$A$164:$A$185,0),MATCH($K$8,'Data-Input'!$B$163:$W$163,0)),0),0))*$N$6)</f>
        <v/>
      </c>
      <c r="G12" t="inlineStr">
        <is>
          <t>Anti-Heal?</t>
        </is>
      </c>
      <c r="H12">
        <f>IFERROR(INDEX(Heroes!$R$2:$R$134,MATCH($B$3,Heroes!$B$2:$B$134,0)),"")</f>
        <v/>
      </c>
      <c r="J12" t="inlineStr">
        <is>
          <t>Range Type</t>
        </is>
      </c>
      <c r="K12">
        <f>IFERROR(INDEX(Heroes!$L$2:$L$134,MATCH($D$3,Heroes!$B$2:$B$134,0)),"")</f>
        <v/>
      </c>
      <c r="M12" t="inlineStr">
        <is>
          <t>antiheal_mult</t>
        </is>
      </c>
      <c r="N12">
        <f>IFERROR(INDEX('Data-Input'!$B$7:$B$16,MATCH("antiheal_mult",'Data-Input'!$A$7:$A$16,0)),6)</f>
        <v/>
      </c>
    </row>
    <row r="13" ht="15" customHeight="1">
      <c r="B13" s="3" t="inlineStr">
        <is>
          <t>Hard Counter Bonus (named-hero / tag rules)</t>
        </is>
      </c>
      <c r="C13">
        <f>IF(OR($B$3="",$D$3=""),0,SUMPRODUCT(('Data-Input'!$A$29:$A$128=$B$3)*('Data-Input'!$B$29:$B$128="Tag")*((('Data-Input'!$C$29:$C$128=$K$7)+('Data-Input'!$C$29:$C$128=$K$8))&gt;0)*('Data-Input'!$D$29:$D$128-'Data-Input'!$E$29:$E$128))+SUMPRODUCT(('Data-Input'!$A$29:$A$128=$B$3)*('Data-Input'!$B$29:$B$128="Hero")*('Data-Input'!$C$29:$C$128=$D$3)*('Data-Input'!$D$29:$D$128-'Data-Input'!$E$29:$E$128))+SUMPRODUCT(('Data-Input'!$A$29:$A$128=$B$3)*('Data-Input'!$B$29:$B$128="Role")*((('Data-Input'!$C$29:$C$128=$K$3)+('Data-Input'!$C$29:$C$128=$K$4))&gt;0)*('Data-Input'!$D$29:$D$128-'Data-Input'!$E$29:$E$128))+SUMPRODUCT(('Data-Input'!$A$29:$A$128=$B$3)*('Data-Input'!$B$29:$B$128="DamageType")*('Data-Input'!$C$29:$C$128=$K$9)*('Data-Input'!$D$29:$D$128-'Data-Input'!$E$29:$E$128))+SUMPRODUCT(('Data-Input'!$A$29:$A$128=$B$3)*('Data-Input'!$B$29:$B$128="Resource")*('Data-Input'!$C$29:$C$128=$K$11)*('Data-Input'!$D$29:$D$128-'Data-Input'!$E$29:$E$128)))</f>
        <v/>
      </c>
    </row>
    <row r="14" ht="15" customHeight="1">
      <c r="B14" s="3" t="inlineStr">
        <is>
          <t>Range Type Advantage</t>
        </is>
      </c>
      <c r="C14">
        <f>IF(OR($B$3="",$D$3=""),0,IF(AND(OR($H$8="Dash/Blink",$H$8="High Mobility",$H$8="Global Dive",$H$8="Mobility",$H$9="Dash/Blink",$H$9="High Mobility",$H$9="Global Dive",$H$9="Mobility"),$K$12="Ranged"),$N$11,0))</f>
        <v/>
      </c>
    </row>
    <row r="15" ht="15" customHeight="1">
      <c r="B15" s="3" t="inlineStr">
        <is>
          <t>Anti-Heal Advantage</t>
        </is>
      </c>
      <c r="C15">
        <f>IF(OR($B$3="",$D$3=""),0,IF(AND($H$12="Yes",OR($K$7="Sustain",$K$7="Healing",$K$8="Sustain",$K$8="Healing")),$N$12,0))</f>
        <v/>
      </c>
    </row>
    <row r="16" ht="15" customHeight="1">
      <c r="B16" s="12" t="inlineStr">
        <is>
          <t>Base Total (sum of components)</t>
        </is>
      </c>
      <c r="C16" s="13">
        <f>SUM(C7:C15)</f>
        <v/>
      </c>
    </row>
    <row r="17" ht="15.75" customHeight="1">
      <c r="B17" s="3" t="inlineStr">
        <is>
          <t>Manual Override</t>
        </is>
      </c>
      <c r="C17" s="3">
        <f>IFERROR(INDEX('Data-Input'!$C$190:$C$1189,MATCH($B$3&amp;"|"&amp;$D$3,'Data-Input'!$E$190:$E$1189,0)),"None")</f>
        <v/>
      </c>
    </row>
    <row r="19" ht="15" customHeight="1">
      <c r="B19" s="14" t="inlineStr">
        <is>
          <t>TOTAL COUNTER SCORE</t>
        </is>
      </c>
      <c r="C19" s="15">
        <f>IF(OR($B$3="",$D$3=""),"",IF(C17="None",C16,C17))</f>
        <v/>
      </c>
    </row>
    <row r="21" ht="15" customHeight="1">
      <c r="A21" s="9" t="inlineStr">
        <is>
          <t>Tip: pick heroes in B3 (Attacker) and D3 (Defender) above. Positive score = Attacker counters Defender. Row 13 reflects any named Hard Counter Rule (see Data-Input, Block 3). Rows 14-15 are new: Range Type and Anti-Heal advantages.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Normal="100" workbookViewId="0">
      <selection activeCell="A1" sqref="A1"/>
    </sheetView>
  </sheetViews>
  <sheetFormatPr baseColWidth="8" defaultColWidth="8.6640625" defaultRowHeight="14.4"/>
  <cols>
    <col width="6" customWidth="1" min="1" max="1"/>
    <col width="24" customWidth="1" min="2" max="2"/>
    <col width="10" customWidth="1" min="3" max="3"/>
  </cols>
  <sheetData>
    <row r="1" ht="15" customHeight="1">
      <c r="A1" t="inlineStr">
        <is>
          <t>hanzo</t>
        </is>
      </c>
      <c r="B1" s="12" t="inlineStr">
        <is>
          <t>Top 5 — Overall Counters</t>
        </is>
      </c>
    </row>
    <row r="2" ht="15" customHeight="1">
      <c r="B2" s="1" t="inlineStr">
        <is>
          <t>Counter Name</t>
        </is>
      </c>
      <c r="C2" s="1" t="inlineStr">
        <is>
          <t>Score</t>
        </is>
      </c>
    </row>
    <row r="3" ht="15" customHeight="1">
      <c r="B3">
        <f>IFERROR(INDEX(LookupCalc!$A$2:$A$134,MATCH(LARGE(LookupCalc!$T$2:$T$134,ROW()-2),LookupCalc!$T$2:$T$134,0)),"")</f>
        <v/>
      </c>
      <c r="C3">
        <f>IFERROR(ROUND(LARGE(LookupCalc!$T$2:$T$134,ROW()-2),2),"")</f>
        <v/>
      </c>
    </row>
    <row r="4" ht="15" customHeight="1">
      <c r="B4">
        <f>IFERROR(INDEX(LookupCalc!$A$2:$A$134,MATCH(LARGE(LookupCalc!$T$2:$T$134,ROW()-2),LookupCalc!$T$2:$T$134,0)),"")</f>
        <v/>
      </c>
      <c r="C4">
        <f>IFERROR(ROUND(LARGE(LookupCalc!$T$2:$T$134,ROW()-2),2),"")</f>
        <v/>
      </c>
    </row>
    <row r="5" ht="15" customHeight="1">
      <c r="B5">
        <f>IFERROR(INDEX(LookupCalc!$A$2:$A$134,MATCH(LARGE(LookupCalc!$T$2:$T$134,ROW()-2),LookupCalc!$T$2:$T$134,0)),"")</f>
        <v/>
      </c>
      <c r="C5">
        <f>IFERROR(ROUND(LARGE(LookupCalc!$T$2:$T$134,ROW()-2),2),"")</f>
        <v/>
      </c>
    </row>
    <row r="6" ht="15" customHeight="1">
      <c r="B6">
        <f>IFERROR(INDEX(LookupCalc!$A$2:$A$134,MATCH(LARGE(LookupCalc!$T$2:$T$134,ROW()-2),LookupCalc!$T$2:$T$134,0)),"")</f>
        <v/>
      </c>
      <c r="C6">
        <f>IFERROR(ROUND(LARGE(LookupCalc!$T$2:$T$134,ROW()-2),2),"")</f>
        <v/>
      </c>
    </row>
    <row r="7" ht="15" customHeight="1">
      <c r="B7">
        <f>IFERROR(INDEX(LookupCalc!$A$2:$A$134,MATCH(LARGE(LookupCalc!$T$2:$T$134,ROW()-2),LookupCalc!$T$2:$T$134,0)),"")</f>
        <v/>
      </c>
      <c r="C7">
        <f>IFERROR(ROUND(LARGE(LookupCalc!$T$2:$T$134,ROW()-2),2),"")</f>
        <v/>
      </c>
    </row>
    <row r="9" ht="15" customHeight="1">
      <c r="B9" s="12">
        <f>IF($A$1="","Top 5 — Same Lane","Top 5 — Same Lane ("&amp;IFERROR(INDEX(Heroes!$M$2:$M$134,MATCH($A$1,Heroes!$B$2:$B$134,0)),"?")&amp;")")</f>
        <v/>
      </c>
    </row>
    <row r="10" ht="15" customHeight="1">
      <c r="B10" s="12" t="inlineStr">
        <is>
          <t>Counter Name</t>
        </is>
      </c>
      <c r="C10" s="12" t="inlineStr">
        <is>
          <t>Score</t>
        </is>
      </c>
    </row>
    <row r="11" ht="15" customHeight="1">
      <c r="B11">
        <f>IFERROR(INDEX(LookupCalc!$A$2:$A$134,MATCH(LARGE(LookupCalc!$V$2:$V$134,ROW()-10),LookupCalc!$V$2:$V$134,0)),"")</f>
        <v/>
      </c>
      <c r="C11">
        <f>IFERROR(ROUND(LARGE(LookupCalc!$V$2:$V$134,ROW()-10),2),"")</f>
        <v/>
      </c>
    </row>
    <row r="12" ht="15" customHeight="1">
      <c r="B12">
        <f>IFERROR(INDEX(LookupCalc!$A$2:$A$134,MATCH(LARGE(LookupCalc!$V$2:$V$134,ROW()-10),LookupCalc!$V$2:$V$134,0)),"")</f>
        <v/>
      </c>
      <c r="C12">
        <f>IFERROR(ROUND(LARGE(LookupCalc!$V$2:$V$134,ROW()-10),2),"")</f>
        <v/>
      </c>
    </row>
    <row r="13" ht="15" customHeight="1">
      <c r="B13">
        <f>IFERROR(INDEX(LookupCalc!$A$2:$A$134,MATCH(LARGE(LookupCalc!$V$2:$V$134,ROW()-10),LookupCalc!$V$2:$V$134,0)),"")</f>
        <v/>
      </c>
      <c r="C13">
        <f>IFERROR(ROUND(LARGE(LookupCalc!$V$2:$V$134,ROW()-10),2),"")</f>
        <v/>
      </c>
    </row>
    <row r="14" ht="15" customHeight="1">
      <c r="B14">
        <f>IFERROR(INDEX(LookupCalc!$A$2:$A$134,MATCH(LARGE(LookupCalc!$V$2:$V$134,ROW()-10),LookupCalc!$V$2:$V$134,0)),"")</f>
        <v/>
      </c>
      <c r="C14">
        <f>IFERROR(ROUND(LARGE(LookupCalc!$V$2:$V$134,ROW()-10),2),"")</f>
        <v/>
      </c>
    </row>
    <row r="15" ht="15" customHeight="1">
      <c r="B15">
        <f>IFERROR(INDEX(LookupCalc!$A$2:$A$134,MATCH(LARGE(LookupCalc!$V$2:$V$134,ROW()-10),LookupCalc!$V$2:$V$134,0)),"")</f>
        <v/>
      </c>
      <c r="C15">
        <f>IFERROR(ROUND(LARGE(LookupCalc!$V$2:$V$134,ROW()-10),2),"")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4"/>
  <sheetViews>
    <sheetView zoomScaleNormal="100" workbookViewId="0">
      <selection activeCell="A43" sqref="A43:XFD43"/>
    </sheetView>
  </sheetViews>
  <sheetFormatPr baseColWidth="8" defaultColWidth="8.6640625" defaultRowHeight="14.4"/>
  <sheetData>
    <row r="1" ht="15" customHeight="1">
      <c r="A1">
        <f>Lookup!$A$1</f>
        <v/>
      </c>
      <c r="B1">
        <f>IFERROR(INDEX(Heroes!$C$2:$C$134,MATCH($A$1,Heroes!$B$2:$B$134,0)),"")</f>
        <v/>
      </c>
      <c r="C1">
        <f>IFERROR(INDEX(Heroes!$G$2:$G$134,MATCH($A$1,Heroes!$B$2:$B$134,0)),0)</f>
        <v/>
      </c>
      <c r="D1">
        <f>IFERROR(INDEX(Heroes!$H$2:$H$134,MATCH($A$1,Heroes!$B$2:$B$134,0)),0)</f>
        <v/>
      </c>
      <c r="E1">
        <f>IFERROR(INDEX(Heroes!$K$2:$K$134,MATCH($A$1,Heroes!$B$2:$B$134,0)),"")</f>
        <v/>
      </c>
      <c r="F1">
        <f>IFERROR(INDEX(Heroes!$Q$2:$Q$134,MATCH($A$1,Heroes!$B$2:$B$134,0)),0)</f>
        <v/>
      </c>
      <c r="G1">
        <f>IFERROR(INDEX('Data-Input'!$B$7:$B$14,MATCH("role_mult",'Data-Input'!$A$7:$A$14,0)),5)</f>
        <v/>
      </c>
      <c r="H1">
        <f>IFERROR(INDEX('Data-Input'!$B$7:$B$14,MATCH("burst_mult",'Data-Input'!$A$7:$A$14,0)),0.1)</f>
        <v/>
      </c>
      <c r="I1">
        <f>IFERROR(INDEX('Data-Input'!$B$7:$B$14,MATCH("diff_mult",'Data-Input'!$A$7:$A$14,0)),0.3)</f>
        <v/>
      </c>
      <c r="J1">
        <f>IFERROR(INDEX(Heroes!$M$2:$M$134,MATCH($A$1,Heroes!$B$2:$B$134,0)),"")</f>
        <v/>
      </c>
      <c r="K1" s="3">
        <f>IFERROR(INDEX(Heroes!$I$2:$I$134,MATCH($A$1,Heroes!$B$2:$B$134,0)),"")</f>
        <v/>
      </c>
      <c r="L1" s="3">
        <f>IFERROR(INDEX(Heroes!$J$2:$J$134,MATCH($A$1,Heroes!$B$2:$B$134,0)),"")</f>
        <v/>
      </c>
      <c r="M1" s="3">
        <f>IFERROR(INDEX('Data-Input'!$B$7:$B$14,MATCH("style_mult",'Data-Input'!$A$7:$A$14,0)),5)</f>
        <v/>
      </c>
      <c r="N1" s="3">
        <f>IFERROR(INDEX('Data-Input'!$B$7:$B$14,MATCH("spike_mult",'Data-Input'!$A$7:$A$14,0)),3)</f>
        <v/>
      </c>
      <c r="O1" s="3">
        <f>IFERROR(INDEX('Data-Input'!$B$7:$B$14,MATCH("dmgtype_same",'Data-Input'!$A$7:$A$14,0)),-2)</f>
        <v/>
      </c>
      <c r="P1" s="3">
        <f>IFERROR(INDEX('Data-Input'!$B$7:$B$14,MATCH("dmgtype_diff",'Data-Input'!$A$7:$A$14,0)),3)</f>
        <v/>
      </c>
      <c r="Q1" s="3">
        <f>IFERROR(INDEX('Data-Input'!$B$7:$B$14,MATCH("dmgtype_mixed",'Data-Input'!$A$7:$A$14,0)),5)</f>
        <v/>
      </c>
      <c r="U1" s="9" t="inlineStr">
        <is>
          <t>Lane1 (helper)</t>
        </is>
      </c>
      <c r="V1" s="9" t="inlineStr">
        <is>
          <t>Lane Sort Key (helper)</t>
        </is>
      </c>
      <c r="W1" s="3" t="inlineStr">
        <is>
          <t>Style1 (helper)</t>
        </is>
      </c>
      <c r="X1" s="3" t="inlineStr">
        <is>
          <t>Style2 (helper)</t>
        </is>
      </c>
      <c r="Y1" s="3" t="inlineStr">
        <is>
          <t>Style Matchup (component)</t>
        </is>
      </c>
      <c r="Z1" s="3" t="inlineStr">
        <is>
          <t>Hard Counter Bonus (component)</t>
        </is>
      </c>
      <c r="AA1">
        <f>IFERROR(INDEX(Heroes!$L$2:$L$134,MATCH($A$1,Heroes!$B$2:$B$134,0)),"")</f>
        <v/>
      </c>
      <c r="AB1">
        <f>IFERROR(INDEX(Heroes!$P$2:$P$134,MATCH($A$1,Heroes!$B$2:$B$134,0)),"")</f>
        <v/>
      </c>
      <c r="AC1">
        <f>IFERROR(INDEX('Data-Input'!$B$7:$B$16,MATCH("rangetype_mult",'Data-Input'!$A$7:$A$16,0)),3)</f>
        <v/>
      </c>
      <c r="AD1">
        <f>IFERROR(INDEX('Data-Input'!$B$7:$B$16,MATCH("antiheal_mult",'Data-Input'!$A$7:$A$16,0)),6)</f>
        <v/>
      </c>
      <c r="AH1">
        <f>IFERROR(INDEX(Heroes!$D$2:$D$134,MATCH($A$1,Heroes!$B$2:$B$134,0)),"")</f>
        <v/>
      </c>
    </row>
    <row r="2" ht="15" customHeight="1">
      <c r="A2">
        <f>Heroes!$B2</f>
        <v/>
      </c>
      <c r="B2">
        <f>Heroes!$C2</f>
        <v/>
      </c>
      <c r="C2">
        <f>Heroes!$D2</f>
        <v/>
      </c>
      <c r="D2">
        <f>Heroes!$E2</f>
        <v/>
      </c>
      <c r="E2">
        <f>Heroes!$F2</f>
        <v/>
      </c>
      <c r="F2">
        <f>Heroes!$H2</f>
        <v/>
      </c>
      <c r="G2">
        <f>Heroes!$K2</f>
        <v/>
      </c>
      <c r="H2">
        <f>Heroes!$Q2</f>
        <v/>
      </c>
      <c r="I2">
        <f>IFERROR(INDEX('Data-Input'!$B$19:$G$24,MATCH(B2,'Data-Input'!$A$19:$A$24,0),MATCH($B$1,'Data-Input'!$B$18:$G$18,0)),0)</f>
        <v/>
      </c>
      <c r="J2">
        <f>IF(C2&lt;&gt;"",IFERROR(INDEX('Data-Input'!$B$19:$G$24,MATCH(C2,'Data-Input'!$A$19:$A$24,0),MATCH($B$1,'Data-Input'!$B$18:$G$18,0)),0),I2)</f>
        <v/>
      </c>
      <c r="K2">
        <f>MAX(I2,J2)</f>
        <v/>
      </c>
      <c r="L2">
        <f>((D2+E2)/2-$C$1)*$H$1</f>
        <v/>
      </c>
      <c r="M2">
        <f>F2-$D$1</f>
        <v/>
      </c>
      <c r="N2">
        <f>IF(M2&gt;20,M2*$I$1,0)</f>
        <v/>
      </c>
      <c r="O2">
        <f>IF(G2="Mixed",$Q$1,IF(G2=$E$1,$O$1,$P$1))</f>
        <v/>
      </c>
      <c r="P2">
        <f>(H2-$F$1)*$N$1</f>
        <v/>
      </c>
      <c r="Q2">
        <f>K2*$G$1+L2+N2+O2+P2+Y2+Z2+AF2+AG2</f>
        <v/>
      </c>
      <c r="R2">
        <f>IFERROR(INDEX('Data-Input'!$C$190:$C$1189,MATCH(A2&amp;"|"&amp;$A$1,'Data-Input'!$E$190:$E$1189,0)),Q2)</f>
        <v/>
      </c>
      <c r="S2">
        <f>IF(OR($A$1="",A2=$A$1),-1000000000000000,R2)</f>
        <v/>
      </c>
      <c r="T2">
        <f>S2+ROW()*0.0000001</f>
        <v/>
      </c>
      <c r="U2">
        <f>Heroes!$M2</f>
        <v/>
      </c>
      <c r="V2">
        <f>IF(OR($A$1="",A2=$A$1,U2="",U2&lt;&gt;$J$1),-1000000000000000,R2)+ROW()*0.0000001</f>
        <v/>
      </c>
      <c r="W2">
        <f>Heroes!$I2</f>
        <v/>
      </c>
      <c r="X2">
        <f>Heroes!$J2</f>
        <v/>
      </c>
      <c r="Y2">
        <f>IF($A$1="",0,MAX(IF(W2&lt;&gt;"",IFERROR(INDEX('Data-Input'!$B$164:$W$185,MATCH(W2,'Data-Input'!$A$164:$A$185,0),MATCH($K$1,'Data-Input'!$B$163:$W$163,0)),0),0),IF(AND(W2&lt;&gt;"",$L$1&lt;&gt;""),IFERROR(INDEX('Data-Input'!$B$164:$W$185,MATCH(W2,'Data-Input'!$A$164:$A$185,0),MATCH($L$1,'Data-Input'!$B$163:$W$163,0)),0),0),IF(X2&lt;&gt;"",IFERROR(INDEX('Data-Input'!$B$164:$W$185,MATCH(X2,'Data-Input'!$A$164:$A$185,0),MATCH($K$1,'Data-Input'!$B$163:$W$163,0)),0),0),IF(AND(X2&lt;&gt;"",$L$1&lt;&gt;""),IFERROR(INDEX('Data-Input'!$B$164:$W$185,MATCH(X2,'Data-Input'!$A$164:$A$185,0),MATCH($L$1,'Data-Input'!$B$163:$W$163,0)),0),0))*$M$1)</f>
        <v/>
      </c>
      <c r="Z2">
        <f>IF($A$1="",0,SUMPRODUCT(('Data-Input'!$A$29:$A$128=A2)*('Data-Input'!$B$29:$B$128="Tag")*((('Data-Input'!$C$29:$C$128=$K$1)+('Data-Input'!$C$29:$C$128=$L$1))&gt;0)*('Data-Input'!$D$29:$D$128-'Data-Input'!$E$29:$E$128))+SUMPRODUCT(('Data-Input'!$A$29:$A$128=A2)*('Data-Input'!$B$29:$B$128="Hero")*('Data-Input'!$C$29:$C$128=$A$1)*('Data-Input'!$D$29:$D$128-'Data-Input'!$E$29:$E$128))+SUMPRODUCT(('Data-Input'!$A$29:$A$128=A2)*('Data-Input'!$B$29:$B$128="Role")*((('Data-Input'!$C$29:$C$128=$B$1)+('Data-Input'!$C$29:$C$128=$AH$1))&gt;0)*('Data-Input'!$D$29:$D$128-'Data-Input'!$E$29:$E$128))+SUMPRODUCT(('Data-Input'!$A$29:$A$128=A2)*('Data-Input'!$B$29:$B$128="DamageType")*('Data-Input'!$C$29:$C$128=$E$1)*('Data-Input'!$D$29:$D$128-'Data-Input'!$E$29:$E$128))+SUMPRODUCT(('Data-Input'!$A$29:$A$128=A2)*('Data-Input'!$B$29:$B$128="Resource")*('Data-Input'!$C$29:$C$128=$AB$1)*('Data-Input'!$D$29:$D$128-'Data-Input'!$E$29:$E$128)))</f>
        <v/>
      </c>
      <c r="AE2">
        <f>Heroes!$R2</f>
        <v/>
      </c>
      <c r="AF2">
        <f>IF($A$1="",0,IF(AND(OR(W2="Dash/Blink",W2="High Mobility",W2="Global Dive",W2="Mobility",X2="Dash/Blink",X2="High Mobility",X2="Global Dive",X2="Mobility"),$AA$1="Ranged"),$AC$1,0))</f>
        <v/>
      </c>
      <c r="AG2">
        <f>IF($A$1="",0,IF(AND(AE2="Yes",OR($K$1="Sustain",$K$1="Healing",$L$1="Sustain",$L$1="Healing")),$AD$1,0))</f>
        <v/>
      </c>
    </row>
    <row r="3" ht="15" customHeight="1">
      <c r="A3">
        <f>Heroes!$B3</f>
        <v/>
      </c>
      <c r="B3">
        <f>Heroes!$C3</f>
        <v/>
      </c>
      <c r="C3">
        <f>Heroes!$D3</f>
        <v/>
      </c>
      <c r="D3">
        <f>Heroes!$E3</f>
        <v/>
      </c>
      <c r="E3">
        <f>Heroes!$F3</f>
        <v/>
      </c>
      <c r="F3">
        <f>Heroes!$H3</f>
        <v/>
      </c>
      <c r="G3">
        <f>Heroes!$K3</f>
        <v/>
      </c>
      <c r="H3">
        <f>Heroes!$Q3</f>
        <v/>
      </c>
      <c r="I3">
        <f>IFERROR(INDEX('Data-Input'!$B$19:$G$24,MATCH(B3,'Data-Input'!$A$19:$A$24,0),MATCH($B$1,'Data-Input'!$B$18:$G$18,0)),0)</f>
        <v/>
      </c>
      <c r="J3">
        <f>IF(C3&lt;&gt;"",IFERROR(INDEX('Data-Input'!$B$19:$G$24,MATCH(C3,'Data-Input'!$A$19:$A$24,0),MATCH($B$1,'Data-Input'!$B$18:$G$18,0)),0),I3)</f>
        <v/>
      </c>
      <c r="K3">
        <f>MAX(I3,J3)</f>
        <v/>
      </c>
      <c r="L3">
        <f>((D3+E3)/2-$C$1)*$H$1</f>
        <v/>
      </c>
      <c r="M3">
        <f>F3-$D$1</f>
        <v/>
      </c>
      <c r="N3">
        <f>IF(M3&gt;20,M3*$I$1,0)</f>
        <v/>
      </c>
      <c r="O3">
        <f>IF(G3="Mixed",$Q$1,IF(G3=$E$1,$O$1,$P$1))</f>
        <v/>
      </c>
      <c r="P3">
        <f>(H3-$F$1)*$N$1</f>
        <v/>
      </c>
      <c r="Q3">
        <f>K3*$G$1+L3+N3+O3+P3+Y3+Z3+AF3+AG3</f>
        <v/>
      </c>
      <c r="R3">
        <f>IFERROR(INDEX('Data-Input'!$C$190:$C$1189,MATCH(A3&amp;"|"&amp;$A$1,'Data-Input'!$E$190:$E$1189,0)),Q3)</f>
        <v/>
      </c>
      <c r="S3">
        <f>IF(OR($A$1="",A3=$A$1),-1000000000000000,R3)</f>
        <v/>
      </c>
      <c r="T3">
        <f>S3+ROW()*0.0000001</f>
        <v/>
      </c>
      <c r="U3">
        <f>Heroes!$M3</f>
        <v/>
      </c>
      <c r="V3">
        <f>IF(OR($A$1="",A3=$A$1,U3="",U3&lt;&gt;$J$1),-1000000000000000,R3)+ROW()*0.0000001</f>
        <v/>
      </c>
      <c r="W3">
        <f>Heroes!$I3</f>
        <v/>
      </c>
      <c r="X3">
        <f>Heroes!$J3</f>
        <v/>
      </c>
      <c r="Y3">
        <f>IF($A$1="",0,MAX(IF(W3&lt;&gt;"",IFERROR(INDEX('Data-Input'!$B$164:$W$185,MATCH(W3,'Data-Input'!$A$164:$A$185,0),MATCH($K$1,'Data-Input'!$B$163:$W$163,0)),0),0),IF(AND(W3&lt;&gt;"",$L$1&lt;&gt;""),IFERROR(INDEX('Data-Input'!$B$164:$W$185,MATCH(W3,'Data-Input'!$A$164:$A$185,0),MATCH($L$1,'Data-Input'!$B$163:$W$163,0)),0),0),IF(X3&lt;&gt;"",IFERROR(INDEX('Data-Input'!$B$164:$W$185,MATCH(X3,'Data-Input'!$A$164:$A$185,0),MATCH($K$1,'Data-Input'!$B$163:$W$163,0)),0),0),IF(AND(X3&lt;&gt;"",$L$1&lt;&gt;""),IFERROR(INDEX('Data-Input'!$B$164:$W$185,MATCH(X3,'Data-Input'!$A$164:$A$185,0),MATCH($L$1,'Data-Input'!$B$163:$W$163,0)),0),0))*$M$1)</f>
        <v/>
      </c>
      <c r="Z3">
        <f>IF($A$1="",0,SUMPRODUCT(('Data-Input'!$A$29:$A$128=A3)*('Data-Input'!$B$29:$B$128="Tag")*((('Data-Input'!$C$29:$C$128=$K$1)+('Data-Input'!$C$29:$C$128=$L$1))&gt;0)*('Data-Input'!$D$29:$D$128-'Data-Input'!$E$29:$E$128))+SUMPRODUCT(('Data-Input'!$A$29:$A$128=A3)*('Data-Input'!$B$29:$B$128="Hero")*('Data-Input'!$C$29:$C$128=$A$1)*('Data-Input'!$D$29:$D$128-'Data-Input'!$E$29:$E$128))+SUMPRODUCT(('Data-Input'!$A$29:$A$128=A3)*('Data-Input'!$B$29:$B$128="Role")*((('Data-Input'!$C$29:$C$128=$B$1)+('Data-Input'!$C$29:$C$128=$AH$1))&gt;0)*('Data-Input'!$D$29:$D$128-'Data-Input'!$E$29:$E$128))+SUMPRODUCT(('Data-Input'!$A$29:$A$128=A3)*('Data-Input'!$B$29:$B$128="DamageType")*('Data-Input'!$C$29:$C$128=$E$1)*('Data-Input'!$D$29:$D$128-'Data-Input'!$E$29:$E$128))+SUMPRODUCT(('Data-Input'!$A$29:$A$128=A3)*('Data-Input'!$B$29:$B$128="Resource")*('Data-Input'!$C$29:$C$128=$AB$1)*('Data-Input'!$D$29:$D$128-'Data-Input'!$E$29:$E$128)))</f>
        <v/>
      </c>
      <c r="AE3">
        <f>Heroes!$R3</f>
        <v/>
      </c>
      <c r="AF3">
        <f>IF($A$1="",0,IF(AND(OR(W3="Dash/Blink",W3="High Mobility",W3="Global Dive",W3="Mobility",X3="Dash/Blink",X3="High Mobility",X3="Global Dive",X3="Mobility"),$AA$1="Ranged"),$AC$1,0))</f>
        <v/>
      </c>
      <c r="AG3">
        <f>IF($A$1="",0,IF(AND(AE3="Yes",OR($K$1="Sustain",$K$1="Healing",$L$1="Sustain",$L$1="Healing")),$AD$1,0))</f>
        <v/>
      </c>
    </row>
    <row r="4" ht="15" customHeight="1">
      <c r="A4">
        <f>Heroes!$B4</f>
        <v/>
      </c>
      <c r="B4">
        <f>Heroes!$C4</f>
        <v/>
      </c>
      <c r="C4">
        <f>Heroes!$D4</f>
        <v/>
      </c>
      <c r="D4">
        <f>Heroes!$E4</f>
        <v/>
      </c>
      <c r="E4">
        <f>Heroes!$F4</f>
        <v/>
      </c>
      <c r="F4">
        <f>Heroes!$H4</f>
        <v/>
      </c>
      <c r="G4">
        <f>Heroes!$K4</f>
        <v/>
      </c>
      <c r="H4">
        <f>Heroes!$Q4</f>
        <v/>
      </c>
      <c r="I4">
        <f>IFERROR(INDEX('Data-Input'!$B$19:$G$24,MATCH(B4,'Data-Input'!$A$19:$A$24,0),MATCH($B$1,'Data-Input'!$B$18:$G$18,0)),0)</f>
        <v/>
      </c>
      <c r="J4">
        <f>IF(C4&lt;&gt;"",IFERROR(INDEX('Data-Input'!$B$19:$G$24,MATCH(C4,'Data-Input'!$A$19:$A$24,0),MATCH($B$1,'Data-Input'!$B$18:$G$18,0)),0),I4)</f>
        <v/>
      </c>
      <c r="K4">
        <f>MAX(I4,J4)</f>
        <v/>
      </c>
      <c r="L4">
        <f>((D4+E4)/2-$C$1)*$H$1</f>
        <v/>
      </c>
      <c r="M4">
        <f>F4-$D$1</f>
        <v/>
      </c>
      <c r="N4">
        <f>IF(M4&gt;20,M4*$I$1,0)</f>
        <v/>
      </c>
      <c r="O4">
        <f>IF(G4="Mixed",$Q$1,IF(G4=$E$1,$O$1,$P$1))</f>
        <v/>
      </c>
      <c r="P4">
        <f>(H4-$F$1)*$N$1</f>
        <v/>
      </c>
      <c r="Q4">
        <f>K4*$G$1+L4+N4+O4+P4+Y4+Z4+AF4+AG4</f>
        <v/>
      </c>
      <c r="R4">
        <f>IFERROR(INDEX('Data-Input'!$C$190:$C$1189,MATCH(A4&amp;"|"&amp;$A$1,'Data-Input'!$E$190:$E$1189,0)),Q4)</f>
        <v/>
      </c>
      <c r="S4">
        <f>IF(OR($A$1="",A4=$A$1),-1000000000000000,R4)</f>
        <v/>
      </c>
      <c r="T4">
        <f>S4+ROW()*0.0000001</f>
        <v/>
      </c>
      <c r="U4">
        <f>Heroes!$M4</f>
        <v/>
      </c>
      <c r="V4">
        <f>IF(OR($A$1="",A4=$A$1,U4="",U4&lt;&gt;$J$1),-1000000000000000,R4)+ROW()*0.0000001</f>
        <v/>
      </c>
      <c r="W4">
        <f>Heroes!$I4</f>
        <v/>
      </c>
      <c r="X4">
        <f>Heroes!$J4</f>
        <v/>
      </c>
      <c r="Y4">
        <f>IF($A$1="",0,MAX(IF(W4&lt;&gt;"",IFERROR(INDEX('Data-Input'!$B$164:$W$185,MATCH(W4,'Data-Input'!$A$164:$A$185,0),MATCH($K$1,'Data-Input'!$B$163:$W$163,0)),0),0),IF(AND(W4&lt;&gt;"",$L$1&lt;&gt;""),IFERROR(INDEX('Data-Input'!$B$164:$W$185,MATCH(W4,'Data-Input'!$A$164:$A$185,0),MATCH($L$1,'Data-Input'!$B$163:$W$163,0)),0),0),IF(X4&lt;&gt;"",IFERROR(INDEX('Data-Input'!$B$164:$W$185,MATCH(X4,'Data-Input'!$A$164:$A$185,0),MATCH($K$1,'Data-Input'!$B$163:$W$163,0)),0),0),IF(AND(X4&lt;&gt;"",$L$1&lt;&gt;""),IFERROR(INDEX('Data-Input'!$B$164:$W$185,MATCH(X4,'Data-Input'!$A$164:$A$185,0),MATCH($L$1,'Data-Input'!$B$163:$W$163,0)),0),0))*$M$1)</f>
        <v/>
      </c>
      <c r="Z4">
        <f>IF($A$1="",0,SUMPRODUCT(('Data-Input'!$A$29:$A$128=A4)*('Data-Input'!$B$29:$B$128="Tag")*((('Data-Input'!$C$29:$C$128=$K$1)+('Data-Input'!$C$29:$C$128=$L$1))&gt;0)*('Data-Input'!$D$29:$D$128-'Data-Input'!$E$29:$E$128))+SUMPRODUCT(('Data-Input'!$A$29:$A$128=A4)*('Data-Input'!$B$29:$B$128="Hero")*('Data-Input'!$C$29:$C$128=$A$1)*('Data-Input'!$D$29:$D$128-'Data-Input'!$E$29:$E$128))+SUMPRODUCT(('Data-Input'!$A$29:$A$128=A4)*('Data-Input'!$B$29:$B$128="Role")*((('Data-Input'!$C$29:$C$128=$B$1)+('Data-Input'!$C$29:$C$128=$AH$1))&gt;0)*('Data-Input'!$D$29:$D$128-'Data-Input'!$E$29:$E$128))+SUMPRODUCT(('Data-Input'!$A$29:$A$128=A4)*('Data-Input'!$B$29:$B$128="DamageType")*('Data-Input'!$C$29:$C$128=$E$1)*('Data-Input'!$D$29:$D$128-'Data-Input'!$E$29:$E$128))+SUMPRODUCT(('Data-Input'!$A$29:$A$128=A4)*('Data-Input'!$B$29:$B$128="Resource")*('Data-Input'!$C$29:$C$128=$AB$1)*('Data-Input'!$D$29:$D$128-'Data-Input'!$E$29:$E$128)))</f>
        <v/>
      </c>
      <c r="AE4">
        <f>Heroes!$R4</f>
        <v/>
      </c>
      <c r="AF4">
        <f>IF($A$1="",0,IF(AND(OR(W4="Dash/Blink",W4="High Mobility",W4="Global Dive",W4="Mobility",X4="Dash/Blink",X4="High Mobility",X4="Global Dive",X4="Mobility"),$AA$1="Ranged"),$AC$1,0))</f>
        <v/>
      </c>
      <c r="AG4">
        <f>IF($A$1="",0,IF(AND(AE4="Yes",OR($K$1="Sustain",$K$1="Healing",$L$1="Sustain",$L$1="Healing")),$AD$1,0))</f>
        <v/>
      </c>
    </row>
    <row r="5" ht="15" customHeight="1">
      <c r="A5">
        <f>Heroes!$B5</f>
        <v/>
      </c>
      <c r="B5">
        <f>Heroes!$C5</f>
        <v/>
      </c>
      <c r="C5">
        <f>Heroes!$D5</f>
        <v/>
      </c>
      <c r="D5">
        <f>Heroes!$E5</f>
        <v/>
      </c>
      <c r="E5">
        <f>Heroes!$F5</f>
        <v/>
      </c>
      <c r="F5">
        <f>Heroes!$H5</f>
        <v/>
      </c>
      <c r="G5">
        <f>Heroes!$K5</f>
        <v/>
      </c>
      <c r="H5">
        <f>Heroes!$Q5</f>
        <v/>
      </c>
      <c r="I5">
        <f>IFERROR(INDEX('Data-Input'!$B$19:$G$24,MATCH(B5,'Data-Input'!$A$19:$A$24,0),MATCH($B$1,'Data-Input'!$B$18:$G$18,0)),0)</f>
        <v/>
      </c>
      <c r="J5">
        <f>IF(C5&lt;&gt;"",IFERROR(INDEX('Data-Input'!$B$19:$G$24,MATCH(C5,'Data-Input'!$A$19:$A$24,0),MATCH($B$1,'Data-Input'!$B$18:$G$18,0)),0),I5)</f>
        <v/>
      </c>
      <c r="K5">
        <f>MAX(I5,J5)</f>
        <v/>
      </c>
      <c r="L5">
        <f>((D5+E5)/2-$C$1)*$H$1</f>
        <v/>
      </c>
      <c r="M5">
        <f>F5-$D$1</f>
        <v/>
      </c>
      <c r="N5">
        <f>IF(M5&gt;20,M5*$I$1,0)</f>
        <v/>
      </c>
      <c r="O5">
        <f>IF(G5="Mixed",$Q$1,IF(G5=$E$1,$O$1,$P$1))</f>
        <v/>
      </c>
      <c r="P5">
        <f>(H5-$F$1)*$N$1</f>
        <v/>
      </c>
      <c r="Q5">
        <f>K5*$G$1+L5+N5+O5+P5+Y5+Z5+AF5+AG5</f>
        <v/>
      </c>
      <c r="R5">
        <f>IFERROR(INDEX('Data-Input'!$C$190:$C$1189,MATCH(A5&amp;"|"&amp;$A$1,'Data-Input'!$E$190:$E$1189,0)),Q5)</f>
        <v/>
      </c>
      <c r="S5">
        <f>IF(OR($A$1="",A5=$A$1),-1000000000000000,R5)</f>
        <v/>
      </c>
      <c r="T5">
        <f>S5+ROW()*0.0000001</f>
        <v/>
      </c>
      <c r="U5">
        <f>Heroes!$M5</f>
        <v/>
      </c>
      <c r="V5">
        <f>IF(OR($A$1="",A5=$A$1,U5="",U5&lt;&gt;$J$1),-1000000000000000,R5)+ROW()*0.0000001</f>
        <v/>
      </c>
      <c r="W5">
        <f>Heroes!$I5</f>
        <v/>
      </c>
      <c r="X5">
        <f>Heroes!$J5</f>
        <v/>
      </c>
      <c r="Y5">
        <f>IF($A$1="",0,MAX(IF(W5&lt;&gt;"",IFERROR(INDEX('Data-Input'!$B$164:$W$185,MATCH(W5,'Data-Input'!$A$164:$A$185,0),MATCH($K$1,'Data-Input'!$B$163:$W$163,0)),0),0),IF(AND(W5&lt;&gt;"",$L$1&lt;&gt;""),IFERROR(INDEX('Data-Input'!$B$164:$W$185,MATCH(W5,'Data-Input'!$A$164:$A$185,0),MATCH($L$1,'Data-Input'!$B$163:$W$163,0)),0),0),IF(X5&lt;&gt;"",IFERROR(INDEX('Data-Input'!$B$164:$W$185,MATCH(X5,'Data-Input'!$A$164:$A$185,0),MATCH($K$1,'Data-Input'!$B$163:$W$163,0)),0),0),IF(AND(X5&lt;&gt;"",$L$1&lt;&gt;""),IFERROR(INDEX('Data-Input'!$B$164:$W$185,MATCH(X5,'Data-Input'!$A$164:$A$185,0),MATCH($L$1,'Data-Input'!$B$163:$W$163,0)),0),0))*$M$1)</f>
        <v/>
      </c>
      <c r="Z5">
        <f>IF($A$1="",0,SUMPRODUCT(('Data-Input'!$A$29:$A$128=A5)*('Data-Input'!$B$29:$B$128="Tag")*((('Data-Input'!$C$29:$C$128=$K$1)+('Data-Input'!$C$29:$C$128=$L$1))&gt;0)*('Data-Input'!$D$29:$D$128-'Data-Input'!$E$29:$E$128))+SUMPRODUCT(('Data-Input'!$A$29:$A$128=A5)*('Data-Input'!$B$29:$B$128="Hero")*('Data-Input'!$C$29:$C$128=$A$1)*('Data-Input'!$D$29:$D$128-'Data-Input'!$E$29:$E$128))+SUMPRODUCT(('Data-Input'!$A$29:$A$128=A5)*('Data-Input'!$B$29:$B$128="Role")*((('Data-Input'!$C$29:$C$128=$B$1)+('Data-Input'!$C$29:$C$128=$AH$1))&gt;0)*('Data-Input'!$D$29:$D$128-'Data-Input'!$E$29:$E$128))+SUMPRODUCT(('Data-Input'!$A$29:$A$128=A5)*('Data-Input'!$B$29:$B$128="DamageType")*('Data-Input'!$C$29:$C$128=$E$1)*('Data-Input'!$D$29:$D$128-'Data-Input'!$E$29:$E$128))+SUMPRODUCT(('Data-Input'!$A$29:$A$128=A5)*('Data-Input'!$B$29:$B$128="Resource")*('Data-Input'!$C$29:$C$128=$AB$1)*('Data-Input'!$D$29:$D$128-'Data-Input'!$E$29:$E$128)))</f>
        <v/>
      </c>
      <c r="AE5">
        <f>Heroes!$R5</f>
        <v/>
      </c>
      <c r="AF5">
        <f>IF($A$1="",0,IF(AND(OR(W5="Dash/Blink",W5="High Mobility",W5="Global Dive",W5="Mobility",X5="Dash/Blink",X5="High Mobility",X5="Global Dive",X5="Mobility"),$AA$1="Ranged"),$AC$1,0))</f>
        <v/>
      </c>
      <c r="AG5">
        <f>IF($A$1="",0,IF(AND(AE5="Yes",OR($K$1="Sustain",$K$1="Healing",$L$1="Sustain",$L$1="Healing")),$AD$1,0))</f>
        <v/>
      </c>
    </row>
    <row r="6" ht="15" customHeight="1">
      <c r="A6">
        <f>Heroes!$B6</f>
        <v/>
      </c>
      <c r="B6">
        <f>Heroes!$C6</f>
        <v/>
      </c>
      <c r="C6">
        <f>Heroes!$D6</f>
        <v/>
      </c>
      <c r="D6">
        <f>Heroes!$E6</f>
        <v/>
      </c>
      <c r="E6">
        <f>Heroes!$F6</f>
        <v/>
      </c>
      <c r="F6">
        <f>Heroes!$H6</f>
        <v/>
      </c>
      <c r="G6">
        <f>Heroes!$K6</f>
        <v/>
      </c>
      <c r="H6">
        <f>Heroes!$Q6</f>
        <v/>
      </c>
      <c r="I6">
        <f>IFERROR(INDEX('Data-Input'!$B$19:$G$24,MATCH(B6,'Data-Input'!$A$19:$A$24,0),MATCH($B$1,'Data-Input'!$B$18:$G$18,0)),0)</f>
        <v/>
      </c>
      <c r="J6">
        <f>IF(C6&lt;&gt;"",IFERROR(INDEX('Data-Input'!$B$19:$G$24,MATCH(C6,'Data-Input'!$A$19:$A$24,0),MATCH($B$1,'Data-Input'!$B$18:$G$18,0)),0),I6)</f>
        <v/>
      </c>
      <c r="K6">
        <f>MAX(I6,J6)</f>
        <v/>
      </c>
      <c r="L6">
        <f>((D6+E6)/2-$C$1)*$H$1</f>
        <v/>
      </c>
      <c r="M6">
        <f>F6-$D$1</f>
        <v/>
      </c>
      <c r="N6">
        <f>IF(M6&gt;20,M6*$I$1,0)</f>
        <v/>
      </c>
      <c r="O6">
        <f>IF(G6="Mixed",$Q$1,IF(G6=$E$1,$O$1,$P$1))</f>
        <v/>
      </c>
      <c r="P6">
        <f>(H6-$F$1)*$N$1</f>
        <v/>
      </c>
      <c r="Q6">
        <f>K6*$G$1+L6+N6+O6+P6+Y6+Z6+AF6+AG6</f>
        <v/>
      </c>
      <c r="R6">
        <f>IFERROR(INDEX('Data-Input'!$C$190:$C$1189,MATCH(A6&amp;"|"&amp;$A$1,'Data-Input'!$E$190:$E$1189,0)),Q6)</f>
        <v/>
      </c>
      <c r="S6">
        <f>IF(OR($A$1="",A6=$A$1),-1000000000000000,R6)</f>
        <v/>
      </c>
      <c r="T6">
        <f>S6+ROW()*0.0000001</f>
        <v/>
      </c>
      <c r="U6">
        <f>Heroes!$M6</f>
        <v/>
      </c>
      <c r="V6">
        <f>IF(OR($A$1="",A6=$A$1,U6="",U6&lt;&gt;$J$1),-1000000000000000,R6)+ROW()*0.0000001</f>
        <v/>
      </c>
      <c r="W6">
        <f>Heroes!$I6</f>
        <v/>
      </c>
      <c r="X6">
        <f>Heroes!$J6</f>
        <v/>
      </c>
      <c r="Y6">
        <f>IF($A$1="",0,MAX(IF(W6&lt;&gt;"",IFERROR(INDEX('Data-Input'!$B$164:$W$185,MATCH(W6,'Data-Input'!$A$164:$A$185,0),MATCH($K$1,'Data-Input'!$B$163:$W$163,0)),0),0),IF(AND(W6&lt;&gt;"",$L$1&lt;&gt;""),IFERROR(INDEX('Data-Input'!$B$164:$W$185,MATCH(W6,'Data-Input'!$A$164:$A$185,0),MATCH($L$1,'Data-Input'!$B$163:$W$163,0)),0),0),IF(X6&lt;&gt;"",IFERROR(INDEX('Data-Input'!$B$164:$W$185,MATCH(X6,'Data-Input'!$A$164:$A$185,0),MATCH($K$1,'Data-Input'!$B$163:$W$163,0)),0),0),IF(AND(X6&lt;&gt;"",$L$1&lt;&gt;""),IFERROR(INDEX('Data-Input'!$B$164:$W$185,MATCH(X6,'Data-Input'!$A$164:$A$185,0),MATCH($L$1,'Data-Input'!$B$163:$W$163,0)),0),0))*$M$1)</f>
        <v/>
      </c>
      <c r="Z6">
        <f>IF($A$1="",0,SUMPRODUCT(('Data-Input'!$A$29:$A$128=A6)*('Data-Input'!$B$29:$B$128="Tag")*((('Data-Input'!$C$29:$C$128=$K$1)+('Data-Input'!$C$29:$C$128=$L$1))&gt;0)*('Data-Input'!$D$29:$D$128-'Data-Input'!$E$29:$E$128))+SUMPRODUCT(('Data-Input'!$A$29:$A$128=A6)*('Data-Input'!$B$29:$B$128="Hero")*('Data-Input'!$C$29:$C$128=$A$1)*('Data-Input'!$D$29:$D$128-'Data-Input'!$E$29:$E$128))+SUMPRODUCT(('Data-Input'!$A$29:$A$128=A6)*('Data-Input'!$B$29:$B$128="Role")*((('Data-Input'!$C$29:$C$128=$B$1)+('Data-Input'!$C$29:$C$128=$AH$1))&gt;0)*('Data-Input'!$D$29:$D$128-'Data-Input'!$E$29:$E$128))+SUMPRODUCT(('Data-Input'!$A$29:$A$128=A6)*('Data-Input'!$B$29:$B$128="DamageType")*('Data-Input'!$C$29:$C$128=$E$1)*('Data-Input'!$D$29:$D$128-'Data-Input'!$E$29:$E$128))+SUMPRODUCT(('Data-Input'!$A$29:$A$128=A6)*('Data-Input'!$B$29:$B$128="Resource")*('Data-Input'!$C$29:$C$128=$AB$1)*('Data-Input'!$D$29:$D$128-'Data-Input'!$E$29:$E$128)))</f>
        <v/>
      </c>
      <c r="AE6">
        <f>Heroes!$R6</f>
        <v/>
      </c>
      <c r="AF6">
        <f>IF($A$1="",0,IF(AND(OR(W6="Dash/Blink",W6="High Mobility",W6="Global Dive",W6="Mobility",X6="Dash/Blink",X6="High Mobility",X6="Global Dive",X6="Mobility"),$AA$1="Ranged"),$AC$1,0))</f>
        <v/>
      </c>
      <c r="AG6">
        <f>IF($A$1="",0,IF(AND(AE6="Yes",OR($K$1="Sustain",$K$1="Healing",$L$1="Sustain",$L$1="Healing")),$AD$1,0))</f>
        <v/>
      </c>
    </row>
    <row r="7" ht="15" customHeight="1">
      <c r="A7">
        <f>Heroes!$B7</f>
        <v/>
      </c>
      <c r="B7">
        <f>Heroes!$C7</f>
        <v/>
      </c>
      <c r="C7">
        <f>Heroes!$D7</f>
        <v/>
      </c>
      <c r="D7">
        <f>Heroes!$E7</f>
        <v/>
      </c>
      <c r="E7">
        <f>Heroes!$F7</f>
        <v/>
      </c>
      <c r="F7">
        <f>Heroes!$H7</f>
        <v/>
      </c>
      <c r="G7">
        <f>Heroes!$K7</f>
        <v/>
      </c>
      <c r="H7">
        <f>Heroes!$Q7</f>
        <v/>
      </c>
      <c r="I7">
        <f>IFERROR(INDEX('Data-Input'!$B$19:$G$24,MATCH(B7,'Data-Input'!$A$19:$A$24,0),MATCH($B$1,'Data-Input'!$B$18:$G$18,0)),0)</f>
        <v/>
      </c>
      <c r="J7">
        <f>IF(C7&lt;&gt;"",IFERROR(INDEX('Data-Input'!$B$19:$G$24,MATCH(C7,'Data-Input'!$A$19:$A$24,0),MATCH($B$1,'Data-Input'!$B$18:$G$18,0)),0),I7)</f>
        <v/>
      </c>
      <c r="K7">
        <f>MAX(I7,J7)</f>
        <v/>
      </c>
      <c r="L7">
        <f>((D7+E7)/2-$C$1)*$H$1</f>
        <v/>
      </c>
      <c r="M7">
        <f>F7-$D$1</f>
        <v/>
      </c>
      <c r="N7">
        <f>IF(M7&gt;20,M7*$I$1,0)</f>
        <v/>
      </c>
      <c r="O7">
        <f>IF(G7="Mixed",$Q$1,IF(G7=$E$1,$O$1,$P$1))</f>
        <v/>
      </c>
      <c r="P7">
        <f>(H7-$F$1)*$N$1</f>
        <v/>
      </c>
      <c r="Q7">
        <f>K7*$G$1+L7+N7+O7+P7+Y7+Z7+AF7+AG7</f>
        <v/>
      </c>
      <c r="R7">
        <f>IFERROR(INDEX('Data-Input'!$C$190:$C$1189,MATCH(A7&amp;"|"&amp;$A$1,'Data-Input'!$E$190:$E$1189,0)),Q7)</f>
        <v/>
      </c>
      <c r="S7">
        <f>IF(OR($A$1="",A7=$A$1),-1000000000000000,R7)</f>
        <v/>
      </c>
      <c r="T7">
        <f>S7+ROW()*0.0000001</f>
        <v/>
      </c>
      <c r="U7">
        <f>Heroes!$M7</f>
        <v/>
      </c>
      <c r="V7">
        <f>IF(OR($A$1="",A7=$A$1,U7="",U7&lt;&gt;$J$1),-1000000000000000,R7)+ROW()*0.0000001</f>
        <v/>
      </c>
      <c r="W7">
        <f>Heroes!$I7</f>
        <v/>
      </c>
      <c r="X7">
        <f>Heroes!$J7</f>
        <v/>
      </c>
      <c r="Y7">
        <f>IF($A$1="",0,MAX(IF(W7&lt;&gt;"",IFERROR(INDEX('Data-Input'!$B$164:$W$185,MATCH(W7,'Data-Input'!$A$164:$A$185,0),MATCH($K$1,'Data-Input'!$B$163:$W$163,0)),0),0),IF(AND(W7&lt;&gt;"",$L$1&lt;&gt;""),IFERROR(INDEX('Data-Input'!$B$164:$W$185,MATCH(W7,'Data-Input'!$A$164:$A$185,0),MATCH($L$1,'Data-Input'!$B$163:$W$163,0)),0),0),IF(X7&lt;&gt;"",IFERROR(INDEX('Data-Input'!$B$164:$W$185,MATCH(X7,'Data-Input'!$A$164:$A$185,0),MATCH($K$1,'Data-Input'!$B$163:$W$163,0)),0),0),IF(AND(X7&lt;&gt;"",$L$1&lt;&gt;""),IFERROR(INDEX('Data-Input'!$B$164:$W$185,MATCH(X7,'Data-Input'!$A$164:$A$185,0),MATCH($L$1,'Data-Input'!$B$163:$W$163,0)),0),0))*$M$1)</f>
        <v/>
      </c>
      <c r="Z7">
        <f>IF($A$1="",0,SUMPRODUCT(('Data-Input'!$A$29:$A$128=A7)*('Data-Input'!$B$29:$B$128="Tag")*((('Data-Input'!$C$29:$C$128=$K$1)+('Data-Input'!$C$29:$C$128=$L$1))&gt;0)*('Data-Input'!$D$29:$D$128-'Data-Input'!$E$29:$E$128))+SUMPRODUCT(('Data-Input'!$A$29:$A$128=A7)*('Data-Input'!$B$29:$B$128="Hero")*('Data-Input'!$C$29:$C$128=$A$1)*('Data-Input'!$D$29:$D$128-'Data-Input'!$E$29:$E$128))+SUMPRODUCT(('Data-Input'!$A$29:$A$128=A7)*('Data-Input'!$B$29:$B$128="Role")*((('Data-Input'!$C$29:$C$128=$B$1)+('Data-Input'!$C$29:$C$128=$AH$1))&gt;0)*('Data-Input'!$D$29:$D$128-'Data-Input'!$E$29:$E$128))+SUMPRODUCT(('Data-Input'!$A$29:$A$128=A7)*('Data-Input'!$B$29:$B$128="DamageType")*('Data-Input'!$C$29:$C$128=$E$1)*('Data-Input'!$D$29:$D$128-'Data-Input'!$E$29:$E$128))+SUMPRODUCT(('Data-Input'!$A$29:$A$128=A7)*('Data-Input'!$B$29:$B$128="Resource")*('Data-Input'!$C$29:$C$128=$AB$1)*('Data-Input'!$D$29:$D$128-'Data-Input'!$E$29:$E$128)))</f>
        <v/>
      </c>
      <c r="AE7">
        <f>Heroes!$R7</f>
        <v/>
      </c>
      <c r="AF7">
        <f>IF($A$1="",0,IF(AND(OR(W7="Dash/Blink",W7="High Mobility",W7="Global Dive",W7="Mobility",X7="Dash/Blink",X7="High Mobility",X7="Global Dive",X7="Mobility"),$AA$1="Ranged"),$AC$1,0))</f>
        <v/>
      </c>
      <c r="AG7">
        <f>IF($A$1="",0,IF(AND(AE7="Yes",OR($K$1="Sustain",$K$1="Healing",$L$1="Sustain",$L$1="Healing")),$AD$1,0))</f>
        <v/>
      </c>
    </row>
    <row r="8" ht="15" customHeight="1">
      <c r="A8">
        <f>Heroes!$B8</f>
        <v/>
      </c>
      <c r="B8">
        <f>Heroes!$C8</f>
        <v/>
      </c>
      <c r="C8">
        <f>Heroes!$D8</f>
        <v/>
      </c>
      <c r="D8">
        <f>Heroes!$E8</f>
        <v/>
      </c>
      <c r="E8">
        <f>Heroes!$F8</f>
        <v/>
      </c>
      <c r="F8">
        <f>Heroes!$H8</f>
        <v/>
      </c>
      <c r="G8">
        <f>Heroes!$K8</f>
        <v/>
      </c>
      <c r="H8">
        <f>Heroes!$Q8</f>
        <v/>
      </c>
      <c r="I8">
        <f>IFERROR(INDEX('Data-Input'!$B$19:$G$24,MATCH(B8,'Data-Input'!$A$19:$A$24,0),MATCH($B$1,'Data-Input'!$B$18:$G$18,0)),0)</f>
        <v/>
      </c>
      <c r="J8">
        <f>IF(C8&lt;&gt;"",IFERROR(INDEX('Data-Input'!$B$19:$G$24,MATCH(C8,'Data-Input'!$A$19:$A$24,0),MATCH($B$1,'Data-Input'!$B$18:$G$18,0)),0),I8)</f>
        <v/>
      </c>
      <c r="K8">
        <f>MAX(I8,J8)</f>
        <v/>
      </c>
      <c r="L8">
        <f>((D8+E8)/2-$C$1)*$H$1</f>
        <v/>
      </c>
      <c r="M8">
        <f>F8-$D$1</f>
        <v/>
      </c>
      <c r="N8">
        <f>IF(M8&gt;20,M8*$I$1,0)</f>
        <v/>
      </c>
      <c r="O8">
        <f>IF(G8="Mixed",$Q$1,IF(G8=$E$1,$O$1,$P$1))</f>
        <v/>
      </c>
      <c r="P8">
        <f>(H8-$F$1)*$N$1</f>
        <v/>
      </c>
      <c r="Q8">
        <f>K8*$G$1+L8+N8+O8+P8+Y8+Z8+AF8+AG8</f>
        <v/>
      </c>
      <c r="R8">
        <f>IFERROR(INDEX('Data-Input'!$C$190:$C$1189,MATCH(A8&amp;"|"&amp;$A$1,'Data-Input'!$E$190:$E$1189,0)),Q8)</f>
        <v/>
      </c>
      <c r="S8">
        <f>IF(OR($A$1="",A8=$A$1),-1000000000000000,R8)</f>
        <v/>
      </c>
      <c r="T8">
        <f>S8+ROW()*0.0000001</f>
        <v/>
      </c>
      <c r="U8">
        <f>Heroes!$M8</f>
        <v/>
      </c>
      <c r="V8">
        <f>IF(OR($A$1="",A8=$A$1,U8="",U8&lt;&gt;$J$1),-1000000000000000,R8)+ROW()*0.0000001</f>
        <v/>
      </c>
      <c r="W8">
        <f>Heroes!$I8</f>
        <v/>
      </c>
      <c r="X8">
        <f>Heroes!$J8</f>
        <v/>
      </c>
      <c r="Y8">
        <f>IF($A$1="",0,MAX(IF(W8&lt;&gt;"",IFERROR(INDEX('Data-Input'!$B$164:$W$185,MATCH(W8,'Data-Input'!$A$164:$A$185,0),MATCH($K$1,'Data-Input'!$B$163:$W$163,0)),0),0),IF(AND(W8&lt;&gt;"",$L$1&lt;&gt;""),IFERROR(INDEX('Data-Input'!$B$164:$W$185,MATCH(W8,'Data-Input'!$A$164:$A$185,0),MATCH($L$1,'Data-Input'!$B$163:$W$163,0)),0),0),IF(X8&lt;&gt;"",IFERROR(INDEX('Data-Input'!$B$164:$W$185,MATCH(X8,'Data-Input'!$A$164:$A$185,0),MATCH($K$1,'Data-Input'!$B$163:$W$163,0)),0),0),IF(AND(X8&lt;&gt;"",$L$1&lt;&gt;""),IFERROR(INDEX('Data-Input'!$B$164:$W$185,MATCH(X8,'Data-Input'!$A$164:$A$185,0),MATCH($L$1,'Data-Input'!$B$163:$W$163,0)),0),0))*$M$1)</f>
        <v/>
      </c>
      <c r="Z8">
        <f>IF($A$1="",0,SUMPRODUCT(('Data-Input'!$A$29:$A$128=A8)*('Data-Input'!$B$29:$B$128="Tag")*((('Data-Input'!$C$29:$C$128=$K$1)+('Data-Input'!$C$29:$C$128=$L$1))&gt;0)*('Data-Input'!$D$29:$D$128-'Data-Input'!$E$29:$E$128))+SUMPRODUCT(('Data-Input'!$A$29:$A$128=A8)*('Data-Input'!$B$29:$B$128="Hero")*('Data-Input'!$C$29:$C$128=$A$1)*('Data-Input'!$D$29:$D$128-'Data-Input'!$E$29:$E$128))+SUMPRODUCT(('Data-Input'!$A$29:$A$128=A8)*('Data-Input'!$B$29:$B$128="Role")*((('Data-Input'!$C$29:$C$128=$B$1)+('Data-Input'!$C$29:$C$128=$AH$1))&gt;0)*('Data-Input'!$D$29:$D$128-'Data-Input'!$E$29:$E$128))+SUMPRODUCT(('Data-Input'!$A$29:$A$128=A8)*('Data-Input'!$B$29:$B$128="DamageType")*('Data-Input'!$C$29:$C$128=$E$1)*('Data-Input'!$D$29:$D$128-'Data-Input'!$E$29:$E$128))+SUMPRODUCT(('Data-Input'!$A$29:$A$128=A8)*('Data-Input'!$B$29:$B$128="Resource")*('Data-Input'!$C$29:$C$128=$AB$1)*('Data-Input'!$D$29:$D$128-'Data-Input'!$E$29:$E$128)))</f>
        <v/>
      </c>
      <c r="AE8">
        <f>Heroes!$R8</f>
        <v/>
      </c>
      <c r="AF8">
        <f>IF($A$1="",0,IF(AND(OR(W8="Dash/Blink",W8="High Mobility",W8="Global Dive",W8="Mobility",X8="Dash/Blink",X8="High Mobility",X8="Global Dive",X8="Mobility"),$AA$1="Ranged"),$AC$1,0))</f>
        <v/>
      </c>
      <c r="AG8">
        <f>IF($A$1="",0,IF(AND(AE8="Yes",OR($K$1="Sustain",$K$1="Healing",$L$1="Sustain",$L$1="Healing")),$AD$1,0))</f>
        <v/>
      </c>
    </row>
    <row r="9" ht="15" customHeight="1">
      <c r="A9">
        <f>Heroes!$B9</f>
        <v/>
      </c>
      <c r="B9">
        <f>Heroes!$C9</f>
        <v/>
      </c>
      <c r="C9">
        <f>Heroes!$D9</f>
        <v/>
      </c>
      <c r="D9">
        <f>Heroes!$E9</f>
        <v/>
      </c>
      <c r="E9">
        <f>Heroes!$F9</f>
        <v/>
      </c>
      <c r="F9">
        <f>Heroes!$H9</f>
        <v/>
      </c>
      <c r="G9">
        <f>Heroes!$K9</f>
        <v/>
      </c>
      <c r="H9">
        <f>Heroes!$Q9</f>
        <v/>
      </c>
      <c r="I9">
        <f>IFERROR(INDEX('Data-Input'!$B$19:$G$24,MATCH(B9,'Data-Input'!$A$19:$A$24,0),MATCH($B$1,'Data-Input'!$B$18:$G$18,0)),0)</f>
        <v/>
      </c>
      <c r="J9">
        <f>IF(C9&lt;&gt;"",IFERROR(INDEX('Data-Input'!$B$19:$G$24,MATCH(C9,'Data-Input'!$A$19:$A$24,0),MATCH($B$1,'Data-Input'!$B$18:$G$18,0)),0),I9)</f>
        <v/>
      </c>
      <c r="K9">
        <f>MAX(I9,J9)</f>
        <v/>
      </c>
      <c r="L9">
        <f>((D9+E9)/2-$C$1)*$H$1</f>
        <v/>
      </c>
      <c r="M9">
        <f>F9-$D$1</f>
        <v/>
      </c>
      <c r="N9">
        <f>IF(M9&gt;20,M9*$I$1,0)</f>
        <v/>
      </c>
      <c r="O9">
        <f>IF(G9="Mixed",$Q$1,IF(G9=$E$1,$O$1,$P$1))</f>
        <v/>
      </c>
      <c r="P9">
        <f>(H9-$F$1)*$N$1</f>
        <v/>
      </c>
      <c r="Q9">
        <f>K9*$G$1+L9+N9+O9+P9+Y9+Z9+AF9+AG9</f>
        <v/>
      </c>
      <c r="R9">
        <f>IFERROR(INDEX('Data-Input'!$C$190:$C$1189,MATCH(A9&amp;"|"&amp;$A$1,'Data-Input'!$E$190:$E$1189,0)),Q9)</f>
        <v/>
      </c>
      <c r="S9">
        <f>IF(OR($A$1="",A9=$A$1),-1000000000000000,R9)</f>
        <v/>
      </c>
      <c r="T9">
        <f>S9+ROW()*0.0000001</f>
        <v/>
      </c>
      <c r="U9">
        <f>Heroes!$M9</f>
        <v/>
      </c>
      <c r="V9">
        <f>IF(OR($A$1="",A9=$A$1,U9="",U9&lt;&gt;$J$1),-1000000000000000,R9)+ROW()*0.0000001</f>
        <v/>
      </c>
      <c r="W9">
        <f>Heroes!$I9</f>
        <v/>
      </c>
      <c r="X9">
        <f>Heroes!$J9</f>
        <v/>
      </c>
      <c r="Y9">
        <f>IF($A$1="",0,MAX(IF(W9&lt;&gt;"",IFERROR(INDEX('Data-Input'!$B$164:$W$185,MATCH(W9,'Data-Input'!$A$164:$A$185,0),MATCH($K$1,'Data-Input'!$B$163:$W$163,0)),0),0),IF(AND(W9&lt;&gt;"",$L$1&lt;&gt;""),IFERROR(INDEX('Data-Input'!$B$164:$W$185,MATCH(W9,'Data-Input'!$A$164:$A$185,0),MATCH($L$1,'Data-Input'!$B$163:$W$163,0)),0),0),IF(X9&lt;&gt;"",IFERROR(INDEX('Data-Input'!$B$164:$W$185,MATCH(X9,'Data-Input'!$A$164:$A$185,0),MATCH($K$1,'Data-Input'!$B$163:$W$163,0)),0),0),IF(AND(X9&lt;&gt;"",$L$1&lt;&gt;""),IFERROR(INDEX('Data-Input'!$B$164:$W$185,MATCH(X9,'Data-Input'!$A$164:$A$185,0),MATCH($L$1,'Data-Input'!$B$163:$W$163,0)),0),0))*$M$1)</f>
        <v/>
      </c>
      <c r="Z9">
        <f>IF($A$1="",0,SUMPRODUCT(('Data-Input'!$A$29:$A$128=A9)*('Data-Input'!$B$29:$B$128="Tag")*((('Data-Input'!$C$29:$C$128=$K$1)+('Data-Input'!$C$29:$C$128=$L$1))&gt;0)*('Data-Input'!$D$29:$D$128-'Data-Input'!$E$29:$E$128))+SUMPRODUCT(('Data-Input'!$A$29:$A$128=A9)*('Data-Input'!$B$29:$B$128="Hero")*('Data-Input'!$C$29:$C$128=$A$1)*('Data-Input'!$D$29:$D$128-'Data-Input'!$E$29:$E$128))+SUMPRODUCT(('Data-Input'!$A$29:$A$128=A9)*('Data-Input'!$B$29:$B$128="Role")*((('Data-Input'!$C$29:$C$128=$B$1)+('Data-Input'!$C$29:$C$128=$AH$1))&gt;0)*('Data-Input'!$D$29:$D$128-'Data-Input'!$E$29:$E$128))+SUMPRODUCT(('Data-Input'!$A$29:$A$128=A9)*('Data-Input'!$B$29:$B$128="DamageType")*('Data-Input'!$C$29:$C$128=$E$1)*('Data-Input'!$D$29:$D$128-'Data-Input'!$E$29:$E$128))+SUMPRODUCT(('Data-Input'!$A$29:$A$128=A9)*('Data-Input'!$B$29:$B$128="Resource")*('Data-Input'!$C$29:$C$128=$AB$1)*('Data-Input'!$D$29:$D$128-'Data-Input'!$E$29:$E$128)))</f>
        <v/>
      </c>
      <c r="AE9">
        <f>Heroes!$R9</f>
        <v/>
      </c>
      <c r="AF9">
        <f>IF($A$1="",0,IF(AND(OR(W9="Dash/Blink",W9="High Mobility",W9="Global Dive",W9="Mobility",X9="Dash/Blink",X9="High Mobility",X9="Global Dive",X9="Mobility"),$AA$1="Ranged"),$AC$1,0))</f>
        <v/>
      </c>
      <c r="AG9">
        <f>IF($A$1="",0,IF(AND(AE9="Yes",OR($K$1="Sustain",$K$1="Healing",$L$1="Sustain",$L$1="Healing")),$AD$1,0))</f>
        <v/>
      </c>
    </row>
    <row r="10" ht="15" customHeight="1">
      <c r="A10">
        <f>Heroes!$B10</f>
        <v/>
      </c>
      <c r="B10">
        <f>Heroes!$C10</f>
        <v/>
      </c>
      <c r="C10">
        <f>Heroes!$D10</f>
        <v/>
      </c>
      <c r="D10">
        <f>Heroes!$E10</f>
        <v/>
      </c>
      <c r="E10">
        <f>Heroes!$F10</f>
        <v/>
      </c>
      <c r="F10">
        <f>Heroes!$H10</f>
        <v/>
      </c>
      <c r="G10">
        <f>Heroes!$K10</f>
        <v/>
      </c>
      <c r="H10">
        <f>Heroes!$Q10</f>
        <v/>
      </c>
      <c r="I10">
        <f>IFERROR(INDEX('Data-Input'!$B$19:$G$24,MATCH(B10,'Data-Input'!$A$19:$A$24,0),MATCH($B$1,'Data-Input'!$B$18:$G$18,0)),0)</f>
        <v/>
      </c>
      <c r="J10">
        <f>IF(C10&lt;&gt;"",IFERROR(INDEX('Data-Input'!$B$19:$G$24,MATCH(C10,'Data-Input'!$A$19:$A$24,0),MATCH($B$1,'Data-Input'!$B$18:$G$18,0)),0),I10)</f>
        <v/>
      </c>
      <c r="K10">
        <f>MAX(I10,J10)</f>
        <v/>
      </c>
      <c r="L10">
        <f>((D10+E10)/2-$C$1)*$H$1</f>
        <v/>
      </c>
      <c r="M10">
        <f>F10-$D$1</f>
        <v/>
      </c>
      <c r="N10">
        <f>IF(M10&gt;20,M10*$I$1,0)</f>
        <v/>
      </c>
      <c r="O10">
        <f>IF(G10="Mixed",$Q$1,IF(G10=$E$1,$O$1,$P$1))</f>
        <v/>
      </c>
      <c r="P10">
        <f>(H10-$F$1)*$N$1</f>
        <v/>
      </c>
      <c r="Q10">
        <f>K10*$G$1+L10+N10+O10+P10+Y10+Z10+AF10+AG10</f>
        <v/>
      </c>
      <c r="R10">
        <f>IFERROR(INDEX('Data-Input'!$C$190:$C$1189,MATCH(A10&amp;"|"&amp;$A$1,'Data-Input'!$E$190:$E$1189,0)),Q10)</f>
        <v/>
      </c>
      <c r="S10">
        <f>IF(OR($A$1="",A10=$A$1),-1000000000000000,R10)</f>
        <v/>
      </c>
      <c r="T10">
        <f>S10+ROW()*0.0000001</f>
        <v/>
      </c>
      <c r="U10">
        <f>Heroes!$M10</f>
        <v/>
      </c>
      <c r="V10">
        <f>IF(OR($A$1="",A10=$A$1,U10="",U10&lt;&gt;$J$1),-1000000000000000,R10)+ROW()*0.0000001</f>
        <v/>
      </c>
      <c r="W10">
        <f>Heroes!$I10</f>
        <v/>
      </c>
      <c r="X10">
        <f>Heroes!$J10</f>
        <v/>
      </c>
      <c r="Y10">
        <f>IF($A$1="",0,MAX(IF(W10&lt;&gt;"",IFERROR(INDEX('Data-Input'!$B$164:$W$185,MATCH(W10,'Data-Input'!$A$164:$A$185,0),MATCH($K$1,'Data-Input'!$B$163:$W$163,0)),0),0),IF(AND(W10&lt;&gt;"",$L$1&lt;&gt;""),IFERROR(INDEX('Data-Input'!$B$164:$W$185,MATCH(W10,'Data-Input'!$A$164:$A$185,0),MATCH($L$1,'Data-Input'!$B$163:$W$163,0)),0),0),IF(X10&lt;&gt;"",IFERROR(INDEX('Data-Input'!$B$164:$W$185,MATCH(X10,'Data-Input'!$A$164:$A$185,0),MATCH($K$1,'Data-Input'!$B$163:$W$163,0)),0),0),IF(AND(X10&lt;&gt;"",$L$1&lt;&gt;""),IFERROR(INDEX('Data-Input'!$B$164:$W$185,MATCH(X10,'Data-Input'!$A$164:$A$185,0),MATCH($L$1,'Data-Input'!$B$163:$W$163,0)),0),0))*$M$1)</f>
        <v/>
      </c>
      <c r="Z10">
        <f>IF($A$1="",0,SUMPRODUCT(('Data-Input'!$A$29:$A$128=A10)*('Data-Input'!$B$29:$B$128="Tag")*((('Data-Input'!$C$29:$C$128=$K$1)+('Data-Input'!$C$29:$C$128=$L$1))&gt;0)*('Data-Input'!$D$29:$D$128-'Data-Input'!$E$29:$E$128))+SUMPRODUCT(('Data-Input'!$A$29:$A$128=A10)*('Data-Input'!$B$29:$B$128="Hero")*('Data-Input'!$C$29:$C$128=$A$1)*('Data-Input'!$D$29:$D$128-'Data-Input'!$E$29:$E$128))+SUMPRODUCT(('Data-Input'!$A$29:$A$128=A10)*('Data-Input'!$B$29:$B$128="Role")*((('Data-Input'!$C$29:$C$128=$B$1)+('Data-Input'!$C$29:$C$128=$AH$1))&gt;0)*('Data-Input'!$D$29:$D$128-'Data-Input'!$E$29:$E$128))+SUMPRODUCT(('Data-Input'!$A$29:$A$128=A10)*('Data-Input'!$B$29:$B$128="DamageType")*('Data-Input'!$C$29:$C$128=$E$1)*('Data-Input'!$D$29:$D$128-'Data-Input'!$E$29:$E$128))+SUMPRODUCT(('Data-Input'!$A$29:$A$128=A10)*('Data-Input'!$B$29:$B$128="Resource")*('Data-Input'!$C$29:$C$128=$AB$1)*('Data-Input'!$D$29:$D$128-'Data-Input'!$E$29:$E$128)))</f>
        <v/>
      </c>
      <c r="AE10">
        <f>Heroes!$R10</f>
        <v/>
      </c>
      <c r="AF10">
        <f>IF($A$1="",0,IF(AND(OR(W10="Dash/Blink",W10="High Mobility",W10="Global Dive",W10="Mobility",X10="Dash/Blink",X10="High Mobility",X10="Global Dive",X10="Mobility"),$AA$1="Ranged"),$AC$1,0))</f>
        <v/>
      </c>
      <c r="AG10">
        <f>IF($A$1="",0,IF(AND(AE10="Yes",OR($K$1="Sustain",$K$1="Healing",$L$1="Sustain",$L$1="Healing")),$AD$1,0))</f>
        <v/>
      </c>
    </row>
    <row r="11" ht="15" customHeight="1">
      <c r="A11">
        <f>Heroes!$B11</f>
        <v/>
      </c>
      <c r="B11">
        <f>Heroes!$C11</f>
        <v/>
      </c>
      <c r="C11">
        <f>Heroes!$D11</f>
        <v/>
      </c>
      <c r="D11">
        <f>Heroes!$E11</f>
        <v/>
      </c>
      <c r="E11">
        <f>Heroes!$F11</f>
        <v/>
      </c>
      <c r="F11">
        <f>Heroes!$H11</f>
        <v/>
      </c>
      <c r="G11">
        <f>Heroes!$K11</f>
        <v/>
      </c>
      <c r="H11">
        <f>Heroes!$Q11</f>
        <v/>
      </c>
      <c r="I11">
        <f>IFERROR(INDEX('Data-Input'!$B$19:$G$24,MATCH(B11,'Data-Input'!$A$19:$A$24,0),MATCH($B$1,'Data-Input'!$B$18:$G$18,0)),0)</f>
        <v/>
      </c>
      <c r="J11">
        <f>IF(C11&lt;&gt;"",IFERROR(INDEX('Data-Input'!$B$19:$G$24,MATCH(C11,'Data-Input'!$A$19:$A$24,0),MATCH($B$1,'Data-Input'!$B$18:$G$18,0)),0),I11)</f>
        <v/>
      </c>
      <c r="K11">
        <f>MAX(I11,J11)</f>
        <v/>
      </c>
      <c r="L11">
        <f>((D11+E11)/2-$C$1)*$H$1</f>
        <v/>
      </c>
      <c r="M11">
        <f>F11-$D$1</f>
        <v/>
      </c>
      <c r="N11">
        <f>IF(M11&gt;20,M11*$I$1,0)</f>
        <v/>
      </c>
      <c r="O11">
        <f>IF(G11="Mixed",$Q$1,IF(G11=$E$1,$O$1,$P$1))</f>
        <v/>
      </c>
      <c r="P11">
        <f>(H11-$F$1)*$N$1</f>
        <v/>
      </c>
      <c r="Q11">
        <f>K11*$G$1+L11+N11+O11+P11+Y11+Z11+AF11+AG11</f>
        <v/>
      </c>
      <c r="R11">
        <f>IFERROR(INDEX('Data-Input'!$C$190:$C$1189,MATCH(A11&amp;"|"&amp;$A$1,'Data-Input'!$E$190:$E$1189,0)),Q11)</f>
        <v/>
      </c>
      <c r="S11">
        <f>IF(OR($A$1="",A11=$A$1),-1000000000000000,R11)</f>
        <v/>
      </c>
      <c r="T11">
        <f>S11+ROW()*0.0000001</f>
        <v/>
      </c>
      <c r="U11">
        <f>Heroes!$M11</f>
        <v/>
      </c>
      <c r="V11">
        <f>IF(OR($A$1="",A11=$A$1,U11="",U11&lt;&gt;$J$1),-1000000000000000,R11)+ROW()*0.0000001</f>
        <v/>
      </c>
      <c r="W11">
        <f>Heroes!$I11</f>
        <v/>
      </c>
      <c r="X11">
        <f>Heroes!$J11</f>
        <v/>
      </c>
      <c r="Y11">
        <f>IF($A$1="",0,MAX(IF(W11&lt;&gt;"",IFERROR(INDEX('Data-Input'!$B$164:$W$185,MATCH(W11,'Data-Input'!$A$164:$A$185,0),MATCH($K$1,'Data-Input'!$B$163:$W$163,0)),0),0),IF(AND(W11&lt;&gt;"",$L$1&lt;&gt;""),IFERROR(INDEX('Data-Input'!$B$164:$W$185,MATCH(W11,'Data-Input'!$A$164:$A$185,0),MATCH($L$1,'Data-Input'!$B$163:$W$163,0)),0),0),IF(X11&lt;&gt;"",IFERROR(INDEX('Data-Input'!$B$164:$W$185,MATCH(X11,'Data-Input'!$A$164:$A$185,0),MATCH($K$1,'Data-Input'!$B$163:$W$163,0)),0),0),IF(AND(X11&lt;&gt;"",$L$1&lt;&gt;""),IFERROR(INDEX('Data-Input'!$B$164:$W$185,MATCH(X11,'Data-Input'!$A$164:$A$185,0),MATCH($L$1,'Data-Input'!$B$163:$W$163,0)),0),0))*$M$1)</f>
        <v/>
      </c>
      <c r="Z11">
        <f>IF($A$1="",0,SUMPRODUCT(('Data-Input'!$A$29:$A$128=A11)*('Data-Input'!$B$29:$B$128="Tag")*((('Data-Input'!$C$29:$C$128=$K$1)+('Data-Input'!$C$29:$C$128=$L$1))&gt;0)*('Data-Input'!$D$29:$D$128-'Data-Input'!$E$29:$E$128))+SUMPRODUCT(('Data-Input'!$A$29:$A$128=A11)*('Data-Input'!$B$29:$B$128="Hero")*('Data-Input'!$C$29:$C$128=$A$1)*('Data-Input'!$D$29:$D$128-'Data-Input'!$E$29:$E$128))+SUMPRODUCT(('Data-Input'!$A$29:$A$128=A11)*('Data-Input'!$B$29:$B$128="Role")*((('Data-Input'!$C$29:$C$128=$B$1)+('Data-Input'!$C$29:$C$128=$AH$1))&gt;0)*('Data-Input'!$D$29:$D$128-'Data-Input'!$E$29:$E$128))+SUMPRODUCT(('Data-Input'!$A$29:$A$128=A11)*('Data-Input'!$B$29:$B$128="DamageType")*('Data-Input'!$C$29:$C$128=$E$1)*('Data-Input'!$D$29:$D$128-'Data-Input'!$E$29:$E$128))+SUMPRODUCT(('Data-Input'!$A$29:$A$128=A11)*('Data-Input'!$B$29:$B$128="Resource")*('Data-Input'!$C$29:$C$128=$AB$1)*('Data-Input'!$D$29:$D$128-'Data-Input'!$E$29:$E$128)))</f>
        <v/>
      </c>
      <c r="AE11">
        <f>Heroes!$R11</f>
        <v/>
      </c>
      <c r="AF11">
        <f>IF($A$1="",0,IF(AND(OR(W11="Dash/Blink",W11="High Mobility",W11="Global Dive",W11="Mobility",X11="Dash/Blink",X11="High Mobility",X11="Global Dive",X11="Mobility"),$AA$1="Ranged"),$AC$1,0))</f>
        <v/>
      </c>
      <c r="AG11">
        <f>IF($A$1="",0,IF(AND(AE11="Yes",OR($K$1="Sustain",$K$1="Healing",$L$1="Sustain",$L$1="Healing")),$AD$1,0))</f>
        <v/>
      </c>
    </row>
    <row r="12" ht="15" customHeight="1">
      <c r="A12">
        <f>Heroes!$B12</f>
        <v/>
      </c>
      <c r="B12">
        <f>Heroes!$C12</f>
        <v/>
      </c>
      <c r="C12">
        <f>Heroes!$D12</f>
        <v/>
      </c>
      <c r="D12">
        <f>Heroes!$E12</f>
        <v/>
      </c>
      <c r="E12">
        <f>Heroes!$F12</f>
        <v/>
      </c>
      <c r="F12">
        <f>Heroes!$H12</f>
        <v/>
      </c>
      <c r="G12">
        <f>Heroes!$K12</f>
        <v/>
      </c>
      <c r="H12">
        <f>Heroes!$Q12</f>
        <v/>
      </c>
      <c r="I12">
        <f>IFERROR(INDEX('Data-Input'!$B$19:$G$24,MATCH(B12,'Data-Input'!$A$19:$A$24,0),MATCH($B$1,'Data-Input'!$B$18:$G$18,0)),0)</f>
        <v/>
      </c>
      <c r="J12">
        <f>IF(C12&lt;&gt;"",IFERROR(INDEX('Data-Input'!$B$19:$G$24,MATCH(C12,'Data-Input'!$A$19:$A$24,0),MATCH($B$1,'Data-Input'!$B$18:$G$18,0)),0),I12)</f>
        <v/>
      </c>
      <c r="K12">
        <f>MAX(I12,J12)</f>
        <v/>
      </c>
      <c r="L12">
        <f>((D12+E12)/2-$C$1)*$H$1</f>
        <v/>
      </c>
      <c r="M12">
        <f>F12-$D$1</f>
        <v/>
      </c>
      <c r="N12">
        <f>IF(M12&gt;20,M12*$I$1,0)</f>
        <v/>
      </c>
      <c r="O12">
        <f>IF(G12="Mixed",$Q$1,IF(G12=$E$1,$O$1,$P$1))</f>
        <v/>
      </c>
      <c r="P12">
        <f>(H12-$F$1)*$N$1</f>
        <v/>
      </c>
      <c r="Q12">
        <f>K12*$G$1+L12+N12+O12+P12+Y12+Z12+AF12+AG12</f>
        <v/>
      </c>
      <c r="R12">
        <f>IFERROR(INDEX('Data-Input'!$C$190:$C$1189,MATCH(A12&amp;"|"&amp;$A$1,'Data-Input'!$E$190:$E$1189,0)),Q12)</f>
        <v/>
      </c>
      <c r="S12">
        <f>IF(OR($A$1="",A12=$A$1),-1000000000000000,R12)</f>
        <v/>
      </c>
      <c r="T12">
        <f>S12+ROW()*0.0000001</f>
        <v/>
      </c>
      <c r="U12">
        <f>Heroes!$M12</f>
        <v/>
      </c>
      <c r="V12">
        <f>IF(OR($A$1="",A12=$A$1,U12="",U12&lt;&gt;$J$1),-1000000000000000,R12)+ROW()*0.0000001</f>
        <v/>
      </c>
      <c r="W12">
        <f>Heroes!$I12</f>
        <v/>
      </c>
      <c r="X12">
        <f>Heroes!$J12</f>
        <v/>
      </c>
      <c r="Y12">
        <f>IF($A$1="",0,MAX(IF(W12&lt;&gt;"",IFERROR(INDEX('Data-Input'!$B$164:$W$185,MATCH(W12,'Data-Input'!$A$164:$A$185,0),MATCH($K$1,'Data-Input'!$B$163:$W$163,0)),0),0),IF(AND(W12&lt;&gt;"",$L$1&lt;&gt;""),IFERROR(INDEX('Data-Input'!$B$164:$W$185,MATCH(W12,'Data-Input'!$A$164:$A$185,0),MATCH($L$1,'Data-Input'!$B$163:$W$163,0)),0),0),IF(X12&lt;&gt;"",IFERROR(INDEX('Data-Input'!$B$164:$W$185,MATCH(X12,'Data-Input'!$A$164:$A$185,0),MATCH($K$1,'Data-Input'!$B$163:$W$163,0)),0),0),IF(AND(X12&lt;&gt;"",$L$1&lt;&gt;""),IFERROR(INDEX('Data-Input'!$B$164:$W$185,MATCH(X12,'Data-Input'!$A$164:$A$185,0),MATCH($L$1,'Data-Input'!$B$163:$W$163,0)),0),0))*$M$1)</f>
        <v/>
      </c>
      <c r="Z12">
        <f>IF($A$1="",0,SUMPRODUCT(('Data-Input'!$A$29:$A$128=A12)*('Data-Input'!$B$29:$B$128="Tag")*((('Data-Input'!$C$29:$C$128=$K$1)+('Data-Input'!$C$29:$C$128=$L$1))&gt;0)*('Data-Input'!$D$29:$D$128-'Data-Input'!$E$29:$E$128))+SUMPRODUCT(('Data-Input'!$A$29:$A$128=A12)*('Data-Input'!$B$29:$B$128="Hero")*('Data-Input'!$C$29:$C$128=$A$1)*('Data-Input'!$D$29:$D$128-'Data-Input'!$E$29:$E$128))+SUMPRODUCT(('Data-Input'!$A$29:$A$128=A12)*('Data-Input'!$B$29:$B$128="Role")*((('Data-Input'!$C$29:$C$128=$B$1)+('Data-Input'!$C$29:$C$128=$AH$1))&gt;0)*('Data-Input'!$D$29:$D$128-'Data-Input'!$E$29:$E$128))+SUMPRODUCT(('Data-Input'!$A$29:$A$128=A12)*('Data-Input'!$B$29:$B$128="DamageType")*('Data-Input'!$C$29:$C$128=$E$1)*('Data-Input'!$D$29:$D$128-'Data-Input'!$E$29:$E$128))+SUMPRODUCT(('Data-Input'!$A$29:$A$128=A12)*('Data-Input'!$B$29:$B$128="Resource")*('Data-Input'!$C$29:$C$128=$AB$1)*('Data-Input'!$D$29:$D$128-'Data-Input'!$E$29:$E$128)))</f>
        <v/>
      </c>
      <c r="AE12">
        <f>Heroes!$R12</f>
        <v/>
      </c>
      <c r="AF12">
        <f>IF($A$1="",0,IF(AND(OR(W12="Dash/Blink",W12="High Mobility",W12="Global Dive",W12="Mobility",X12="Dash/Blink",X12="High Mobility",X12="Global Dive",X12="Mobility"),$AA$1="Ranged"),$AC$1,0))</f>
        <v/>
      </c>
      <c r="AG12">
        <f>IF($A$1="",0,IF(AND(AE12="Yes",OR($K$1="Sustain",$K$1="Healing",$L$1="Sustain",$L$1="Healing")),$AD$1,0))</f>
        <v/>
      </c>
    </row>
    <row r="13" ht="15" customHeight="1">
      <c r="A13">
        <f>Heroes!$B13</f>
        <v/>
      </c>
      <c r="B13">
        <f>Heroes!$C13</f>
        <v/>
      </c>
      <c r="C13">
        <f>Heroes!$D13</f>
        <v/>
      </c>
      <c r="D13">
        <f>Heroes!$E13</f>
        <v/>
      </c>
      <c r="E13">
        <f>Heroes!$F13</f>
        <v/>
      </c>
      <c r="F13">
        <f>Heroes!$H13</f>
        <v/>
      </c>
      <c r="G13">
        <f>Heroes!$K13</f>
        <v/>
      </c>
      <c r="H13">
        <f>Heroes!$Q13</f>
        <v/>
      </c>
      <c r="I13">
        <f>IFERROR(INDEX('Data-Input'!$B$19:$G$24,MATCH(B13,'Data-Input'!$A$19:$A$24,0),MATCH($B$1,'Data-Input'!$B$18:$G$18,0)),0)</f>
        <v/>
      </c>
      <c r="J13">
        <f>IF(C13&lt;&gt;"",IFERROR(INDEX('Data-Input'!$B$19:$G$24,MATCH(C13,'Data-Input'!$A$19:$A$24,0),MATCH($B$1,'Data-Input'!$B$18:$G$18,0)),0),I13)</f>
        <v/>
      </c>
      <c r="K13">
        <f>MAX(I13,J13)</f>
        <v/>
      </c>
      <c r="L13">
        <f>((D13+E13)/2-$C$1)*$H$1</f>
        <v/>
      </c>
      <c r="M13">
        <f>F13-$D$1</f>
        <v/>
      </c>
      <c r="N13">
        <f>IF(M13&gt;20,M13*$I$1,0)</f>
        <v/>
      </c>
      <c r="O13">
        <f>IF(G13="Mixed",$Q$1,IF(G13=$E$1,$O$1,$P$1))</f>
        <v/>
      </c>
      <c r="P13">
        <f>(H13-$F$1)*$N$1</f>
        <v/>
      </c>
      <c r="Q13">
        <f>K13*$G$1+L13+N13+O13+P13+Y13+Z13+AF13+AG13</f>
        <v/>
      </c>
      <c r="R13">
        <f>IFERROR(INDEX('Data-Input'!$C$190:$C$1189,MATCH(A13&amp;"|"&amp;$A$1,'Data-Input'!$E$190:$E$1189,0)),Q13)</f>
        <v/>
      </c>
      <c r="S13">
        <f>IF(OR($A$1="",A13=$A$1),-1000000000000000,R13)</f>
        <v/>
      </c>
      <c r="T13">
        <f>S13+ROW()*0.0000001</f>
        <v/>
      </c>
      <c r="U13">
        <f>Heroes!$M13</f>
        <v/>
      </c>
      <c r="V13">
        <f>IF(OR($A$1="",A13=$A$1,U13="",U13&lt;&gt;$J$1),-1000000000000000,R13)+ROW()*0.0000001</f>
        <v/>
      </c>
      <c r="W13">
        <f>Heroes!$I13</f>
        <v/>
      </c>
      <c r="X13">
        <f>Heroes!$J13</f>
        <v/>
      </c>
      <c r="Y13">
        <f>IF($A$1="",0,MAX(IF(W13&lt;&gt;"",IFERROR(INDEX('Data-Input'!$B$164:$W$185,MATCH(W13,'Data-Input'!$A$164:$A$185,0),MATCH($K$1,'Data-Input'!$B$163:$W$163,0)),0),0),IF(AND(W13&lt;&gt;"",$L$1&lt;&gt;""),IFERROR(INDEX('Data-Input'!$B$164:$W$185,MATCH(W13,'Data-Input'!$A$164:$A$185,0),MATCH($L$1,'Data-Input'!$B$163:$W$163,0)),0),0),IF(X13&lt;&gt;"",IFERROR(INDEX('Data-Input'!$B$164:$W$185,MATCH(X13,'Data-Input'!$A$164:$A$185,0),MATCH($K$1,'Data-Input'!$B$163:$W$163,0)),0),0),IF(AND(X13&lt;&gt;"",$L$1&lt;&gt;""),IFERROR(INDEX('Data-Input'!$B$164:$W$185,MATCH(X13,'Data-Input'!$A$164:$A$185,0),MATCH($L$1,'Data-Input'!$B$163:$W$163,0)),0),0))*$M$1)</f>
        <v/>
      </c>
      <c r="Z13">
        <f>IF($A$1="",0,SUMPRODUCT(('Data-Input'!$A$29:$A$128=A13)*('Data-Input'!$B$29:$B$128="Tag")*((('Data-Input'!$C$29:$C$128=$K$1)+('Data-Input'!$C$29:$C$128=$L$1))&gt;0)*('Data-Input'!$D$29:$D$128-'Data-Input'!$E$29:$E$128))+SUMPRODUCT(('Data-Input'!$A$29:$A$128=A13)*('Data-Input'!$B$29:$B$128="Hero")*('Data-Input'!$C$29:$C$128=$A$1)*('Data-Input'!$D$29:$D$128-'Data-Input'!$E$29:$E$128))+SUMPRODUCT(('Data-Input'!$A$29:$A$128=A13)*('Data-Input'!$B$29:$B$128="Role")*((('Data-Input'!$C$29:$C$128=$B$1)+('Data-Input'!$C$29:$C$128=$AH$1))&gt;0)*('Data-Input'!$D$29:$D$128-'Data-Input'!$E$29:$E$128))+SUMPRODUCT(('Data-Input'!$A$29:$A$128=A13)*('Data-Input'!$B$29:$B$128="DamageType")*('Data-Input'!$C$29:$C$128=$E$1)*('Data-Input'!$D$29:$D$128-'Data-Input'!$E$29:$E$128))+SUMPRODUCT(('Data-Input'!$A$29:$A$128=A13)*('Data-Input'!$B$29:$B$128="Resource")*('Data-Input'!$C$29:$C$128=$AB$1)*('Data-Input'!$D$29:$D$128-'Data-Input'!$E$29:$E$128)))</f>
        <v/>
      </c>
      <c r="AE13">
        <f>Heroes!$R13</f>
        <v/>
      </c>
      <c r="AF13">
        <f>IF($A$1="",0,IF(AND(OR(W13="Dash/Blink",W13="High Mobility",W13="Global Dive",W13="Mobility",X13="Dash/Blink",X13="High Mobility",X13="Global Dive",X13="Mobility"),$AA$1="Ranged"),$AC$1,0))</f>
        <v/>
      </c>
      <c r="AG13">
        <f>IF($A$1="",0,IF(AND(AE13="Yes",OR($K$1="Sustain",$K$1="Healing",$L$1="Sustain",$L$1="Healing")),$AD$1,0))</f>
        <v/>
      </c>
    </row>
    <row r="14" ht="15" customHeight="1">
      <c r="A14">
        <f>Heroes!$B14</f>
        <v/>
      </c>
      <c r="B14">
        <f>Heroes!$C14</f>
        <v/>
      </c>
      <c r="C14">
        <f>Heroes!$D14</f>
        <v/>
      </c>
      <c r="D14">
        <f>Heroes!$E14</f>
        <v/>
      </c>
      <c r="E14">
        <f>Heroes!$F14</f>
        <v/>
      </c>
      <c r="F14">
        <f>Heroes!$H14</f>
        <v/>
      </c>
      <c r="G14">
        <f>Heroes!$K14</f>
        <v/>
      </c>
      <c r="H14">
        <f>Heroes!$Q14</f>
        <v/>
      </c>
      <c r="I14">
        <f>IFERROR(INDEX('Data-Input'!$B$19:$G$24,MATCH(B14,'Data-Input'!$A$19:$A$24,0),MATCH($B$1,'Data-Input'!$B$18:$G$18,0)),0)</f>
        <v/>
      </c>
      <c r="J14">
        <f>IF(C14&lt;&gt;"",IFERROR(INDEX('Data-Input'!$B$19:$G$24,MATCH(C14,'Data-Input'!$A$19:$A$24,0),MATCH($B$1,'Data-Input'!$B$18:$G$18,0)),0),I14)</f>
        <v/>
      </c>
      <c r="K14">
        <f>MAX(I14,J14)</f>
        <v/>
      </c>
      <c r="L14">
        <f>((D14+E14)/2-$C$1)*$H$1</f>
        <v/>
      </c>
      <c r="M14">
        <f>F14-$D$1</f>
        <v/>
      </c>
      <c r="N14">
        <f>IF(M14&gt;20,M14*$I$1,0)</f>
        <v/>
      </c>
      <c r="O14">
        <f>IF(G14="Mixed",$Q$1,IF(G14=$E$1,$O$1,$P$1))</f>
        <v/>
      </c>
      <c r="P14">
        <f>(H14-$F$1)*$N$1</f>
        <v/>
      </c>
      <c r="Q14">
        <f>K14*$G$1+L14+N14+O14+P14+Y14+Z14+AF14+AG14</f>
        <v/>
      </c>
      <c r="R14">
        <f>IFERROR(INDEX('Data-Input'!$C$190:$C$1189,MATCH(A14&amp;"|"&amp;$A$1,'Data-Input'!$E$190:$E$1189,0)),Q14)</f>
        <v/>
      </c>
      <c r="S14">
        <f>IF(OR($A$1="",A14=$A$1),-1000000000000000,R14)</f>
        <v/>
      </c>
      <c r="T14">
        <f>S14+ROW()*0.0000001</f>
        <v/>
      </c>
      <c r="U14">
        <f>Heroes!$M14</f>
        <v/>
      </c>
      <c r="V14">
        <f>IF(OR($A$1="",A14=$A$1,U14="",U14&lt;&gt;$J$1),-1000000000000000,R14)+ROW()*0.0000001</f>
        <v/>
      </c>
      <c r="W14">
        <f>Heroes!$I14</f>
        <v/>
      </c>
      <c r="X14">
        <f>Heroes!$J14</f>
        <v/>
      </c>
      <c r="Y14">
        <f>IF($A$1="",0,MAX(IF(W14&lt;&gt;"",IFERROR(INDEX('Data-Input'!$B$164:$W$185,MATCH(W14,'Data-Input'!$A$164:$A$185,0),MATCH($K$1,'Data-Input'!$B$163:$W$163,0)),0),0),IF(AND(W14&lt;&gt;"",$L$1&lt;&gt;""),IFERROR(INDEX('Data-Input'!$B$164:$W$185,MATCH(W14,'Data-Input'!$A$164:$A$185,0),MATCH($L$1,'Data-Input'!$B$163:$W$163,0)),0),0),IF(X14&lt;&gt;"",IFERROR(INDEX('Data-Input'!$B$164:$W$185,MATCH(X14,'Data-Input'!$A$164:$A$185,0),MATCH($K$1,'Data-Input'!$B$163:$W$163,0)),0),0),IF(AND(X14&lt;&gt;"",$L$1&lt;&gt;""),IFERROR(INDEX('Data-Input'!$B$164:$W$185,MATCH(X14,'Data-Input'!$A$164:$A$185,0),MATCH($L$1,'Data-Input'!$B$163:$W$163,0)),0),0))*$M$1)</f>
        <v/>
      </c>
      <c r="Z14">
        <f>IF($A$1="",0,SUMPRODUCT(('Data-Input'!$A$29:$A$128=A14)*('Data-Input'!$B$29:$B$128="Tag")*((('Data-Input'!$C$29:$C$128=$K$1)+('Data-Input'!$C$29:$C$128=$L$1))&gt;0)*('Data-Input'!$D$29:$D$128-'Data-Input'!$E$29:$E$128))+SUMPRODUCT(('Data-Input'!$A$29:$A$128=A14)*('Data-Input'!$B$29:$B$128="Hero")*('Data-Input'!$C$29:$C$128=$A$1)*('Data-Input'!$D$29:$D$128-'Data-Input'!$E$29:$E$128))+SUMPRODUCT(('Data-Input'!$A$29:$A$128=A14)*('Data-Input'!$B$29:$B$128="Role")*((('Data-Input'!$C$29:$C$128=$B$1)+('Data-Input'!$C$29:$C$128=$AH$1))&gt;0)*('Data-Input'!$D$29:$D$128-'Data-Input'!$E$29:$E$128))+SUMPRODUCT(('Data-Input'!$A$29:$A$128=A14)*('Data-Input'!$B$29:$B$128="DamageType")*('Data-Input'!$C$29:$C$128=$E$1)*('Data-Input'!$D$29:$D$128-'Data-Input'!$E$29:$E$128))+SUMPRODUCT(('Data-Input'!$A$29:$A$128=A14)*('Data-Input'!$B$29:$B$128="Resource")*('Data-Input'!$C$29:$C$128=$AB$1)*('Data-Input'!$D$29:$D$128-'Data-Input'!$E$29:$E$128)))</f>
        <v/>
      </c>
      <c r="AE14">
        <f>Heroes!$R14</f>
        <v/>
      </c>
      <c r="AF14">
        <f>IF($A$1="",0,IF(AND(OR(W14="Dash/Blink",W14="High Mobility",W14="Global Dive",W14="Mobility",X14="Dash/Blink",X14="High Mobility",X14="Global Dive",X14="Mobility"),$AA$1="Ranged"),$AC$1,0))</f>
        <v/>
      </c>
      <c r="AG14">
        <f>IF($A$1="",0,IF(AND(AE14="Yes",OR($K$1="Sustain",$K$1="Healing",$L$1="Sustain",$L$1="Healing")),$AD$1,0))</f>
        <v/>
      </c>
    </row>
    <row r="15" ht="15" customHeight="1">
      <c r="A15">
        <f>Heroes!$B15</f>
        <v/>
      </c>
      <c r="B15">
        <f>Heroes!$C15</f>
        <v/>
      </c>
      <c r="C15">
        <f>Heroes!$D15</f>
        <v/>
      </c>
      <c r="D15">
        <f>Heroes!$E15</f>
        <v/>
      </c>
      <c r="E15">
        <f>Heroes!$F15</f>
        <v/>
      </c>
      <c r="F15">
        <f>Heroes!$H15</f>
        <v/>
      </c>
      <c r="G15">
        <f>Heroes!$K15</f>
        <v/>
      </c>
      <c r="H15">
        <f>Heroes!$Q15</f>
        <v/>
      </c>
      <c r="I15">
        <f>IFERROR(INDEX('Data-Input'!$B$19:$G$24,MATCH(B15,'Data-Input'!$A$19:$A$24,0),MATCH($B$1,'Data-Input'!$B$18:$G$18,0)),0)</f>
        <v/>
      </c>
      <c r="J15">
        <f>IF(C15&lt;&gt;"",IFERROR(INDEX('Data-Input'!$B$19:$G$24,MATCH(C15,'Data-Input'!$A$19:$A$24,0),MATCH($B$1,'Data-Input'!$B$18:$G$18,0)),0),I15)</f>
        <v/>
      </c>
      <c r="K15">
        <f>MAX(I15,J15)</f>
        <v/>
      </c>
      <c r="L15">
        <f>((D15+E15)/2-$C$1)*$H$1</f>
        <v/>
      </c>
      <c r="M15">
        <f>F15-$D$1</f>
        <v/>
      </c>
      <c r="N15">
        <f>IF(M15&gt;20,M15*$I$1,0)</f>
        <v/>
      </c>
      <c r="O15">
        <f>IF(G15="Mixed",$Q$1,IF(G15=$E$1,$O$1,$P$1))</f>
        <v/>
      </c>
      <c r="P15">
        <f>(H15-$F$1)*$N$1</f>
        <v/>
      </c>
      <c r="Q15">
        <f>K15*$G$1+L15+N15+O15+P15+Y15+Z15+AF15+AG15</f>
        <v/>
      </c>
      <c r="R15">
        <f>IFERROR(INDEX('Data-Input'!$C$190:$C$1189,MATCH(A15&amp;"|"&amp;$A$1,'Data-Input'!$E$190:$E$1189,0)),Q15)</f>
        <v/>
      </c>
      <c r="S15">
        <f>IF(OR($A$1="",A15=$A$1),-1000000000000000,R15)</f>
        <v/>
      </c>
      <c r="T15">
        <f>S15+ROW()*0.0000001</f>
        <v/>
      </c>
      <c r="U15">
        <f>Heroes!$M15</f>
        <v/>
      </c>
      <c r="V15">
        <f>IF(OR($A$1="",A15=$A$1,U15="",U15&lt;&gt;$J$1),-1000000000000000,R15)+ROW()*0.0000001</f>
        <v/>
      </c>
      <c r="W15">
        <f>Heroes!$I15</f>
        <v/>
      </c>
      <c r="X15">
        <f>Heroes!$J15</f>
        <v/>
      </c>
      <c r="Y15">
        <f>IF($A$1="",0,MAX(IF(W15&lt;&gt;"",IFERROR(INDEX('Data-Input'!$B$164:$W$185,MATCH(W15,'Data-Input'!$A$164:$A$185,0),MATCH($K$1,'Data-Input'!$B$163:$W$163,0)),0),0),IF(AND(W15&lt;&gt;"",$L$1&lt;&gt;""),IFERROR(INDEX('Data-Input'!$B$164:$W$185,MATCH(W15,'Data-Input'!$A$164:$A$185,0),MATCH($L$1,'Data-Input'!$B$163:$W$163,0)),0),0),IF(X15&lt;&gt;"",IFERROR(INDEX('Data-Input'!$B$164:$W$185,MATCH(X15,'Data-Input'!$A$164:$A$185,0),MATCH($K$1,'Data-Input'!$B$163:$W$163,0)),0),0),IF(AND(X15&lt;&gt;"",$L$1&lt;&gt;""),IFERROR(INDEX('Data-Input'!$B$164:$W$185,MATCH(X15,'Data-Input'!$A$164:$A$185,0),MATCH($L$1,'Data-Input'!$B$163:$W$163,0)),0),0))*$M$1)</f>
        <v/>
      </c>
      <c r="Z15">
        <f>IF($A$1="",0,SUMPRODUCT(('Data-Input'!$A$29:$A$128=A15)*('Data-Input'!$B$29:$B$128="Tag")*((('Data-Input'!$C$29:$C$128=$K$1)+('Data-Input'!$C$29:$C$128=$L$1))&gt;0)*('Data-Input'!$D$29:$D$128-'Data-Input'!$E$29:$E$128))+SUMPRODUCT(('Data-Input'!$A$29:$A$128=A15)*('Data-Input'!$B$29:$B$128="Hero")*('Data-Input'!$C$29:$C$128=$A$1)*('Data-Input'!$D$29:$D$128-'Data-Input'!$E$29:$E$128))+SUMPRODUCT(('Data-Input'!$A$29:$A$128=A15)*('Data-Input'!$B$29:$B$128="Role")*((('Data-Input'!$C$29:$C$128=$B$1)+('Data-Input'!$C$29:$C$128=$AH$1))&gt;0)*('Data-Input'!$D$29:$D$128-'Data-Input'!$E$29:$E$128))+SUMPRODUCT(('Data-Input'!$A$29:$A$128=A15)*('Data-Input'!$B$29:$B$128="DamageType")*('Data-Input'!$C$29:$C$128=$E$1)*('Data-Input'!$D$29:$D$128-'Data-Input'!$E$29:$E$128))+SUMPRODUCT(('Data-Input'!$A$29:$A$128=A15)*('Data-Input'!$B$29:$B$128="Resource")*('Data-Input'!$C$29:$C$128=$AB$1)*('Data-Input'!$D$29:$D$128-'Data-Input'!$E$29:$E$128)))</f>
        <v/>
      </c>
      <c r="AE15">
        <f>Heroes!$R15</f>
        <v/>
      </c>
      <c r="AF15">
        <f>IF($A$1="",0,IF(AND(OR(W15="Dash/Blink",W15="High Mobility",W15="Global Dive",W15="Mobility",X15="Dash/Blink",X15="High Mobility",X15="Global Dive",X15="Mobility"),$AA$1="Ranged"),$AC$1,0))</f>
        <v/>
      </c>
      <c r="AG15">
        <f>IF($A$1="",0,IF(AND(AE15="Yes",OR($K$1="Sustain",$K$1="Healing",$L$1="Sustain",$L$1="Healing")),$AD$1,0))</f>
        <v/>
      </c>
    </row>
    <row r="16" ht="15" customHeight="1">
      <c r="A16">
        <f>Heroes!$B16</f>
        <v/>
      </c>
      <c r="B16">
        <f>Heroes!$C16</f>
        <v/>
      </c>
      <c r="C16">
        <f>Heroes!$D16</f>
        <v/>
      </c>
      <c r="D16">
        <f>Heroes!$E16</f>
        <v/>
      </c>
      <c r="E16">
        <f>Heroes!$F16</f>
        <v/>
      </c>
      <c r="F16">
        <f>Heroes!$H16</f>
        <v/>
      </c>
      <c r="G16">
        <f>Heroes!$K16</f>
        <v/>
      </c>
      <c r="H16">
        <f>Heroes!$Q16</f>
        <v/>
      </c>
      <c r="I16">
        <f>IFERROR(INDEX('Data-Input'!$B$19:$G$24,MATCH(B16,'Data-Input'!$A$19:$A$24,0),MATCH($B$1,'Data-Input'!$B$18:$G$18,0)),0)</f>
        <v/>
      </c>
      <c r="J16">
        <f>IF(C16&lt;&gt;"",IFERROR(INDEX('Data-Input'!$B$19:$G$24,MATCH(C16,'Data-Input'!$A$19:$A$24,0),MATCH($B$1,'Data-Input'!$B$18:$G$18,0)),0),I16)</f>
        <v/>
      </c>
      <c r="K16">
        <f>MAX(I16,J16)</f>
        <v/>
      </c>
      <c r="L16">
        <f>((D16+E16)/2-$C$1)*$H$1</f>
        <v/>
      </c>
      <c r="M16">
        <f>F16-$D$1</f>
        <v/>
      </c>
      <c r="N16">
        <f>IF(M16&gt;20,M16*$I$1,0)</f>
        <v/>
      </c>
      <c r="O16">
        <f>IF(G16="Mixed",$Q$1,IF(G16=$E$1,$O$1,$P$1))</f>
        <v/>
      </c>
      <c r="P16">
        <f>(H16-$F$1)*$N$1</f>
        <v/>
      </c>
      <c r="Q16">
        <f>K16*$G$1+L16+N16+O16+P16+Y16+Z16+AF16+AG16</f>
        <v/>
      </c>
      <c r="R16">
        <f>IFERROR(INDEX('Data-Input'!$C$190:$C$1189,MATCH(A16&amp;"|"&amp;$A$1,'Data-Input'!$E$190:$E$1189,0)),Q16)</f>
        <v/>
      </c>
      <c r="S16">
        <f>IF(OR($A$1="",A16=$A$1),-1000000000000000,R16)</f>
        <v/>
      </c>
      <c r="T16">
        <f>S16+ROW()*0.0000001</f>
        <v/>
      </c>
      <c r="U16">
        <f>Heroes!$M16</f>
        <v/>
      </c>
      <c r="V16">
        <f>IF(OR($A$1="",A16=$A$1,U16="",U16&lt;&gt;$J$1),-1000000000000000,R16)+ROW()*0.0000001</f>
        <v/>
      </c>
      <c r="W16">
        <f>Heroes!$I16</f>
        <v/>
      </c>
      <c r="X16">
        <f>Heroes!$J16</f>
        <v/>
      </c>
      <c r="Y16">
        <f>IF($A$1="",0,MAX(IF(W16&lt;&gt;"",IFERROR(INDEX('Data-Input'!$B$164:$W$185,MATCH(W16,'Data-Input'!$A$164:$A$185,0),MATCH($K$1,'Data-Input'!$B$163:$W$163,0)),0),0),IF(AND(W16&lt;&gt;"",$L$1&lt;&gt;""),IFERROR(INDEX('Data-Input'!$B$164:$W$185,MATCH(W16,'Data-Input'!$A$164:$A$185,0),MATCH($L$1,'Data-Input'!$B$163:$W$163,0)),0),0),IF(X16&lt;&gt;"",IFERROR(INDEX('Data-Input'!$B$164:$W$185,MATCH(X16,'Data-Input'!$A$164:$A$185,0),MATCH($K$1,'Data-Input'!$B$163:$W$163,0)),0),0),IF(AND(X16&lt;&gt;"",$L$1&lt;&gt;""),IFERROR(INDEX('Data-Input'!$B$164:$W$185,MATCH(X16,'Data-Input'!$A$164:$A$185,0),MATCH($L$1,'Data-Input'!$B$163:$W$163,0)),0),0))*$M$1)</f>
        <v/>
      </c>
      <c r="Z16">
        <f>IF($A$1="",0,SUMPRODUCT(('Data-Input'!$A$29:$A$128=A16)*('Data-Input'!$B$29:$B$128="Tag")*((('Data-Input'!$C$29:$C$128=$K$1)+('Data-Input'!$C$29:$C$128=$L$1))&gt;0)*('Data-Input'!$D$29:$D$128-'Data-Input'!$E$29:$E$128))+SUMPRODUCT(('Data-Input'!$A$29:$A$128=A16)*('Data-Input'!$B$29:$B$128="Hero")*('Data-Input'!$C$29:$C$128=$A$1)*('Data-Input'!$D$29:$D$128-'Data-Input'!$E$29:$E$128))+SUMPRODUCT(('Data-Input'!$A$29:$A$128=A16)*('Data-Input'!$B$29:$B$128="Role")*((('Data-Input'!$C$29:$C$128=$B$1)+('Data-Input'!$C$29:$C$128=$AH$1))&gt;0)*('Data-Input'!$D$29:$D$128-'Data-Input'!$E$29:$E$128))+SUMPRODUCT(('Data-Input'!$A$29:$A$128=A16)*('Data-Input'!$B$29:$B$128="DamageType")*('Data-Input'!$C$29:$C$128=$E$1)*('Data-Input'!$D$29:$D$128-'Data-Input'!$E$29:$E$128))+SUMPRODUCT(('Data-Input'!$A$29:$A$128=A16)*('Data-Input'!$B$29:$B$128="Resource")*('Data-Input'!$C$29:$C$128=$AB$1)*('Data-Input'!$D$29:$D$128-'Data-Input'!$E$29:$E$128)))</f>
        <v/>
      </c>
      <c r="AE16">
        <f>Heroes!$R16</f>
        <v/>
      </c>
      <c r="AF16">
        <f>IF($A$1="",0,IF(AND(OR(W16="Dash/Blink",W16="High Mobility",W16="Global Dive",W16="Mobility",X16="Dash/Blink",X16="High Mobility",X16="Global Dive",X16="Mobility"),$AA$1="Ranged"),$AC$1,0))</f>
        <v/>
      </c>
      <c r="AG16">
        <f>IF($A$1="",0,IF(AND(AE16="Yes",OR($K$1="Sustain",$K$1="Healing",$L$1="Sustain",$L$1="Healing")),$AD$1,0))</f>
        <v/>
      </c>
    </row>
    <row r="17" ht="15" customHeight="1">
      <c r="A17">
        <f>Heroes!$B17</f>
        <v/>
      </c>
      <c r="B17">
        <f>Heroes!$C17</f>
        <v/>
      </c>
      <c r="C17">
        <f>Heroes!$D17</f>
        <v/>
      </c>
      <c r="D17">
        <f>Heroes!$E17</f>
        <v/>
      </c>
      <c r="E17">
        <f>Heroes!$F17</f>
        <v/>
      </c>
      <c r="F17">
        <f>Heroes!$H17</f>
        <v/>
      </c>
      <c r="G17">
        <f>Heroes!$K17</f>
        <v/>
      </c>
      <c r="H17">
        <f>Heroes!$Q17</f>
        <v/>
      </c>
      <c r="I17">
        <f>IFERROR(INDEX('Data-Input'!$B$19:$G$24,MATCH(B17,'Data-Input'!$A$19:$A$24,0),MATCH($B$1,'Data-Input'!$B$18:$G$18,0)),0)</f>
        <v/>
      </c>
      <c r="J17">
        <f>IF(C17&lt;&gt;"",IFERROR(INDEX('Data-Input'!$B$19:$G$24,MATCH(C17,'Data-Input'!$A$19:$A$24,0),MATCH($B$1,'Data-Input'!$B$18:$G$18,0)),0),I17)</f>
        <v/>
      </c>
      <c r="K17">
        <f>MAX(I17,J17)</f>
        <v/>
      </c>
      <c r="L17">
        <f>((D17+E17)/2-$C$1)*$H$1</f>
        <v/>
      </c>
      <c r="M17">
        <f>F17-$D$1</f>
        <v/>
      </c>
      <c r="N17">
        <f>IF(M17&gt;20,M17*$I$1,0)</f>
        <v/>
      </c>
      <c r="O17">
        <f>IF(G17="Mixed",$Q$1,IF(G17=$E$1,$O$1,$P$1))</f>
        <v/>
      </c>
      <c r="P17">
        <f>(H17-$F$1)*$N$1</f>
        <v/>
      </c>
      <c r="Q17">
        <f>K17*$G$1+L17+N17+O17+P17+Y17+Z17+AF17+AG17</f>
        <v/>
      </c>
      <c r="R17">
        <f>IFERROR(INDEX('Data-Input'!$C$190:$C$1189,MATCH(A17&amp;"|"&amp;$A$1,'Data-Input'!$E$190:$E$1189,0)),Q17)</f>
        <v/>
      </c>
      <c r="S17">
        <f>IF(OR($A$1="",A17=$A$1),-1000000000000000,R17)</f>
        <v/>
      </c>
      <c r="T17">
        <f>S17+ROW()*0.0000001</f>
        <v/>
      </c>
      <c r="U17">
        <f>Heroes!$M17</f>
        <v/>
      </c>
      <c r="V17">
        <f>IF(OR($A$1="",A17=$A$1,U17="",U17&lt;&gt;$J$1),-1000000000000000,R17)+ROW()*0.0000001</f>
        <v/>
      </c>
      <c r="W17">
        <f>Heroes!$I17</f>
        <v/>
      </c>
      <c r="X17">
        <f>Heroes!$J17</f>
        <v/>
      </c>
      <c r="Y17">
        <f>IF($A$1="",0,MAX(IF(W17&lt;&gt;"",IFERROR(INDEX('Data-Input'!$B$164:$W$185,MATCH(W17,'Data-Input'!$A$164:$A$185,0),MATCH($K$1,'Data-Input'!$B$163:$W$163,0)),0),0),IF(AND(W17&lt;&gt;"",$L$1&lt;&gt;""),IFERROR(INDEX('Data-Input'!$B$164:$W$185,MATCH(W17,'Data-Input'!$A$164:$A$185,0),MATCH($L$1,'Data-Input'!$B$163:$W$163,0)),0),0),IF(X17&lt;&gt;"",IFERROR(INDEX('Data-Input'!$B$164:$W$185,MATCH(X17,'Data-Input'!$A$164:$A$185,0),MATCH($K$1,'Data-Input'!$B$163:$W$163,0)),0),0),IF(AND(X17&lt;&gt;"",$L$1&lt;&gt;""),IFERROR(INDEX('Data-Input'!$B$164:$W$185,MATCH(X17,'Data-Input'!$A$164:$A$185,0),MATCH($L$1,'Data-Input'!$B$163:$W$163,0)),0),0))*$M$1)</f>
        <v/>
      </c>
      <c r="Z17">
        <f>IF($A$1="",0,SUMPRODUCT(('Data-Input'!$A$29:$A$128=A17)*('Data-Input'!$B$29:$B$128="Tag")*((('Data-Input'!$C$29:$C$128=$K$1)+('Data-Input'!$C$29:$C$128=$L$1))&gt;0)*('Data-Input'!$D$29:$D$128-'Data-Input'!$E$29:$E$128))+SUMPRODUCT(('Data-Input'!$A$29:$A$128=A17)*('Data-Input'!$B$29:$B$128="Hero")*('Data-Input'!$C$29:$C$128=$A$1)*('Data-Input'!$D$29:$D$128-'Data-Input'!$E$29:$E$128))+SUMPRODUCT(('Data-Input'!$A$29:$A$128=A17)*('Data-Input'!$B$29:$B$128="Role")*((('Data-Input'!$C$29:$C$128=$B$1)+('Data-Input'!$C$29:$C$128=$AH$1))&gt;0)*('Data-Input'!$D$29:$D$128-'Data-Input'!$E$29:$E$128))+SUMPRODUCT(('Data-Input'!$A$29:$A$128=A17)*('Data-Input'!$B$29:$B$128="DamageType")*('Data-Input'!$C$29:$C$128=$E$1)*('Data-Input'!$D$29:$D$128-'Data-Input'!$E$29:$E$128))+SUMPRODUCT(('Data-Input'!$A$29:$A$128=A17)*('Data-Input'!$B$29:$B$128="Resource")*('Data-Input'!$C$29:$C$128=$AB$1)*('Data-Input'!$D$29:$D$128-'Data-Input'!$E$29:$E$128)))</f>
        <v/>
      </c>
      <c r="AE17">
        <f>Heroes!$R17</f>
        <v/>
      </c>
      <c r="AF17">
        <f>IF($A$1="",0,IF(AND(OR(W17="Dash/Blink",W17="High Mobility",W17="Global Dive",W17="Mobility",X17="Dash/Blink",X17="High Mobility",X17="Global Dive",X17="Mobility"),$AA$1="Ranged"),$AC$1,0))</f>
        <v/>
      </c>
      <c r="AG17">
        <f>IF($A$1="",0,IF(AND(AE17="Yes",OR($K$1="Sustain",$K$1="Healing",$L$1="Sustain",$L$1="Healing")),$AD$1,0))</f>
        <v/>
      </c>
    </row>
    <row r="18" ht="15" customHeight="1">
      <c r="A18">
        <f>Heroes!$B18</f>
        <v/>
      </c>
      <c r="B18">
        <f>Heroes!$C18</f>
        <v/>
      </c>
      <c r="C18">
        <f>Heroes!$D18</f>
        <v/>
      </c>
      <c r="D18">
        <f>Heroes!$E18</f>
        <v/>
      </c>
      <c r="E18">
        <f>Heroes!$F18</f>
        <v/>
      </c>
      <c r="F18">
        <f>Heroes!$H18</f>
        <v/>
      </c>
      <c r="G18">
        <f>Heroes!$K18</f>
        <v/>
      </c>
      <c r="H18">
        <f>Heroes!$Q18</f>
        <v/>
      </c>
      <c r="I18">
        <f>IFERROR(INDEX('Data-Input'!$B$19:$G$24,MATCH(B18,'Data-Input'!$A$19:$A$24,0),MATCH($B$1,'Data-Input'!$B$18:$G$18,0)),0)</f>
        <v/>
      </c>
      <c r="J18">
        <f>IF(C18&lt;&gt;"",IFERROR(INDEX('Data-Input'!$B$19:$G$24,MATCH(C18,'Data-Input'!$A$19:$A$24,0),MATCH($B$1,'Data-Input'!$B$18:$G$18,0)),0),I18)</f>
        <v/>
      </c>
      <c r="K18">
        <f>MAX(I18,J18)</f>
        <v/>
      </c>
      <c r="L18">
        <f>((D18+E18)/2-$C$1)*$H$1</f>
        <v/>
      </c>
      <c r="M18">
        <f>F18-$D$1</f>
        <v/>
      </c>
      <c r="N18">
        <f>IF(M18&gt;20,M18*$I$1,0)</f>
        <v/>
      </c>
      <c r="O18">
        <f>IF(G18="Mixed",$Q$1,IF(G18=$E$1,$O$1,$P$1))</f>
        <v/>
      </c>
      <c r="P18">
        <f>(H18-$F$1)*$N$1</f>
        <v/>
      </c>
      <c r="Q18">
        <f>K18*$G$1+L18+N18+O18+P18+Y18+Z18+AF18+AG18</f>
        <v/>
      </c>
      <c r="R18">
        <f>IFERROR(INDEX('Data-Input'!$C$190:$C$1189,MATCH(A18&amp;"|"&amp;$A$1,'Data-Input'!$E$190:$E$1189,0)),Q18)</f>
        <v/>
      </c>
      <c r="S18">
        <f>IF(OR($A$1="",A18=$A$1),-1000000000000000,R18)</f>
        <v/>
      </c>
      <c r="T18">
        <f>S18+ROW()*0.0000001</f>
        <v/>
      </c>
      <c r="U18">
        <f>Heroes!$M18</f>
        <v/>
      </c>
      <c r="V18">
        <f>IF(OR($A$1="",A18=$A$1,U18="",U18&lt;&gt;$J$1),-1000000000000000,R18)+ROW()*0.0000001</f>
        <v/>
      </c>
      <c r="W18">
        <f>Heroes!$I18</f>
        <v/>
      </c>
      <c r="X18">
        <f>Heroes!$J18</f>
        <v/>
      </c>
      <c r="Y18">
        <f>IF($A$1="",0,MAX(IF(W18&lt;&gt;"",IFERROR(INDEX('Data-Input'!$B$164:$W$185,MATCH(W18,'Data-Input'!$A$164:$A$185,0),MATCH($K$1,'Data-Input'!$B$163:$W$163,0)),0),0),IF(AND(W18&lt;&gt;"",$L$1&lt;&gt;""),IFERROR(INDEX('Data-Input'!$B$164:$W$185,MATCH(W18,'Data-Input'!$A$164:$A$185,0),MATCH($L$1,'Data-Input'!$B$163:$W$163,0)),0),0),IF(X18&lt;&gt;"",IFERROR(INDEX('Data-Input'!$B$164:$W$185,MATCH(X18,'Data-Input'!$A$164:$A$185,0),MATCH($K$1,'Data-Input'!$B$163:$W$163,0)),0),0),IF(AND(X18&lt;&gt;"",$L$1&lt;&gt;""),IFERROR(INDEX('Data-Input'!$B$164:$W$185,MATCH(X18,'Data-Input'!$A$164:$A$185,0),MATCH($L$1,'Data-Input'!$B$163:$W$163,0)),0),0))*$M$1)</f>
        <v/>
      </c>
      <c r="Z18">
        <f>IF($A$1="",0,SUMPRODUCT(('Data-Input'!$A$29:$A$128=A18)*('Data-Input'!$B$29:$B$128="Tag")*((('Data-Input'!$C$29:$C$128=$K$1)+('Data-Input'!$C$29:$C$128=$L$1))&gt;0)*('Data-Input'!$D$29:$D$128-'Data-Input'!$E$29:$E$128))+SUMPRODUCT(('Data-Input'!$A$29:$A$128=A18)*('Data-Input'!$B$29:$B$128="Hero")*('Data-Input'!$C$29:$C$128=$A$1)*('Data-Input'!$D$29:$D$128-'Data-Input'!$E$29:$E$128))+SUMPRODUCT(('Data-Input'!$A$29:$A$128=A18)*('Data-Input'!$B$29:$B$128="Role")*((('Data-Input'!$C$29:$C$128=$B$1)+('Data-Input'!$C$29:$C$128=$AH$1))&gt;0)*('Data-Input'!$D$29:$D$128-'Data-Input'!$E$29:$E$128))+SUMPRODUCT(('Data-Input'!$A$29:$A$128=A18)*('Data-Input'!$B$29:$B$128="DamageType")*('Data-Input'!$C$29:$C$128=$E$1)*('Data-Input'!$D$29:$D$128-'Data-Input'!$E$29:$E$128))+SUMPRODUCT(('Data-Input'!$A$29:$A$128=A18)*('Data-Input'!$B$29:$B$128="Resource")*('Data-Input'!$C$29:$C$128=$AB$1)*('Data-Input'!$D$29:$D$128-'Data-Input'!$E$29:$E$128)))</f>
        <v/>
      </c>
      <c r="AE18">
        <f>Heroes!$R18</f>
        <v/>
      </c>
      <c r="AF18">
        <f>IF($A$1="",0,IF(AND(OR(W18="Dash/Blink",W18="High Mobility",W18="Global Dive",W18="Mobility",X18="Dash/Blink",X18="High Mobility",X18="Global Dive",X18="Mobility"),$AA$1="Ranged"),$AC$1,0))</f>
        <v/>
      </c>
      <c r="AG18">
        <f>IF($A$1="",0,IF(AND(AE18="Yes",OR($K$1="Sustain",$K$1="Healing",$L$1="Sustain",$L$1="Healing")),$AD$1,0))</f>
        <v/>
      </c>
    </row>
    <row r="19" ht="15" customHeight="1">
      <c r="A19">
        <f>Heroes!$B19</f>
        <v/>
      </c>
      <c r="B19">
        <f>Heroes!$C19</f>
        <v/>
      </c>
      <c r="C19">
        <f>Heroes!$D19</f>
        <v/>
      </c>
      <c r="D19">
        <f>Heroes!$E19</f>
        <v/>
      </c>
      <c r="E19">
        <f>Heroes!$F19</f>
        <v/>
      </c>
      <c r="F19">
        <f>Heroes!$H19</f>
        <v/>
      </c>
      <c r="G19">
        <f>Heroes!$K19</f>
        <v/>
      </c>
      <c r="H19">
        <f>Heroes!$Q19</f>
        <v/>
      </c>
      <c r="I19">
        <f>IFERROR(INDEX('Data-Input'!$B$19:$G$24,MATCH(B19,'Data-Input'!$A$19:$A$24,0),MATCH($B$1,'Data-Input'!$B$18:$G$18,0)),0)</f>
        <v/>
      </c>
      <c r="J19">
        <f>IF(C19&lt;&gt;"",IFERROR(INDEX('Data-Input'!$B$19:$G$24,MATCH(C19,'Data-Input'!$A$19:$A$24,0),MATCH($B$1,'Data-Input'!$B$18:$G$18,0)),0),I19)</f>
        <v/>
      </c>
      <c r="K19">
        <f>MAX(I19,J19)</f>
        <v/>
      </c>
      <c r="L19">
        <f>((D19+E19)/2-$C$1)*$H$1</f>
        <v/>
      </c>
      <c r="M19">
        <f>F19-$D$1</f>
        <v/>
      </c>
      <c r="N19">
        <f>IF(M19&gt;20,M19*$I$1,0)</f>
        <v/>
      </c>
      <c r="O19">
        <f>IF(G19="Mixed",$Q$1,IF(G19=$E$1,$O$1,$P$1))</f>
        <v/>
      </c>
      <c r="P19">
        <f>(H19-$F$1)*$N$1</f>
        <v/>
      </c>
      <c r="Q19">
        <f>K19*$G$1+L19+N19+O19+P19+Y19+Z19+AF19+AG19</f>
        <v/>
      </c>
      <c r="R19">
        <f>IFERROR(INDEX('Data-Input'!$C$190:$C$1189,MATCH(A19&amp;"|"&amp;$A$1,'Data-Input'!$E$190:$E$1189,0)),Q19)</f>
        <v/>
      </c>
      <c r="S19">
        <f>IF(OR($A$1="",A19=$A$1),-1000000000000000,R19)</f>
        <v/>
      </c>
      <c r="T19">
        <f>S19+ROW()*0.0000001</f>
        <v/>
      </c>
      <c r="U19">
        <f>Heroes!$M19</f>
        <v/>
      </c>
      <c r="V19">
        <f>IF(OR($A$1="",A19=$A$1,U19="",U19&lt;&gt;$J$1),-1000000000000000,R19)+ROW()*0.0000001</f>
        <v/>
      </c>
      <c r="W19">
        <f>Heroes!$I19</f>
        <v/>
      </c>
      <c r="X19">
        <f>Heroes!$J19</f>
        <v/>
      </c>
      <c r="Y19">
        <f>IF($A$1="",0,MAX(IF(W19&lt;&gt;"",IFERROR(INDEX('Data-Input'!$B$164:$W$185,MATCH(W19,'Data-Input'!$A$164:$A$185,0),MATCH($K$1,'Data-Input'!$B$163:$W$163,0)),0),0),IF(AND(W19&lt;&gt;"",$L$1&lt;&gt;""),IFERROR(INDEX('Data-Input'!$B$164:$W$185,MATCH(W19,'Data-Input'!$A$164:$A$185,0),MATCH($L$1,'Data-Input'!$B$163:$W$163,0)),0),0),IF(X19&lt;&gt;"",IFERROR(INDEX('Data-Input'!$B$164:$W$185,MATCH(X19,'Data-Input'!$A$164:$A$185,0),MATCH($K$1,'Data-Input'!$B$163:$W$163,0)),0),0),IF(AND(X19&lt;&gt;"",$L$1&lt;&gt;""),IFERROR(INDEX('Data-Input'!$B$164:$W$185,MATCH(X19,'Data-Input'!$A$164:$A$185,0),MATCH($L$1,'Data-Input'!$B$163:$W$163,0)),0),0))*$M$1)</f>
        <v/>
      </c>
      <c r="Z19">
        <f>IF($A$1="",0,SUMPRODUCT(('Data-Input'!$A$29:$A$128=A19)*('Data-Input'!$B$29:$B$128="Tag")*((('Data-Input'!$C$29:$C$128=$K$1)+('Data-Input'!$C$29:$C$128=$L$1))&gt;0)*('Data-Input'!$D$29:$D$128-'Data-Input'!$E$29:$E$128))+SUMPRODUCT(('Data-Input'!$A$29:$A$128=A19)*('Data-Input'!$B$29:$B$128="Hero")*('Data-Input'!$C$29:$C$128=$A$1)*('Data-Input'!$D$29:$D$128-'Data-Input'!$E$29:$E$128))+SUMPRODUCT(('Data-Input'!$A$29:$A$128=A19)*('Data-Input'!$B$29:$B$128="Role")*((('Data-Input'!$C$29:$C$128=$B$1)+('Data-Input'!$C$29:$C$128=$AH$1))&gt;0)*('Data-Input'!$D$29:$D$128-'Data-Input'!$E$29:$E$128))+SUMPRODUCT(('Data-Input'!$A$29:$A$128=A19)*('Data-Input'!$B$29:$B$128="DamageType")*('Data-Input'!$C$29:$C$128=$E$1)*('Data-Input'!$D$29:$D$128-'Data-Input'!$E$29:$E$128))+SUMPRODUCT(('Data-Input'!$A$29:$A$128=A19)*('Data-Input'!$B$29:$B$128="Resource")*('Data-Input'!$C$29:$C$128=$AB$1)*('Data-Input'!$D$29:$D$128-'Data-Input'!$E$29:$E$128)))</f>
        <v/>
      </c>
      <c r="AE19">
        <f>Heroes!$R19</f>
        <v/>
      </c>
      <c r="AF19">
        <f>IF($A$1="",0,IF(AND(OR(W19="Dash/Blink",W19="High Mobility",W19="Global Dive",W19="Mobility",X19="Dash/Blink",X19="High Mobility",X19="Global Dive",X19="Mobility"),$AA$1="Ranged"),$AC$1,0))</f>
        <v/>
      </c>
      <c r="AG19">
        <f>IF($A$1="",0,IF(AND(AE19="Yes",OR($K$1="Sustain",$K$1="Healing",$L$1="Sustain",$L$1="Healing")),$AD$1,0))</f>
        <v/>
      </c>
    </row>
    <row r="20" ht="15" customHeight="1">
      <c r="A20">
        <f>Heroes!$B20</f>
        <v/>
      </c>
      <c r="B20">
        <f>Heroes!$C20</f>
        <v/>
      </c>
      <c r="C20">
        <f>Heroes!$D20</f>
        <v/>
      </c>
      <c r="D20">
        <f>Heroes!$E20</f>
        <v/>
      </c>
      <c r="E20">
        <f>Heroes!$F20</f>
        <v/>
      </c>
      <c r="F20">
        <f>Heroes!$H20</f>
        <v/>
      </c>
      <c r="G20">
        <f>Heroes!$K20</f>
        <v/>
      </c>
      <c r="H20">
        <f>Heroes!$Q20</f>
        <v/>
      </c>
      <c r="I20">
        <f>IFERROR(INDEX('Data-Input'!$B$19:$G$24,MATCH(B20,'Data-Input'!$A$19:$A$24,0),MATCH($B$1,'Data-Input'!$B$18:$G$18,0)),0)</f>
        <v/>
      </c>
      <c r="J20">
        <f>IF(C20&lt;&gt;"",IFERROR(INDEX('Data-Input'!$B$19:$G$24,MATCH(C20,'Data-Input'!$A$19:$A$24,0),MATCH($B$1,'Data-Input'!$B$18:$G$18,0)),0),I20)</f>
        <v/>
      </c>
      <c r="K20">
        <f>MAX(I20,J20)</f>
        <v/>
      </c>
      <c r="L20">
        <f>((D20+E20)/2-$C$1)*$H$1</f>
        <v/>
      </c>
      <c r="M20">
        <f>F20-$D$1</f>
        <v/>
      </c>
      <c r="N20">
        <f>IF(M20&gt;20,M20*$I$1,0)</f>
        <v/>
      </c>
      <c r="O20">
        <f>IF(G20="Mixed",$Q$1,IF(G20=$E$1,$O$1,$P$1))</f>
        <v/>
      </c>
      <c r="P20">
        <f>(H20-$F$1)*$N$1</f>
        <v/>
      </c>
      <c r="Q20">
        <f>K20*$G$1+L20+N20+O20+P20+Y20+Z20+AF20+AG20</f>
        <v/>
      </c>
      <c r="R20">
        <f>IFERROR(INDEX('Data-Input'!$C$190:$C$1189,MATCH(A20&amp;"|"&amp;$A$1,'Data-Input'!$E$190:$E$1189,0)),Q20)</f>
        <v/>
      </c>
      <c r="S20">
        <f>IF(OR($A$1="",A20=$A$1),-1000000000000000,R20)</f>
        <v/>
      </c>
      <c r="T20">
        <f>S20+ROW()*0.0000001</f>
        <v/>
      </c>
      <c r="U20">
        <f>Heroes!$M20</f>
        <v/>
      </c>
      <c r="V20">
        <f>IF(OR($A$1="",A20=$A$1,U20="",U20&lt;&gt;$J$1),-1000000000000000,R20)+ROW()*0.0000001</f>
        <v/>
      </c>
      <c r="W20">
        <f>Heroes!$I20</f>
        <v/>
      </c>
      <c r="X20">
        <f>Heroes!$J20</f>
        <v/>
      </c>
      <c r="Y20">
        <f>IF($A$1="",0,MAX(IF(W20&lt;&gt;"",IFERROR(INDEX('Data-Input'!$B$164:$W$185,MATCH(W20,'Data-Input'!$A$164:$A$185,0),MATCH($K$1,'Data-Input'!$B$163:$W$163,0)),0),0),IF(AND(W20&lt;&gt;"",$L$1&lt;&gt;""),IFERROR(INDEX('Data-Input'!$B$164:$W$185,MATCH(W20,'Data-Input'!$A$164:$A$185,0),MATCH($L$1,'Data-Input'!$B$163:$W$163,0)),0),0),IF(X20&lt;&gt;"",IFERROR(INDEX('Data-Input'!$B$164:$W$185,MATCH(X20,'Data-Input'!$A$164:$A$185,0),MATCH($K$1,'Data-Input'!$B$163:$W$163,0)),0),0),IF(AND(X20&lt;&gt;"",$L$1&lt;&gt;""),IFERROR(INDEX('Data-Input'!$B$164:$W$185,MATCH(X20,'Data-Input'!$A$164:$A$185,0),MATCH($L$1,'Data-Input'!$B$163:$W$163,0)),0),0))*$M$1)</f>
        <v/>
      </c>
      <c r="Z20">
        <f>IF($A$1="",0,SUMPRODUCT(('Data-Input'!$A$29:$A$128=A20)*('Data-Input'!$B$29:$B$128="Tag")*((('Data-Input'!$C$29:$C$128=$K$1)+('Data-Input'!$C$29:$C$128=$L$1))&gt;0)*('Data-Input'!$D$29:$D$128-'Data-Input'!$E$29:$E$128))+SUMPRODUCT(('Data-Input'!$A$29:$A$128=A20)*('Data-Input'!$B$29:$B$128="Hero")*('Data-Input'!$C$29:$C$128=$A$1)*('Data-Input'!$D$29:$D$128-'Data-Input'!$E$29:$E$128))+SUMPRODUCT(('Data-Input'!$A$29:$A$128=A20)*('Data-Input'!$B$29:$B$128="Role")*((('Data-Input'!$C$29:$C$128=$B$1)+('Data-Input'!$C$29:$C$128=$AH$1))&gt;0)*('Data-Input'!$D$29:$D$128-'Data-Input'!$E$29:$E$128))+SUMPRODUCT(('Data-Input'!$A$29:$A$128=A20)*('Data-Input'!$B$29:$B$128="DamageType")*('Data-Input'!$C$29:$C$128=$E$1)*('Data-Input'!$D$29:$D$128-'Data-Input'!$E$29:$E$128))+SUMPRODUCT(('Data-Input'!$A$29:$A$128=A20)*('Data-Input'!$B$29:$B$128="Resource")*('Data-Input'!$C$29:$C$128=$AB$1)*('Data-Input'!$D$29:$D$128-'Data-Input'!$E$29:$E$128)))</f>
        <v/>
      </c>
      <c r="AE20">
        <f>Heroes!$R20</f>
        <v/>
      </c>
      <c r="AF20">
        <f>IF($A$1="",0,IF(AND(OR(W20="Dash/Blink",W20="High Mobility",W20="Global Dive",W20="Mobility",X20="Dash/Blink",X20="High Mobility",X20="Global Dive",X20="Mobility"),$AA$1="Ranged"),$AC$1,0))</f>
        <v/>
      </c>
      <c r="AG20">
        <f>IF($A$1="",0,IF(AND(AE20="Yes",OR($K$1="Sustain",$K$1="Healing",$L$1="Sustain",$L$1="Healing")),$AD$1,0))</f>
        <v/>
      </c>
    </row>
    <row r="21" ht="15" customHeight="1">
      <c r="A21">
        <f>Heroes!$B21</f>
        <v/>
      </c>
      <c r="B21">
        <f>Heroes!$C21</f>
        <v/>
      </c>
      <c r="C21">
        <f>Heroes!$D21</f>
        <v/>
      </c>
      <c r="D21">
        <f>Heroes!$E21</f>
        <v/>
      </c>
      <c r="E21">
        <f>Heroes!$F21</f>
        <v/>
      </c>
      <c r="F21">
        <f>Heroes!$H21</f>
        <v/>
      </c>
      <c r="G21">
        <f>Heroes!$K21</f>
        <v/>
      </c>
      <c r="H21">
        <f>Heroes!$Q21</f>
        <v/>
      </c>
      <c r="I21">
        <f>IFERROR(INDEX('Data-Input'!$B$19:$G$24,MATCH(B21,'Data-Input'!$A$19:$A$24,0),MATCH($B$1,'Data-Input'!$B$18:$G$18,0)),0)</f>
        <v/>
      </c>
      <c r="J21">
        <f>IF(C21&lt;&gt;"",IFERROR(INDEX('Data-Input'!$B$19:$G$24,MATCH(C21,'Data-Input'!$A$19:$A$24,0),MATCH($B$1,'Data-Input'!$B$18:$G$18,0)),0),I21)</f>
        <v/>
      </c>
      <c r="K21">
        <f>MAX(I21,J21)</f>
        <v/>
      </c>
      <c r="L21">
        <f>((D21+E21)/2-$C$1)*$H$1</f>
        <v/>
      </c>
      <c r="M21">
        <f>F21-$D$1</f>
        <v/>
      </c>
      <c r="N21">
        <f>IF(M21&gt;20,M21*$I$1,0)</f>
        <v/>
      </c>
      <c r="O21">
        <f>IF(G21="Mixed",$Q$1,IF(G21=$E$1,$O$1,$P$1))</f>
        <v/>
      </c>
      <c r="P21">
        <f>(H21-$F$1)*$N$1</f>
        <v/>
      </c>
      <c r="Q21">
        <f>K21*$G$1+L21+N21+O21+P21+Y21+Z21+AF21+AG21</f>
        <v/>
      </c>
      <c r="R21">
        <f>IFERROR(INDEX('Data-Input'!$C$190:$C$1189,MATCH(A21&amp;"|"&amp;$A$1,'Data-Input'!$E$190:$E$1189,0)),Q21)</f>
        <v/>
      </c>
      <c r="S21">
        <f>IF(OR($A$1="",A21=$A$1),-1000000000000000,R21)</f>
        <v/>
      </c>
      <c r="T21">
        <f>S21+ROW()*0.0000001</f>
        <v/>
      </c>
      <c r="U21">
        <f>Heroes!$M21</f>
        <v/>
      </c>
      <c r="V21">
        <f>IF(OR($A$1="",A21=$A$1,U21="",U21&lt;&gt;$J$1),-1000000000000000,R21)+ROW()*0.0000001</f>
        <v/>
      </c>
      <c r="W21">
        <f>Heroes!$I21</f>
        <v/>
      </c>
      <c r="X21">
        <f>Heroes!$J21</f>
        <v/>
      </c>
      <c r="Y21">
        <f>IF($A$1="",0,MAX(IF(W21&lt;&gt;"",IFERROR(INDEX('Data-Input'!$B$164:$W$185,MATCH(W21,'Data-Input'!$A$164:$A$185,0),MATCH($K$1,'Data-Input'!$B$163:$W$163,0)),0),0),IF(AND(W21&lt;&gt;"",$L$1&lt;&gt;""),IFERROR(INDEX('Data-Input'!$B$164:$W$185,MATCH(W21,'Data-Input'!$A$164:$A$185,0),MATCH($L$1,'Data-Input'!$B$163:$W$163,0)),0),0),IF(X21&lt;&gt;"",IFERROR(INDEX('Data-Input'!$B$164:$W$185,MATCH(X21,'Data-Input'!$A$164:$A$185,0),MATCH($K$1,'Data-Input'!$B$163:$W$163,0)),0),0),IF(AND(X21&lt;&gt;"",$L$1&lt;&gt;""),IFERROR(INDEX('Data-Input'!$B$164:$W$185,MATCH(X21,'Data-Input'!$A$164:$A$185,0),MATCH($L$1,'Data-Input'!$B$163:$W$163,0)),0),0))*$M$1)</f>
        <v/>
      </c>
      <c r="Z21">
        <f>IF($A$1="",0,SUMPRODUCT(('Data-Input'!$A$29:$A$128=A21)*('Data-Input'!$B$29:$B$128="Tag")*((('Data-Input'!$C$29:$C$128=$K$1)+('Data-Input'!$C$29:$C$128=$L$1))&gt;0)*('Data-Input'!$D$29:$D$128-'Data-Input'!$E$29:$E$128))+SUMPRODUCT(('Data-Input'!$A$29:$A$128=A21)*('Data-Input'!$B$29:$B$128="Hero")*('Data-Input'!$C$29:$C$128=$A$1)*('Data-Input'!$D$29:$D$128-'Data-Input'!$E$29:$E$128))+SUMPRODUCT(('Data-Input'!$A$29:$A$128=A21)*('Data-Input'!$B$29:$B$128="Role")*((('Data-Input'!$C$29:$C$128=$B$1)+('Data-Input'!$C$29:$C$128=$AH$1))&gt;0)*('Data-Input'!$D$29:$D$128-'Data-Input'!$E$29:$E$128))+SUMPRODUCT(('Data-Input'!$A$29:$A$128=A21)*('Data-Input'!$B$29:$B$128="DamageType")*('Data-Input'!$C$29:$C$128=$E$1)*('Data-Input'!$D$29:$D$128-'Data-Input'!$E$29:$E$128))+SUMPRODUCT(('Data-Input'!$A$29:$A$128=A21)*('Data-Input'!$B$29:$B$128="Resource")*('Data-Input'!$C$29:$C$128=$AB$1)*('Data-Input'!$D$29:$D$128-'Data-Input'!$E$29:$E$128)))</f>
        <v/>
      </c>
      <c r="AE21">
        <f>Heroes!$R21</f>
        <v/>
      </c>
      <c r="AF21">
        <f>IF($A$1="",0,IF(AND(OR(W21="Dash/Blink",W21="High Mobility",W21="Global Dive",W21="Mobility",X21="Dash/Blink",X21="High Mobility",X21="Global Dive",X21="Mobility"),$AA$1="Ranged"),$AC$1,0))</f>
        <v/>
      </c>
      <c r="AG21">
        <f>IF($A$1="",0,IF(AND(AE21="Yes",OR($K$1="Sustain",$K$1="Healing",$L$1="Sustain",$L$1="Healing")),$AD$1,0))</f>
        <v/>
      </c>
    </row>
    <row r="22" ht="15" customHeight="1">
      <c r="A22">
        <f>Heroes!$B22</f>
        <v/>
      </c>
      <c r="B22">
        <f>Heroes!$C22</f>
        <v/>
      </c>
      <c r="C22">
        <f>Heroes!$D22</f>
        <v/>
      </c>
      <c r="D22">
        <f>Heroes!$E22</f>
        <v/>
      </c>
      <c r="E22">
        <f>Heroes!$F22</f>
        <v/>
      </c>
      <c r="F22">
        <f>Heroes!$H22</f>
        <v/>
      </c>
      <c r="G22">
        <f>Heroes!$K22</f>
        <v/>
      </c>
      <c r="H22">
        <f>Heroes!$Q22</f>
        <v/>
      </c>
      <c r="I22">
        <f>IFERROR(INDEX('Data-Input'!$B$19:$G$24,MATCH(B22,'Data-Input'!$A$19:$A$24,0),MATCH($B$1,'Data-Input'!$B$18:$G$18,0)),0)</f>
        <v/>
      </c>
      <c r="J22">
        <f>IF(C22&lt;&gt;"",IFERROR(INDEX('Data-Input'!$B$19:$G$24,MATCH(C22,'Data-Input'!$A$19:$A$24,0),MATCH($B$1,'Data-Input'!$B$18:$G$18,0)),0),I22)</f>
        <v/>
      </c>
      <c r="K22">
        <f>MAX(I22,J22)</f>
        <v/>
      </c>
      <c r="L22">
        <f>((D22+E22)/2-$C$1)*$H$1</f>
        <v/>
      </c>
      <c r="M22">
        <f>F22-$D$1</f>
        <v/>
      </c>
      <c r="N22">
        <f>IF(M22&gt;20,M22*$I$1,0)</f>
        <v/>
      </c>
      <c r="O22">
        <f>IF(G22="Mixed",$Q$1,IF(G22=$E$1,$O$1,$P$1))</f>
        <v/>
      </c>
      <c r="P22">
        <f>(H22-$F$1)*$N$1</f>
        <v/>
      </c>
      <c r="Q22">
        <f>K22*$G$1+L22+N22+O22+P22+Y22+Z22+AF22+AG22</f>
        <v/>
      </c>
      <c r="R22">
        <f>IFERROR(INDEX('Data-Input'!$C$190:$C$1189,MATCH(A22&amp;"|"&amp;$A$1,'Data-Input'!$E$190:$E$1189,0)),Q22)</f>
        <v/>
      </c>
      <c r="S22">
        <f>IF(OR($A$1="",A22=$A$1),-1000000000000000,R22)</f>
        <v/>
      </c>
      <c r="T22">
        <f>S22+ROW()*0.0000001</f>
        <v/>
      </c>
      <c r="U22">
        <f>Heroes!$M22</f>
        <v/>
      </c>
      <c r="V22">
        <f>IF(OR($A$1="",A22=$A$1,U22="",U22&lt;&gt;$J$1),-1000000000000000,R22)+ROW()*0.0000001</f>
        <v/>
      </c>
      <c r="W22">
        <f>Heroes!$I22</f>
        <v/>
      </c>
      <c r="X22">
        <f>Heroes!$J22</f>
        <v/>
      </c>
      <c r="Y22">
        <f>IF($A$1="",0,MAX(IF(W22&lt;&gt;"",IFERROR(INDEX('Data-Input'!$B$164:$W$185,MATCH(W22,'Data-Input'!$A$164:$A$185,0),MATCH($K$1,'Data-Input'!$B$163:$W$163,0)),0),0),IF(AND(W22&lt;&gt;"",$L$1&lt;&gt;""),IFERROR(INDEX('Data-Input'!$B$164:$W$185,MATCH(W22,'Data-Input'!$A$164:$A$185,0),MATCH($L$1,'Data-Input'!$B$163:$W$163,0)),0),0),IF(X22&lt;&gt;"",IFERROR(INDEX('Data-Input'!$B$164:$W$185,MATCH(X22,'Data-Input'!$A$164:$A$185,0),MATCH($K$1,'Data-Input'!$B$163:$W$163,0)),0),0),IF(AND(X22&lt;&gt;"",$L$1&lt;&gt;""),IFERROR(INDEX('Data-Input'!$B$164:$W$185,MATCH(X22,'Data-Input'!$A$164:$A$185,0),MATCH($L$1,'Data-Input'!$B$163:$W$163,0)),0),0))*$M$1)</f>
        <v/>
      </c>
      <c r="Z22">
        <f>IF($A$1="",0,SUMPRODUCT(('Data-Input'!$A$29:$A$128=A22)*('Data-Input'!$B$29:$B$128="Tag")*((('Data-Input'!$C$29:$C$128=$K$1)+('Data-Input'!$C$29:$C$128=$L$1))&gt;0)*('Data-Input'!$D$29:$D$128-'Data-Input'!$E$29:$E$128))+SUMPRODUCT(('Data-Input'!$A$29:$A$128=A22)*('Data-Input'!$B$29:$B$128="Hero")*('Data-Input'!$C$29:$C$128=$A$1)*('Data-Input'!$D$29:$D$128-'Data-Input'!$E$29:$E$128))+SUMPRODUCT(('Data-Input'!$A$29:$A$128=A22)*('Data-Input'!$B$29:$B$128="Role")*((('Data-Input'!$C$29:$C$128=$B$1)+('Data-Input'!$C$29:$C$128=$AH$1))&gt;0)*('Data-Input'!$D$29:$D$128-'Data-Input'!$E$29:$E$128))+SUMPRODUCT(('Data-Input'!$A$29:$A$128=A22)*('Data-Input'!$B$29:$B$128="DamageType")*('Data-Input'!$C$29:$C$128=$E$1)*('Data-Input'!$D$29:$D$128-'Data-Input'!$E$29:$E$128))+SUMPRODUCT(('Data-Input'!$A$29:$A$128=A22)*('Data-Input'!$B$29:$B$128="Resource")*('Data-Input'!$C$29:$C$128=$AB$1)*('Data-Input'!$D$29:$D$128-'Data-Input'!$E$29:$E$128)))</f>
        <v/>
      </c>
      <c r="AE22">
        <f>Heroes!$R22</f>
        <v/>
      </c>
      <c r="AF22">
        <f>IF($A$1="",0,IF(AND(OR(W22="Dash/Blink",W22="High Mobility",W22="Global Dive",W22="Mobility",X22="Dash/Blink",X22="High Mobility",X22="Global Dive",X22="Mobility"),$AA$1="Ranged"),$AC$1,0))</f>
        <v/>
      </c>
      <c r="AG22">
        <f>IF($A$1="",0,IF(AND(AE22="Yes",OR($K$1="Sustain",$K$1="Healing",$L$1="Sustain",$L$1="Healing")),$AD$1,0))</f>
        <v/>
      </c>
    </row>
    <row r="23" ht="15" customHeight="1">
      <c r="A23">
        <f>Heroes!$B23</f>
        <v/>
      </c>
      <c r="B23">
        <f>Heroes!$C23</f>
        <v/>
      </c>
      <c r="C23">
        <f>Heroes!$D23</f>
        <v/>
      </c>
      <c r="D23">
        <f>Heroes!$E23</f>
        <v/>
      </c>
      <c r="E23">
        <f>Heroes!$F23</f>
        <v/>
      </c>
      <c r="F23">
        <f>Heroes!$H23</f>
        <v/>
      </c>
      <c r="G23">
        <f>Heroes!$K23</f>
        <v/>
      </c>
      <c r="H23">
        <f>Heroes!$Q23</f>
        <v/>
      </c>
      <c r="I23">
        <f>IFERROR(INDEX('Data-Input'!$B$19:$G$24,MATCH(B23,'Data-Input'!$A$19:$A$24,0),MATCH($B$1,'Data-Input'!$B$18:$G$18,0)),0)</f>
        <v/>
      </c>
      <c r="J23">
        <f>IF(C23&lt;&gt;"",IFERROR(INDEX('Data-Input'!$B$19:$G$24,MATCH(C23,'Data-Input'!$A$19:$A$24,0),MATCH($B$1,'Data-Input'!$B$18:$G$18,0)),0),I23)</f>
        <v/>
      </c>
      <c r="K23">
        <f>MAX(I23,J23)</f>
        <v/>
      </c>
      <c r="L23">
        <f>((D23+E23)/2-$C$1)*$H$1</f>
        <v/>
      </c>
      <c r="M23">
        <f>F23-$D$1</f>
        <v/>
      </c>
      <c r="N23">
        <f>IF(M23&gt;20,M23*$I$1,0)</f>
        <v/>
      </c>
      <c r="O23">
        <f>IF(G23="Mixed",$Q$1,IF(G23=$E$1,$O$1,$P$1))</f>
        <v/>
      </c>
      <c r="P23">
        <f>(H23-$F$1)*$N$1</f>
        <v/>
      </c>
      <c r="Q23">
        <f>K23*$G$1+L23+N23+O23+P23+Y23+Z23+AF23+AG23</f>
        <v/>
      </c>
      <c r="R23">
        <f>IFERROR(INDEX('Data-Input'!$C$190:$C$1189,MATCH(A23&amp;"|"&amp;$A$1,'Data-Input'!$E$190:$E$1189,0)),Q23)</f>
        <v/>
      </c>
      <c r="S23">
        <f>IF(OR($A$1="",A23=$A$1),-1000000000000000,R23)</f>
        <v/>
      </c>
      <c r="T23">
        <f>S23+ROW()*0.0000001</f>
        <v/>
      </c>
      <c r="U23">
        <f>Heroes!$M23</f>
        <v/>
      </c>
      <c r="V23">
        <f>IF(OR($A$1="",A23=$A$1,U23="",U23&lt;&gt;$J$1),-1000000000000000,R23)+ROW()*0.0000001</f>
        <v/>
      </c>
      <c r="W23">
        <f>Heroes!$I23</f>
        <v/>
      </c>
      <c r="X23">
        <f>Heroes!$J23</f>
        <v/>
      </c>
      <c r="Y23">
        <f>IF($A$1="",0,MAX(IF(W23&lt;&gt;"",IFERROR(INDEX('Data-Input'!$B$164:$W$185,MATCH(W23,'Data-Input'!$A$164:$A$185,0),MATCH($K$1,'Data-Input'!$B$163:$W$163,0)),0),0),IF(AND(W23&lt;&gt;"",$L$1&lt;&gt;""),IFERROR(INDEX('Data-Input'!$B$164:$W$185,MATCH(W23,'Data-Input'!$A$164:$A$185,0),MATCH($L$1,'Data-Input'!$B$163:$W$163,0)),0),0),IF(X23&lt;&gt;"",IFERROR(INDEX('Data-Input'!$B$164:$W$185,MATCH(X23,'Data-Input'!$A$164:$A$185,0),MATCH($K$1,'Data-Input'!$B$163:$W$163,0)),0),0),IF(AND(X23&lt;&gt;"",$L$1&lt;&gt;""),IFERROR(INDEX('Data-Input'!$B$164:$W$185,MATCH(X23,'Data-Input'!$A$164:$A$185,0),MATCH($L$1,'Data-Input'!$B$163:$W$163,0)),0),0))*$M$1)</f>
        <v/>
      </c>
      <c r="Z23">
        <f>IF($A$1="",0,SUMPRODUCT(('Data-Input'!$A$29:$A$128=A23)*('Data-Input'!$B$29:$B$128="Tag")*((('Data-Input'!$C$29:$C$128=$K$1)+('Data-Input'!$C$29:$C$128=$L$1))&gt;0)*('Data-Input'!$D$29:$D$128-'Data-Input'!$E$29:$E$128))+SUMPRODUCT(('Data-Input'!$A$29:$A$128=A23)*('Data-Input'!$B$29:$B$128="Hero")*('Data-Input'!$C$29:$C$128=$A$1)*('Data-Input'!$D$29:$D$128-'Data-Input'!$E$29:$E$128))+SUMPRODUCT(('Data-Input'!$A$29:$A$128=A23)*('Data-Input'!$B$29:$B$128="Role")*((('Data-Input'!$C$29:$C$128=$B$1)+('Data-Input'!$C$29:$C$128=$AH$1))&gt;0)*('Data-Input'!$D$29:$D$128-'Data-Input'!$E$29:$E$128))+SUMPRODUCT(('Data-Input'!$A$29:$A$128=A23)*('Data-Input'!$B$29:$B$128="DamageType")*('Data-Input'!$C$29:$C$128=$E$1)*('Data-Input'!$D$29:$D$128-'Data-Input'!$E$29:$E$128))+SUMPRODUCT(('Data-Input'!$A$29:$A$128=A23)*('Data-Input'!$B$29:$B$128="Resource")*('Data-Input'!$C$29:$C$128=$AB$1)*('Data-Input'!$D$29:$D$128-'Data-Input'!$E$29:$E$128)))</f>
        <v/>
      </c>
      <c r="AE23">
        <f>Heroes!$R23</f>
        <v/>
      </c>
      <c r="AF23">
        <f>IF($A$1="",0,IF(AND(OR(W23="Dash/Blink",W23="High Mobility",W23="Global Dive",W23="Mobility",X23="Dash/Blink",X23="High Mobility",X23="Global Dive",X23="Mobility"),$AA$1="Ranged"),$AC$1,0))</f>
        <v/>
      </c>
      <c r="AG23">
        <f>IF($A$1="",0,IF(AND(AE23="Yes",OR($K$1="Sustain",$K$1="Healing",$L$1="Sustain",$L$1="Healing")),$AD$1,0))</f>
        <v/>
      </c>
    </row>
    <row r="24" ht="15" customHeight="1">
      <c r="A24">
        <f>Heroes!$B24</f>
        <v/>
      </c>
      <c r="B24">
        <f>Heroes!$C24</f>
        <v/>
      </c>
      <c r="C24">
        <f>Heroes!$D24</f>
        <v/>
      </c>
      <c r="D24">
        <f>Heroes!$E24</f>
        <v/>
      </c>
      <c r="E24">
        <f>Heroes!$F24</f>
        <v/>
      </c>
      <c r="F24">
        <f>Heroes!$H24</f>
        <v/>
      </c>
      <c r="G24">
        <f>Heroes!$K24</f>
        <v/>
      </c>
      <c r="H24">
        <f>Heroes!$Q24</f>
        <v/>
      </c>
      <c r="I24">
        <f>IFERROR(INDEX('Data-Input'!$B$19:$G$24,MATCH(B24,'Data-Input'!$A$19:$A$24,0),MATCH($B$1,'Data-Input'!$B$18:$G$18,0)),0)</f>
        <v/>
      </c>
      <c r="J24">
        <f>IF(C24&lt;&gt;"",IFERROR(INDEX('Data-Input'!$B$19:$G$24,MATCH(C24,'Data-Input'!$A$19:$A$24,0),MATCH($B$1,'Data-Input'!$B$18:$G$18,0)),0),I24)</f>
        <v/>
      </c>
      <c r="K24">
        <f>MAX(I24,J24)</f>
        <v/>
      </c>
      <c r="L24">
        <f>((D24+E24)/2-$C$1)*$H$1</f>
        <v/>
      </c>
      <c r="M24">
        <f>F24-$D$1</f>
        <v/>
      </c>
      <c r="N24">
        <f>IF(M24&gt;20,M24*$I$1,0)</f>
        <v/>
      </c>
      <c r="O24">
        <f>IF(G24="Mixed",$Q$1,IF(G24=$E$1,$O$1,$P$1))</f>
        <v/>
      </c>
      <c r="P24">
        <f>(H24-$F$1)*$N$1</f>
        <v/>
      </c>
      <c r="Q24">
        <f>K24*$G$1+L24+N24+O24+P24+Y24+Z24+AF24+AG24</f>
        <v/>
      </c>
      <c r="R24">
        <f>IFERROR(INDEX('Data-Input'!$C$190:$C$1189,MATCH(A24&amp;"|"&amp;$A$1,'Data-Input'!$E$190:$E$1189,0)),Q24)</f>
        <v/>
      </c>
      <c r="S24">
        <f>IF(OR($A$1="",A24=$A$1),-1000000000000000,R24)</f>
        <v/>
      </c>
      <c r="T24">
        <f>S24+ROW()*0.0000001</f>
        <v/>
      </c>
      <c r="U24">
        <f>Heroes!$M24</f>
        <v/>
      </c>
      <c r="V24">
        <f>IF(OR($A$1="",A24=$A$1,U24="",U24&lt;&gt;$J$1),-1000000000000000,R24)+ROW()*0.0000001</f>
        <v/>
      </c>
      <c r="W24">
        <f>Heroes!$I24</f>
        <v/>
      </c>
      <c r="X24">
        <f>Heroes!$J24</f>
        <v/>
      </c>
      <c r="Y24">
        <f>IF($A$1="",0,MAX(IF(W24&lt;&gt;"",IFERROR(INDEX('Data-Input'!$B$164:$W$185,MATCH(W24,'Data-Input'!$A$164:$A$185,0),MATCH($K$1,'Data-Input'!$B$163:$W$163,0)),0),0),IF(AND(W24&lt;&gt;"",$L$1&lt;&gt;""),IFERROR(INDEX('Data-Input'!$B$164:$W$185,MATCH(W24,'Data-Input'!$A$164:$A$185,0),MATCH($L$1,'Data-Input'!$B$163:$W$163,0)),0),0),IF(X24&lt;&gt;"",IFERROR(INDEX('Data-Input'!$B$164:$W$185,MATCH(X24,'Data-Input'!$A$164:$A$185,0),MATCH($K$1,'Data-Input'!$B$163:$W$163,0)),0),0),IF(AND(X24&lt;&gt;"",$L$1&lt;&gt;""),IFERROR(INDEX('Data-Input'!$B$164:$W$185,MATCH(X24,'Data-Input'!$A$164:$A$185,0),MATCH($L$1,'Data-Input'!$B$163:$W$163,0)),0),0))*$M$1)</f>
        <v/>
      </c>
      <c r="Z24">
        <f>IF($A$1="",0,SUMPRODUCT(('Data-Input'!$A$29:$A$128=A24)*('Data-Input'!$B$29:$B$128="Tag")*((('Data-Input'!$C$29:$C$128=$K$1)+('Data-Input'!$C$29:$C$128=$L$1))&gt;0)*('Data-Input'!$D$29:$D$128-'Data-Input'!$E$29:$E$128))+SUMPRODUCT(('Data-Input'!$A$29:$A$128=A24)*('Data-Input'!$B$29:$B$128="Hero")*('Data-Input'!$C$29:$C$128=$A$1)*('Data-Input'!$D$29:$D$128-'Data-Input'!$E$29:$E$128))+SUMPRODUCT(('Data-Input'!$A$29:$A$128=A24)*('Data-Input'!$B$29:$B$128="Role")*((('Data-Input'!$C$29:$C$128=$B$1)+('Data-Input'!$C$29:$C$128=$AH$1))&gt;0)*('Data-Input'!$D$29:$D$128-'Data-Input'!$E$29:$E$128))+SUMPRODUCT(('Data-Input'!$A$29:$A$128=A24)*('Data-Input'!$B$29:$B$128="DamageType")*('Data-Input'!$C$29:$C$128=$E$1)*('Data-Input'!$D$29:$D$128-'Data-Input'!$E$29:$E$128))+SUMPRODUCT(('Data-Input'!$A$29:$A$128=A24)*('Data-Input'!$B$29:$B$128="Resource")*('Data-Input'!$C$29:$C$128=$AB$1)*('Data-Input'!$D$29:$D$128-'Data-Input'!$E$29:$E$128)))</f>
        <v/>
      </c>
      <c r="AE24">
        <f>Heroes!$R24</f>
        <v/>
      </c>
      <c r="AF24">
        <f>IF($A$1="",0,IF(AND(OR(W24="Dash/Blink",W24="High Mobility",W24="Global Dive",W24="Mobility",X24="Dash/Blink",X24="High Mobility",X24="Global Dive",X24="Mobility"),$AA$1="Ranged"),$AC$1,0))</f>
        <v/>
      </c>
      <c r="AG24">
        <f>IF($A$1="",0,IF(AND(AE24="Yes",OR($K$1="Sustain",$K$1="Healing",$L$1="Sustain",$L$1="Healing")),$AD$1,0))</f>
        <v/>
      </c>
    </row>
    <row r="25" ht="15" customHeight="1">
      <c r="A25">
        <f>Heroes!$B25</f>
        <v/>
      </c>
      <c r="B25">
        <f>Heroes!$C25</f>
        <v/>
      </c>
      <c r="C25">
        <f>Heroes!$D25</f>
        <v/>
      </c>
      <c r="D25">
        <f>Heroes!$E25</f>
        <v/>
      </c>
      <c r="E25">
        <f>Heroes!$F25</f>
        <v/>
      </c>
      <c r="F25">
        <f>Heroes!$H25</f>
        <v/>
      </c>
      <c r="G25">
        <f>Heroes!$K25</f>
        <v/>
      </c>
      <c r="H25">
        <f>Heroes!$Q25</f>
        <v/>
      </c>
      <c r="I25">
        <f>IFERROR(INDEX('Data-Input'!$B$19:$G$24,MATCH(B25,'Data-Input'!$A$19:$A$24,0),MATCH($B$1,'Data-Input'!$B$18:$G$18,0)),0)</f>
        <v/>
      </c>
      <c r="J25">
        <f>IF(C25&lt;&gt;"",IFERROR(INDEX('Data-Input'!$B$19:$G$24,MATCH(C25,'Data-Input'!$A$19:$A$24,0),MATCH($B$1,'Data-Input'!$B$18:$G$18,0)),0),I25)</f>
        <v/>
      </c>
      <c r="K25">
        <f>MAX(I25,J25)</f>
        <v/>
      </c>
      <c r="L25">
        <f>((D25+E25)/2-$C$1)*$H$1</f>
        <v/>
      </c>
      <c r="M25">
        <f>F25-$D$1</f>
        <v/>
      </c>
      <c r="N25">
        <f>IF(M25&gt;20,M25*$I$1,0)</f>
        <v/>
      </c>
      <c r="O25">
        <f>IF(G25="Mixed",$Q$1,IF(G25=$E$1,$O$1,$P$1))</f>
        <v/>
      </c>
      <c r="P25">
        <f>(H25-$F$1)*$N$1</f>
        <v/>
      </c>
      <c r="Q25">
        <f>K25*$G$1+L25+N25+O25+P25+Y25+Z25+AF25+AG25</f>
        <v/>
      </c>
      <c r="R25">
        <f>IFERROR(INDEX('Data-Input'!$C$190:$C$1189,MATCH(A25&amp;"|"&amp;$A$1,'Data-Input'!$E$190:$E$1189,0)),Q25)</f>
        <v/>
      </c>
      <c r="S25">
        <f>IF(OR($A$1="",A25=$A$1),-1000000000000000,R25)</f>
        <v/>
      </c>
      <c r="T25">
        <f>S25+ROW()*0.0000001</f>
        <v/>
      </c>
      <c r="U25">
        <f>Heroes!$M25</f>
        <v/>
      </c>
      <c r="V25">
        <f>IF(OR($A$1="",A25=$A$1,U25="",U25&lt;&gt;$J$1),-1000000000000000,R25)+ROW()*0.0000001</f>
        <v/>
      </c>
      <c r="W25">
        <f>Heroes!$I25</f>
        <v/>
      </c>
      <c r="X25">
        <f>Heroes!$J25</f>
        <v/>
      </c>
      <c r="Y25">
        <f>IF($A$1="",0,MAX(IF(W25&lt;&gt;"",IFERROR(INDEX('Data-Input'!$B$164:$W$185,MATCH(W25,'Data-Input'!$A$164:$A$185,0),MATCH($K$1,'Data-Input'!$B$163:$W$163,0)),0),0),IF(AND(W25&lt;&gt;"",$L$1&lt;&gt;""),IFERROR(INDEX('Data-Input'!$B$164:$W$185,MATCH(W25,'Data-Input'!$A$164:$A$185,0),MATCH($L$1,'Data-Input'!$B$163:$W$163,0)),0),0),IF(X25&lt;&gt;"",IFERROR(INDEX('Data-Input'!$B$164:$W$185,MATCH(X25,'Data-Input'!$A$164:$A$185,0),MATCH($K$1,'Data-Input'!$B$163:$W$163,0)),0),0),IF(AND(X25&lt;&gt;"",$L$1&lt;&gt;""),IFERROR(INDEX('Data-Input'!$B$164:$W$185,MATCH(X25,'Data-Input'!$A$164:$A$185,0),MATCH($L$1,'Data-Input'!$B$163:$W$163,0)),0),0))*$M$1)</f>
        <v/>
      </c>
      <c r="Z25">
        <f>IF($A$1="",0,SUMPRODUCT(('Data-Input'!$A$29:$A$128=A25)*('Data-Input'!$B$29:$B$128="Tag")*((('Data-Input'!$C$29:$C$128=$K$1)+('Data-Input'!$C$29:$C$128=$L$1))&gt;0)*('Data-Input'!$D$29:$D$128-'Data-Input'!$E$29:$E$128))+SUMPRODUCT(('Data-Input'!$A$29:$A$128=A25)*('Data-Input'!$B$29:$B$128="Hero")*('Data-Input'!$C$29:$C$128=$A$1)*('Data-Input'!$D$29:$D$128-'Data-Input'!$E$29:$E$128))+SUMPRODUCT(('Data-Input'!$A$29:$A$128=A25)*('Data-Input'!$B$29:$B$128="Role")*((('Data-Input'!$C$29:$C$128=$B$1)+('Data-Input'!$C$29:$C$128=$AH$1))&gt;0)*('Data-Input'!$D$29:$D$128-'Data-Input'!$E$29:$E$128))+SUMPRODUCT(('Data-Input'!$A$29:$A$128=A25)*('Data-Input'!$B$29:$B$128="DamageType")*('Data-Input'!$C$29:$C$128=$E$1)*('Data-Input'!$D$29:$D$128-'Data-Input'!$E$29:$E$128))+SUMPRODUCT(('Data-Input'!$A$29:$A$128=A25)*('Data-Input'!$B$29:$B$128="Resource")*('Data-Input'!$C$29:$C$128=$AB$1)*('Data-Input'!$D$29:$D$128-'Data-Input'!$E$29:$E$128)))</f>
        <v/>
      </c>
      <c r="AE25">
        <f>Heroes!$R25</f>
        <v/>
      </c>
      <c r="AF25">
        <f>IF($A$1="",0,IF(AND(OR(W25="Dash/Blink",W25="High Mobility",W25="Global Dive",W25="Mobility",X25="Dash/Blink",X25="High Mobility",X25="Global Dive",X25="Mobility"),$AA$1="Ranged"),$AC$1,0))</f>
        <v/>
      </c>
      <c r="AG25">
        <f>IF($A$1="",0,IF(AND(AE25="Yes",OR($K$1="Sustain",$K$1="Healing",$L$1="Sustain",$L$1="Healing")),$AD$1,0))</f>
        <v/>
      </c>
    </row>
    <row r="26" ht="15" customHeight="1">
      <c r="A26">
        <f>Heroes!$B26</f>
        <v/>
      </c>
      <c r="B26">
        <f>Heroes!$C26</f>
        <v/>
      </c>
      <c r="C26">
        <f>Heroes!$D26</f>
        <v/>
      </c>
      <c r="D26">
        <f>Heroes!$E26</f>
        <v/>
      </c>
      <c r="E26">
        <f>Heroes!$F26</f>
        <v/>
      </c>
      <c r="F26">
        <f>Heroes!$H26</f>
        <v/>
      </c>
      <c r="G26">
        <f>Heroes!$K26</f>
        <v/>
      </c>
      <c r="H26">
        <f>Heroes!$Q26</f>
        <v/>
      </c>
      <c r="I26">
        <f>IFERROR(INDEX('Data-Input'!$B$19:$G$24,MATCH(B26,'Data-Input'!$A$19:$A$24,0),MATCH($B$1,'Data-Input'!$B$18:$G$18,0)),0)</f>
        <v/>
      </c>
      <c r="J26">
        <f>IF(C26&lt;&gt;"",IFERROR(INDEX('Data-Input'!$B$19:$G$24,MATCH(C26,'Data-Input'!$A$19:$A$24,0),MATCH($B$1,'Data-Input'!$B$18:$G$18,0)),0),I26)</f>
        <v/>
      </c>
      <c r="K26">
        <f>MAX(I26,J26)</f>
        <v/>
      </c>
      <c r="L26">
        <f>((D26+E26)/2-$C$1)*$H$1</f>
        <v/>
      </c>
      <c r="M26">
        <f>F26-$D$1</f>
        <v/>
      </c>
      <c r="N26">
        <f>IF(M26&gt;20,M26*$I$1,0)</f>
        <v/>
      </c>
      <c r="O26">
        <f>IF(G26="Mixed",$Q$1,IF(G26=$E$1,$O$1,$P$1))</f>
        <v/>
      </c>
      <c r="P26">
        <f>(H26-$F$1)*$N$1</f>
        <v/>
      </c>
      <c r="Q26">
        <f>K26*$G$1+L26+N26+O26+P26+Y26+Z26+AF26+AG26</f>
        <v/>
      </c>
      <c r="R26">
        <f>IFERROR(INDEX('Data-Input'!$C$190:$C$1189,MATCH(A26&amp;"|"&amp;$A$1,'Data-Input'!$E$190:$E$1189,0)),Q26)</f>
        <v/>
      </c>
      <c r="S26">
        <f>IF(OR($A$1="",A26=$A$1),-1000000000000000,R26)</f>
        <v/>
      </c>
      <c r="T26">
        <f>S26+ROW()*0.0000001</f>
        <v/>
      </c>
      <c r="U26">
        <f>Heroes!$M26</f>
        <v/>
      </c>
      <c r="V26">
        <f>IF(OR($A$1="",A26=$A$1,U26="",U26&lt;&gt;$J$1),-1000000000000000,R26)+ROW()*0.0000001</f>
        <v/>
      </c>
      <c r="W26">
        <f>Heroes!$I26</f>
        <v/>
      </c>
      <c r="X26">
        <f>Heroes!$J26</f>
        <v/>
      </c>
      <c r="Y26">
        <f>IF($A$1="",0,MAX(IF(W26&lt;&gt;"",IFERROR(INDEX('Data-Input'!$B$164:$W$185,MATCH(W26,'Data-Input'!$A$164:$A$185,0),MATCH($K$1,'Data-Input'!$B$163:$W$163,0)),0),0),IF(AND(W26&lt;&gt;"",$L$1&lt;&gt;""),IFERROR(INDEX('Data-Input'!$B$164:$W$185,MATCH(W26,'Data-Input'!$A$164:$A$185,0),MATCH($L$1,'Data-Input'!$B$163:$W$163,0)),0),0),IF(X26&lt;&gt;"",IFERROR(INDEX('Data-Input'!$B$164:$W$185,MATCH(X26,'Data-Input'!$A$164:$A$185,0),MATCH($K$1,'Data-Input'!$B$163:$W$163,0)),0),0),IF(AND(X26&lt;&gt;"",$L$1&lt;&gt;""),IFERROR(INDEX('Data-Input'!$B$164:$W$185,MATCH(X26,'Data-Input'!$A$164:$A$185,0),MATCH($L$1,'Data-Input'!$B$163:$W$163,0)),0),0))*$M$1)</f>
        <v/>
      </c>
      <c r="Z26">
        <f>IF($A$1="",0,SUMPRODUCT(('Data-Input'!$A$29:$A$128=A26)*('Data-Input'!$B$29:$B$128="Tag")*((('Data-Input'!$C$29:$C$128=$K$1)+('Data-Input'!$C$29:$C$128=$L$1))&gt;0)*('Data-Input'!$D$29:$D$128-'Data-Input'!$E$29:$E$128))+SUMPRODUCT(('Data-Input'!$A$29:$A$128=A26)*('Data-Input'!$B$29:$B$128="Hero")*('Data-Input'!$C$29:$C$128=$A$1)*('Data-Input'!$D$29:$D$128-'Data-Input'!$E$29:$E$128))+SUMPRODUCT(('Data-Input'!$A$29:$A$128=A26)*('Data-Input'!$B$29:$B$128="Role")*((('Data-Input'!$C$29:$C$128=$B$1)+('Data-Input'!$C$29:$C$128=$AH$1))&gt;0)*('Data-Input'!$D$29:$D$128-'Data-Input'!$E$29:$E$128))+SUMPRODUCT(('Data-Input'!$A$29:$A$128=A26)*('Data-Input'!$B$29:$B$128="DamageType")*('Data-Input'!$C$29:$C$128=$E$1)*('Data-Input'!$D$29:$D$128-'Data-Input'!$E$29:$E$128))+SUMPRODUCT(('Data-Input'!$A$29:$A$128=A26)*('Data-Input'!$B$29:$B$128="Resource")*('Data-Input'!$C$29:$C$128=$AB$1)*('Data-Input'!$D$29:$D$128-'Data-Input'!$E$29:$E$128)))</f>
        <v/>
      </c>
      <c r="AE26">
        <f>Heroes!$R26</f>
        <v/>
      </c>
      <c r="AF26">
        <f>IF($A$1="",0,IF(AND(OR(W26="Dash/Blink",W26="High Mobility",W26="Global Dive",W26="Mobility",X26="Dash/Blink",X26="High Mobility",X26="Global Dive",X26="Mobility"),$AA$1="Ranged"),$AC$1,0))</f>
        <v/>
      </c>
      <c r="AG26">
        <f>IF($A$1="",0,IF(AND(AE26="Yes",OR($K$1="Sustain",$K$1="Healing",$L$1="Sustain",$L$1="Healing")),$AD$1,0))</f>
        <v/>
      </c>
    </row>
    <row r="27" ht="15" customHeight="1">
      <c r="A27">
        <f>Heroes!$B27</f>
        <v/>
      </c>
      <c r="B27">
        <f>Heroes!$C27</f>
        <v/>
      </c>
      <c r="C27">
        <f>Heroes!$D27</f>
        <v/>
      </c>
      <c r="D27">
        <f>Heroes!$E27</f>
        <v/>
      </c>
      <c r="E27">
        <f>Heroes!$F27</f>
        <v/>
      </c>
      <c r="F27">
        <f>Heroes!$H27</f>
        <v/>
      </c>
      <c r="G27">
        <f>Heroes!$K27</f>
        <v/>
      </c>
      <c r="H27">
        <f>Heroes!$Q27</f>
        <v/>
      </c>
      <c r="I27">
        <f>IFERROR(INDEX('Data-Input'!$B$19:$G$24,MATCH(B27,'Data-Input'!$A$19:$A$24,0),MATCH($B$1,'Data-Input'!$B$18:$G$18,0)),0)</f>
        <v/>
      </c>
      <c r="J27">
        <f>IF(C27&lt;&gt;"",IFERROR(INDEX('Data-Input'!$B$19:$G$24,MATCH(C27,'Data-Input'!$A$19:$A$24,0),MATCH($B$1,'Data-Input'!$B$18:$G$18,0)),0),I27)</f>
        <v/>
      </c>
      <c r="K27">
        <f>MAX(I27,J27)</f>
        <v/>
      </c>
      <c r="L27">
        <f>((D27+E27)/2-$C$1)*$H$1</f>
        <v/>
      </c>
      <c r="M27">
        <f>F27-$D$1</f>
        <v/>
      </c>
      <c r="N27">
        <f>IF(M27&gt;20,M27*$I$1,0)</f>
        <v/>
      </c>
      <c r="O27">
        <f>IF(G27="Mixed",$Q$1,IF(G27=$E$1,$O$1,$P$1))</f>
        <v/>
      </c>
      <c r="P27">
        <f>(H27-$F$1)*$N$1</f>
        <v/>
      </c>
      <c r="Q27">
        <f>K27*$G$1+L27+N27+O27+P27+Y27+Z27+AF27+AG27</f>
        <v/>
      </c>
      <c r="R27">
        <f>IFERROR(INDEX('Data-Input'!$C$190:$C$1189,MATCH(A27&amp;"|"&amp;$A$1,'Data-Input'!$E$190:$E$1189,0)),Q27)</f>
        <v/>
      </c>
      <c r="S27">
        <f>IF(OR($A$1="",A27=$A$1),-1000000000000000,R27)</f>
        <v/>
      </c>
      <c r="T27">
        <f>S27+ROW()*0.0000001</f>
        <v/>
      </c>
      <c r="U27">
        <f>Heroes!$M27</f>
        <v/>
      </c>
      <c r="V27">
        <f>IF(OR($A$1="",A27=$A$1,U27="",U27&lt;&gt;$J$1),-1000000000000000,R27)+ROW()*0.0000001</f>
        <v/>
      </c>
      <c r="W27">
        <f>Heroes!$I27</f>
        <v/>
      </c>
      <c r="X27">
        <f>Heroes!$J27</f>
        <v/>
      </c>
      <c r="Y27">
        <f>IF($A$1="",0,MAX(IF(W27&lt;&gt;"",IFERROR(INDEX('Data-Input'!$B$164:$W$185,MATCH(W27,'Data-Input'!$A$164:$A$185,0),MATCH($K$1,'Data-Input'!$B$163:$W$163,0)),0),0),IF(AND(W27&lt;&gt;"",$L$1&lt;&gt;""),IFERROR(INDEX('Data-Input'!$B$164:$W$185,MATCH(W27,'Data-Input'!$A$164:$A$185,0),MATCH($L$1,'Data-Input'!$B$163:$W$163,0)),0),0),IF(X27&lt;&gt;"",IFERROR(INDEX('Data-Input'!$B$164:$W$185,MATCH(X27,'Data-Input'!$A$164:$A$185,0),MATCH($K$1,'Data-Input'!$B$163:$W$163,0)),0),0),IF(AND(X27&lt;&gt;"",$L$1&lt;&gt;""),IFERROR(INDEX('Data-Input'!$B$164:$W$185,MATCH(X27,'Data-Input'!$A$164:$A$185,0),MATCH($L$1,'Data-Input'!$B$163:$W$163,0)),0),0))*$M$1)</f>
        <v/>
      </c>
      <c r="Z27">
        <f>IF($A$1="",0,SUMPRODUCT(('Data-Input'!$A$29:$A$128=A27)*('Data-Input'!$B$29:$B$128="Tag")*((('Data-Input'!$C$29:$C$128=$K$1)+('Data-Input'!$C$29:$C$128=$L$1))&gt;0)*('Data-Input'!$D$29:$D$128-'Data-Input'!$E$29:$E$128))+SUMPRODUCT(('Data-Input'!$A$29:$A$128=A27)*('Data-Input'!$B$29:$B$128="Hero")*('Data-Input'!$C$29:$C$128=$A$1)*('Data-Input'!$D$29:$D$128-'Data-Input'!$E$29:$E$128))+SUMPRODUCT(('Data-Input'!$A$29:$A$128=A27)*('Data-Input'!$B$29:$B$128="Role")*((('Data-Input'!$C$29:$C$128=$B$1)+('Data-Input'!$C$29:$C$128=$AH$1))&gt;0)*('Data-Input'!$D$29:$D$128-'Data-Input'!$E$29:$E$128))+SUMPRODUCT(('Data-Input'!$A$29:$A$128=A27)*('Data-Input'!$B$29:$B$128="DamageType")*('Data-Input'!$C$29:$C$128=$E$1)*('Data-Input'!$D$29:$D$128-'Data-Input'!$E$29:$E$128))+SUMPRODUCT(('Data-Input'!$A$29:$A$128=A27)*('Data-Input'!$B$29:$B$128="Resource")*('Data-Input'!$C$29:$C$128=$AB$1)*('Data-Input'!$D$29:$D$128-'Data-Input'!$E$29:$E$128)))</f>
        <v/>
      </c>
      <c r="AE27">
        <f>Heroes!$R27</f>
        <v/>
      </c>
      <c r="AF27">
        <f>IF($A$1="",0,IF(AND(OR(W27="Dash/Blink",W27="High Mobility",W27="Global Dive",W27="Mobility",X27="Dash/Blink",X27="High Mobility",X27="Global Dive",X27="Mobility"),$AA$1="Ranged"),$AC$1,0))</f>
        <v/>
      </c>
      <c r="AG27">
        <f>IF($A$1="",0,IF(AND(AE27="Yes",OR($K$1="Sustain",$K$1="Healing",$L$1="Sustain",$L$1="Healing")),$AD$1,0))</f>
        <v/>
      </c>
    </row>
    <row r="28" ht="15" customHeight="1">
      <c r="A28">
        <f>Heroes!$B28</f>
        <v/>
      </c>
      <c r="B28">
        <f>Heroes!$C28</f>
        <v/>
      </c>
      <c r="C28">
        <f>Heroes!$D28</f>
        <v/>
      </c>
      <c r="D28">
        <f>Heroes!$E28</f>
        <v/>
      </c>
      <c r="E28">
        <f>Heroes!$F28</f>
        <v/>
      </c>
      <c r="F28">
        <f>Heroes!$H28</f>
        <v/>
      </c>
      <c r="G28">
        <f>Heroes!$K28</f>
        <v/>
      </c>
      <c r="H28">
        <f>Heroes!$Q28</f>
        <v/>
      </c>
      <c r="I28">
        <f>IFERROR(INDEX('Data-Input'!$B$19:$G$24,MATCH(B28,'Data-Input'!$A$19:$A$24,0),MATCH($B$1,'Data-Input'!$B$18:$G$18,0)),0)</f>
        <v/>
      </c>
      <c r="J28">
        <f>IF(C28&lt;&gt;"",IFERROR(INDEX('Data-Input'!$B$19:$G$24,MATCH(C28,'Data-Input'!$A$19:$A$24,0),MATCH($B$1,'Data-Input'!$B$18:$G$18,0)),0),I28)</f>
        <v/>
      </c>
      <c r="K28">
        <f>MAX(I28,J28)</f>
        <v/>
      </c>
      <c r="L28">
        <f>((D28+E28)/2-$C$1)*$H$1</f>
        <v/>
      </c>
      <c r="M28">
        <f>F28-$D$1</f>
        <v/>
      </c>
      <c r="N28">
        <f>IF(M28&gt;20,M28*$I$1,0)</f>
        <v/>
      </c>
      <c r="O28">
        <f>IF(G28="Mixed",$Q$1,IF(G28=$E$1,$O$1,$P$1))</f>
        <v/>
      </c>
      <c r="P28">
        <f>(H28-$F$1)*$N$1</f>
        <v/>
      </c>
      <c r="Q28">
        <f>K28*$G$1+L28+N28+O28+P28+Y28+Z28+AF28+AG28</f>
        <v/>
      </c>
      <c r="R28">
        <f>IFERROR(INDEX('Data-Input'!$C$190:$C$1189,MATCH(A28&amp;"|"&amp;$A$1,'Data-Input'!$E$190:$E$1189,0)),Q28)</f>
        <v/>
      </c>
      <c r="S28">
        <f>IF(OR($A$1="",A28=$A$1),-1000000000000000,R28)</f>
        <v/>
      </c>
      <c r="T28">
        <f>S28+ROW()*0.0000001</f>
        <v/>
      </c>
      <c r="U28">
        <f>Heroes!$M28</f>
        <v/>
      </c>
      <c r="V28">
        <f>IF(OR($A$1="",A28=$A$1,U28="",U28&lt;&gt;$J$1),-1000000000000000,R28)+ROW()*0.0000001</f>
        <v/>
      </c>
      <c r="W28">
        <f>Heroes!$I28</f>
        <v/>
      </c>
      <c r="X28">
        <f>Heroes!$J28</f>
        <v/>
      </c>
      <c r="Y28">
        <f>IF($A$1="",0,MAX(IF(W28&lt;&gt;"",IFERROR(INDEX('Data-Input'!$B$164:$W$185,MATCH(W28,'Data-Input'!$A$164:$A$185,0),MATCH($K$1,'Data-Input'!$B$163:$W$163,0)),0),0),IF(AND(W28&lt;&gt;"",$L$1&lt;&gt;""),IFERROR(INDEX('Data-Input'!$B$164:$W$185,MATCH(W28,'Data-Input'!$A$164:$A$185,0),MATCH($L$1,'Data-Input'!$B$163:$W$163,0)),0),0),IF(X28&lt;&gt;"",IFERROR(INDEX('Data-Input'!$B$164:$W$185,MATCH(X28,'Data-Input'!$A$164:$A$185,0),MATCH($K$1,'Data-Input'!$B$163:$W$163,0)),0),0),IF(AND(X28&lt;&gt;"",$L$1&lt;&gt;""),IFERROR(INDEX('Data-Input'!$B$164:$W$185,MATCH(X28,'Data-Input'!$A$164:$A$185,0),MATCH($L$1,'Data-Input'!$B$163:$W$163,0)),0),0))*$M$1)</f>
        <v/>
      </c>
      <c r="Z28">
        <f>IF($A$1="",0,SUMPRODUCT(('Data-Input'!$A$29:$A$128=A28)*('Data-Input'!$B$29:$B$128="Tag")*((('Data-Input'!$C$29:$C$128=$K$1)+('Data-Input'!$C$29:$C$128=$L$1))&gt;0)*('Data-Input'!$D$29:$D$128-'Data-Input'!$E$29:$E$128))+SUMPRODUCT(('Data-Input'!$A$29:$A$128=A28)*('Data-Input'!$B$29:$B$128="Hero")*('Data-Input'!$C$29:$C$128=$A$1)*('Data-Input'!$D$29:$D$128-'Data-Input'!$E$29:$E$128))+SUMPRODUCT(('Data-Input'!$A$29:$A$128=A28)*('Data-Input'!$B$29:$B$128="Role")*((('Data-Input'!$C$29:$C$128=$B$1)+('Data-Input'!$C$29:$C$128=$AH$1))&gt;0)*('Data-Input'!$D$29:$D$128-'Data-Input'!$E$29:$E$128))+SUMPRODUCT(('Data-Input'!$A$29:$A$128=A28)*('Data-Input'!$B$29:$B$128="DamageType")*('Data-Input'!$C$29:$C$128=$E$1)*('Data-Input'!$D$29:$D$128-'Data-Input'!$E$29:$E$128))+SUMPRODUCT(('Data-Input'!$A$29:$A$128=A28)*('Data-Input'!$B$29:$B$128="Resource")*('Data-Input'!$C$29:$C$128=$AB$1)*('Data-Input'!$D$29:$D$128-'Data-Input'!$E$29:$E$128)))</f>
        <v/>
      </c>
      <c r="AE28">
        <f>Heroes!$R28</f>
        <v/>
      </c>
      <c r="AF28">
        <f>IF($A$1="",0,IF(AND(OR(W28="Dash/Blink",W28="High Mobility",W28="Global Dive",W28="Mobility",X28="Dash/Blink",X28="High Mobility",X28="Global Dive",X28="Mobility"),$AA$1="Ranged"),$AC$1,0))</f>
        <v/>
      </c>
      <c r="AG28">
        <f>IF($A$1="",0,IF(AND(AE28="Yes",OR($K$1="Sustain",$K$1="Healing",$L$1="Sustain",$L$1="Healing")),$AD$1,0))</f>
        <v/>
      </c>
    </row>
    <row r="29" ht="15" customHeight="1">
      <c r="A29">
        <f>Heroes!$B29</f>
        <v/>
      </c>
      <c r="B29">
        <f>Heroes!$C29</f>
        <v/>
      </c>
      <c r="C29">
        <f>Heroes!$D29</f>
        <v/>
      </c>
      <c r="D29">
        <f>Heroes!$E29</f>
        <v/>
      </c>
      <c r="E29">
        <f>Heroes!$F29</f>
        <v/>
      </c>
      <c r="F29">
        <f>Heroes!$H29</f>
        <v/>
      </c>
      <c r="G29">
        <f>Heroes!$K29</f>
        <v/>
      </c>
      <c r="H29">
        <f>Heroes!$Q29</f>
        <v/>
      </c>
      <c r="I29">
        <f>IFERROR(INDEX('Data-Input'!$B$19:$G$24,MATCH(B29,'Data-Input'!$A$19:$A$24,0),MATCH($B$1,'Data-Input'!$B$18:$G$18,0)),0)</f>
        <v/>
      </c>
      <c r="J29">
        <f>IF(C29&lt;&gt;"",IFERROR(INDEX('Data-Input'!$B$19:$G$24,MATCH(C29,'Data-Input'!$A$19:$A$24,0),MATCH($B$1,'Data-Input'!$B$18:$G$18,0)),0),I29)</f>
        <v/>
      </c>
      <c r="K29">
        <f>MAX(I29,J29)</f>
        <v/>
      </c>
      <c r="L29">
        <f>((D29+E29)/2-$C$1)*$H$1</f>
        <v/>
      </c>
      <c r="M29">
        <f>F29-$D$1</f>
        <v/>
      </c>
      <c r="N29">
        <f>IF(M29&gt;20,M29*$I$1,0)</f>
        <v/>
      </c>
      <c r="O29">
        <f>IF(G29="Mixed",$Q$1,IF(G29=$E$1,$O$1,$P$1))</f>
        <v/>
      </c>
      <c r="P29">
        <f>(H29-$F$1)*$N$1</f>
        <v/>
      </c>
      <c r="Q29">
        <f>K29*$G$1+L29+N29+O29+P29+Y29+Z29+AF29+AG29</f>
        <v/>
      </c>
      <c r="R29">
        <f>IFERROR(INDEX('Data-Input'!$C$190:$C$1189,MATCH(A29&amp;"|"&amp;$A$1,'Data-Input'!$E$190:$E$1189,0)),Q29)</f>
        <v/>
      </c>
      <c r="S29">
        <f>IF(OR($A$1="",A29=$A$1),-1000000000000000,R29)</f>
        <v/>
      </c>
      <c r="T29">
        <f>S29+ROW()*0.0000001</f>
        <v/>
      </c>
      <c r="U29">
        <f>Heroes!$M29</f>
        <v/>
      </c>
      <c r="V29">
        <f>IF(OR($A$1="",A29=$A$1,U29="",U29&lt;&gt;$J$1),-1000000000000000,R29)+ROW()*0.0000001</f>
        <v/>
      </c>
      <c r="W29">
        <f>Heroes!$I29</f>
        <v/>
      </c>
      <c r="X29">
        <f>Heroes!$J29</f>
        <v/>
      </c>
      <c r="Y29">
        <f>IF($A$1="",0,MAX(IF(W29&lt;&gt;"",IFERROR(INDEX('Data-Input'!$B$164:$W$185,MATCH(W29,'Data-Input'!$A$164:$A$185,0),MATCH($K$1,'Data-Input'!$B$163:$W$163,0)),0),0),IF(AND(W29&lt;&gt;"",$L$1&lt;&gt;""),IFERROR(INDEX('Data-Input'!$B$164:$W$185,MATCH(W29,'Data-Input'!$A$164:$A$185,0),MATCH($L$1,'Data-Input'!$B$163:$W$163,0)),0),0),IF(X29&lt;&gt;"",IFERROR(INDEX('Data-Input'!$B$164:$W$185,MATCH(X29,'Data-Input'!$A$164:$A$185,0),MATCH($K$1,'Data-Input'!$B$163:$W$163,0)),0),0),IF(AND(X29&lt;&gt;"",$L$1&lt;&gt;""),IFERROR(INDEX('Data-Input'!$B$164:$W$185,MATCH(X29,'Data-Input'!$A$164:$A$185,0),MATCH($L$1,'Data-Input'!$B$163:$W$163,0)),0),0))*$M$1)</f>
        <v/>
      </c>
      <c r="Z29">
        <f>IF($A$1="",0,SUMPRODUCT(('Data-Input'!$A$29:$A$128=A29)*('Data-Input'!$B$29:$B$128="Tag")*((('Data-Input'!$C$29:$C$128=$K$1)+('Data-Input'!$C$29:$C$128=$L$1))&gt;0)*('Data-Input'!$D$29:$D$128-'Data-Input'!$E$29:$E$128))+SUMPRODUCT(('Data-Input'!$A$29:$A$128=A29)*('Data-Input'!$B$29:$B$128="Hero")*('Data-Input'!$C$29:$C$128=$A$1)*('Data-Input'!$D$29:$D$128-'Data-Input'!$E$29:$E$128))+SUMPRODUCT(('Data-Input'!$A$29:$A$128=A29)*('Data-Input'!$B$29:$B$128="Role")*((('Data-Input'!$C$29:$C$128=$B$1)+('Data-Input'!$C$29:$C$128=$AH$1))&gt;0)*('Data-Input'!$D$29:$D$128-'Data-Input'!$E$29:$E$128))+SUMPRODUCT(('Data-Input'!$A$29:$A$128=A29)*('Data-Input'!$B$29:$B$128="DamageType")*('Data-Input'!$C$29:$C$128=$E$1)*('Data-Input'!$D$29:$D$128-'Data-Input'!$E$29:$E$128))+SUMPRODUCT(('Data-Input'!$A$29:$A$128=A29)*('Data-Input'!$B$29:$B$128="Resource")*('Data-Input'!$C$29:$C$128=$AB$1)*('Data-Input'!$D$29:$D$128-'Data-Input'!$E$29:$E$128)))</f>
        <v/>
      </c>
      <c r="AE29">
        <f>Heroes!$R29</f>
        <v/>
      </c>
      <c r="AF29">
        <f>IF($A$1="",0,IF(AND(OR(W29="Dash/Blink",W29="High Mobility",W29="Global Dive",W29="Mobility",X29="Dash/Blink",X29="High Mobility",X29="Global Dive",X29="Mobility"),$AA$1="Ranged"),$AC$1,0))</f>
        <v/>
      </c>
      <c r="AG29">
        <f>IF($A$1="",0,IF(AND(AE29="Yes",OR($K$1="Sustain",$K$1="Healing",$L$1="Sustain",$L$1="Healing")),$AD$1,0))</f>
        <v/>
      </c>
    </row>
    <row r="30" ht="15" customHeight="1">
      <c r="A30">
        <f>Heroes!$B30</f>
        <v/>
      </c>
      <c r="B30">
        <f>Heroes!$C30</f>
        <v/>
      </c>
      <c r="C30">
        <f>Heroes!$D30</f>
        <v/>
      </c>
      <c r="D30">
        <f>Heroes!$E30</f>
        <v/>
      </c>
      <c r="E30">
        <f>Heroes!$F30</f>
        <v/>
      </c>
      <c r="F30">
        <f>Heroes!$H30</f>
        <v/>
      </c>
      <c r="G30">
        <f>Heroes!$K30</f>
        <v/>
      </c>
      <c r="H30">
        <f>Heroes!$Q30</f>
        <v/>
      </c>
      <c r="I30">
        <f>IFERROR(INDEX('Data-Input'!$B$19:$G$24,MATCH(B30,'Data-Input'!$A$19:$A$24,0),MATCH($B$1,'Data-Input'!$B$18:$G$18,0)),0)</f>
        <v/>
      </c>
      <c r="J30">
        <f>IF(C30&lt;&gt;"",IFERROR(INDEX('Data-Input'!$B$19:$G$24,MATCH(C30,'Data-Input'!$A$19:$A$24,0),MATCH($B$1,'Data-Input'!$B$18:$G$18,0)),0),I30)</f>
        <v/>
      </c>
      <c r="K30">
        <f>MAX(I30,J30)</f>
        <v/>
      </c>
      <c r="L30">
        <f>((D30+E30)/2-$C$1)*$H$1</f>
        <v/>
      </c>
      <c r="M30">
        <f>F30-$D$1</f>
        <v/>
      </c>
      <c r="N30">
        <f>IF(M30&gt;20,M30*$I$1,0)</f>
        <v/>
      </c>
      <c r="O30">
        <f>IF(G30="Mixed",$Q$1,IF(G30=$E$1,$O$1,$P$1))</f>
        <v/>
      </c>
      <c r="P30">
        <f>(H30-$F$1)*$N$1</f>
        <v/>
      </c>
      <c r="Q30">
        <f>K30*$G$1+L30+N30+O30+P30+Y30+Z30+AF30+AG30</f>
        <v/>
      </c>
      <c r="R30">
        <f>IFERROR(INDEX('Data-Input'!$C$190:$C$1189,MATCH(A30&amp;"|"&amp;$A$1,'Data-Input'!$E$190:$E$1189,0)),Q30)</f>
        <v/>
      </c>
      <c r="S30">
        <f>IF(OR($A$1="",A30=$A$1),-1000000000000000,R30)</f>
        <v/>
      </c>
      <c r="T30">
        <f>S30+ROW()*0.0000001</f>
        <v/>
      </c>
      <c r="U30">
        <f>Heroes!$M30</f>
        <v/>
      </c>
      <c r="V30">
        <f>IF(OR($A$1="",A30=$A$1,U30="",U30&lt;&gt;$J$1),-1000000000000000,R30)+ROW()*0.0000001</f>
        <v/>
      </c>
      <c r="W30">
        <f>Heroes!$I30</f>
        <v/>
      </c>
      <c r="X30">
        <f>Heroes!$J30</f>
        <v/>
      </c>
      <c r="Y30">
        <f>IF($A$1="",0,MAX(IF(W30&lt;&gt;"",IFERROR(INDEX('Data-Input'!$B$164:$W$185,MATCH(W30,'Data-Input'!$A$164:$A$185,0),MATCH($K$1,'Data-Input'!$B$163:$W$163,0)),0),0),IF(AND(W30&lt;&gt;"",$L$1&lt;&gt;""),IFERROR(INDEX('Data-Input'!$B$164:$W$185,MATCH(W30,'Data-Input'!$A$164:$A$185,0),MATCH($L$1,'Data-Input'!$B$163:$W$163,0)),0),0),IF(X30&lt;&gt;"",IFERROR(INDEX('Data-Input'!$B$164:$W$185,MATCH(X30,'Data-Input'!$A$164:$A$185,0),MATCH($K$1,'Data-Input'!$B$163:$W$163,0)),0),0),IF(AND(X30&lt;&gt;"",$L$1&lt;&gt;""),IFERROR(INDEX('Data-Input'!$B$164:$W$185,MATCH(X30,'Data-Input'!$A$164:$A$185,0),MATCH($L$1,'Data-Input'!$B$163:$W$163,0)),0),0))*$M$1)</f>
        <v/>
      </c>
      <c r="Z30">
        <f>IF($A$1="",0,SUMPRODUCT(('Data-Input'!$A$29:$A$128=A30)*('Data-Input'!$B$29:$B$128="Tag")*((('Data-Input'!$C$29:$C$128=$K$1)+('Data-Input'!$C$29:$C$128=$L$1))&gt;0)*('Data-Input'!$D$29:$D$128-'Data-Input'!$E$29:$E$128))+SUMPRODUCT(('Data-Input'!$A$29:$A$128=A30)*('Data-Input'!$B$29:$B$128="Hero")*('Data-Input'!$C$29:$C$128=$A$1)*('Data-Input'!$D$29:$D$128-'Data-Input'!$E$29:$E$128))+SUMPRODUCT(('Data-Input'!$A$29:$A$128=A30)*('Data-Input'!$B$29:$B$128="Role")*((('Data-Input'!$C$29:$C$128=$B$1)+('Data-Input'!$C$29:$C$128=$AH$1))&gt;0)*('Data-Input'!$D$29:$D$128-'Data-Input'!$E$29:$E$128))+SUMPRODUCT(('Data-Input'!$A$29:$A$128=A30)*('Data-Input'!$B$29:$B$128="DamageType")*('Data-Input'!$C$29:$C$128=$E$1)*('Data-Input'!$D$29:$D$128-'Data-Input'!$E$29:$E$128))+SUMPRODUCT(('Data-Input'!$A$29:$A$128=A30)*('Data-Input'!$B$29:$B$128="Resource")*('Data-Input'!$C$29:$C$128=$AB$1)*('Data-Input'!$D$29:$D$128-'Data-Input'!$E$29:$E$128)))</f>
        <v/>
      </c>
      <c r="AE30">
        <f>Heroes!$R30</f>
        <v/>
      </c>
      <c r="AF30">
        <f>IF($A$1="",0,IF(AND(OR(W30="Dash/Blink",W30="High Mobility",W30="Global Dive",W30="Mobility",X30="Dash/Blink",X30="High Mobility",X30="Global Dive",X30="Mobility"),$AA$1="Ranged"),$AC$1,0))</f>
        <v/>
      </c>
      <c r="AG30">
        <f>IF($A$1="",0,IF(AND(AE30="Yes",OR($K$1="Sustain",$K$1="Healing",$L$1="Sustain",$L$1="Healing")),$AD$1,0))</f>
        <v/>
      </c>
    </row>
    <row r="31" ht="15" customHeight="1">
      <c r="A31">
        <f>Heroes!$B31</f>
        <v/>
      </c>
      <c r="B31">
        <f>Heroes!$C31</f>
        <v/>
      </c>
      <c r="C31">
        <f>Heroes!$D31</f>
        <v/>
      </c>
      <c r="D31">
        <f>Heroes!$E31</f>
        <v/>
      </c>
      <c r="E31">
        <f>Heroes!$F31</f>
        <v/>
      </c>
      <c r="F31">
        <f>Heroes!$H31</f>
        <v/>
      </c>
      <c r="G31">
        <f>Heroes!$K31</f>
        <v/>
      </c>
      <c r="H31">
        <f>Heroes!$Q31</f>
        <v/>
      </c>
      <c r="I31">
        <f>IFERROR(INDEX('Data-Input'!$B$19:$G$24,MATCH(B31,'Data-Input'!$A$19:$A$24,0),MATCH($B$1,'Data-Input'!$B$18:$G$18,0)),0)</f>
        <v/>
      </c>
      <c r="J31">
        <f>IF(C31&lt;&gt;"",IFERROR(INDEX('Data-Input'!$B$19:$G$24,MATCH(C31,'Data-Input'!$A$19:$A$24,0),MATCH($B$1,'Data-Input'!$B$18:$G$18,0)),0),I31)</f>
        <v/>
      </c>
      <c r="K31">
        <f>MAX(I31,J31)</f>
        <v/>
      </c>
      <c r="L31">
        <f>((D31+E31)/2-$C$1)*$H$1</f>
        <v/>
      </c>
      <c r="M31">
        <f>F31-$D$1</f>
        <v/>
      </c>
      <c r="N31">
        <f>IF(M31&gt;20,M31*$I$1,0)</f>
        <v/>
      </c>
      <c r="O31">
        <f>IF(G31="Mixed",$Q$1,IF(G31=$E$1,$O$1,$P$1))</f>
        <v/>
      </c>
      <c r="P31">
        <f>(H31-$F$1)*$N$1</f>
        <v/>
      </c>
      <c r="Q31">
        <f>K31*$G$1+L31+N31+O31+P31+Y31+Z31+AF31+AG31</f>
        <v/>
      </c>
      <c r="R31">
        <f>IFERROR(INDEX('Data-Input'!$C$190:$C$1189,MATCH(A31&amp;"|"&amp;$A$1,'Data-Input'!$E$190:$E$1189,0)),Q31)</f>
        <v/>
      </c>
      <c r="S31">
        <f>IF(OR($A$1="",A31=$A$1),-1000000000000000,R31)</f>
        <v/>
      </c>
      <c r="T31">
        <f>S31+ROW()*0.0000001</f>
        <v/>
      </c>
      <c r="U31">
        <f>Heroes!$M31</f>
        <v/>
      </c>
      <c r="V31">
        <f>IF(OR($A$1="",A31=$A$1,U31="",U31&lt;&gt;$J$1),-1000000000000000,R31)+ROW()*0.0000001</f>
        <v/>
      </c>
      <c r="W31">
        <f>Heroes!$I31</f>
        <v/>
      </c>
      <c r="X31">
        <f>Heroes!$J31</f>
        <v/>
      </c>
      <c r="Y31">
        <f>IF($A$1="",0,MAX(IF(W31&lt;&gt;"",IFERROR(INDEX('Data-Input'!$B$164:$W$185,MATCH(W31,'Data-Input'!$A$164:$A$185,0),MATCH($K$1,'Data-Input'!$B$163:$W$163,0)),0),0),IF(AND(W31&lt;&gt;"",$L$1&lt;&gt;""),IFERROR(INDEX('Data-Input'!$B$164:$W$185,MATCH(W31,'Data-Input'!$A$164:$A$185,0),MATCH($L$1,'Data-Input'!$B$163:$W$163,0)),0),0),IF(X31&lt;&gt;"",IFERROR(INDEX('Data-Input'!$B$164:$W$185,MATCH(X31,'Data-Input'!$A$164:$A$185,0),MATCH($K$1,'Data-Input'!$B$163:$W$163,0)),0),0),IF(AND(X31&lt;&gt;"",$L$1&lt;&gt;""),IFERROR(INDEX('Data-Input'!$B$164:$W$185,MATCH(X31,'Data-Input'!$A$164:$A$185,0),MATCH($L$1,'Data-Input'!$B$163:$W$163,0)),0),0))*$M$1)</f>
        <v/>
      </c>
      <c r="Z31">
        <f>IF($A$1="",0,SUMPRODUCT(('Data-Input'!$A$29:$A$128=A31)*('Data-Input'!$B$29:$B$128="Tag")*((('Data-Input'!$C$29:$C$128=$K$1)+('Data-Input'!$C$29:$C$128=$L$1))&gt;0)*('Data-Input'!$D$29:$D$128-'Data-Input'!$E$29:$E$128))+SUMPRODUCT(('Data-Input'!$A$29:$A$128=A31)*('Data-Input'!$B$29:$B$128="Hero")*('Data-Input'!$C$29:$C$128=$A$1)*('Data-Input'!$D$29:$D$128-'Data-Input'!$E$29:$E$128))+SUMPRODUCT(('Data-Input'!$A$29:$A$128=A31)*('Data-Input'!$B$29:$B$128="Role")*((('Data-Input'!$C$29:$C$128=$B$1)+('Data-Input'!$C$29:$C$128=$AH$1))&gt;0)*('Data-Input'!$D$29:$D$128-'Data-Input'!$E$29:$E$128))+SUMPRODUCT(('Data-Input'!$A$29:$A$128=A31)*('Data-Input'!$B$29:$B$128="DamageType")*('Data-Input'!$C$29:$C$128=$E$1)*('Data-Input'!$D$29:$D$128-'Data-Input'!$E$29:$E$128))+SUMPRODUCT(('Data-Input'!$A$29:$A$128=A31)*('Data-Input'!$B$29:$B$128="Resource")*('Data-Input'!$C$29:$C$128=$AB$1)*('Data-Input'!$D$29:$D$128-'Data-Input'!$E$29:$E$128)))</f>
        <v/>
      </c>
      <c r="AE31">
        <f>Heroes!$R31</f>
        <v/>
      </c>
      <c r="AF31">
        <f>IF($A$1="",0,IF(AND(OR(W31="Dash/Blink",W31="High Mobility",W31="Global Dive",W31="Mobility",X31="Dash/Blink",X31="High Mobility",X31="Global Dive",X31="Mobility"),$AA$1="Ranged"),$AC$1,0))</f>
        <v/>
      </c>
      <c r="AG31">
        <f>IF($A$1="",0,IF(AND(AE31="Yes",OR($K$1="Sustain",$K$1="Healing",$L$1="Sustain",$L$1="Healing")),$AD$1,0))</f>
        <v/>
      </c>
    </row>
    <row r="32" ht="15" customHeight="1">
      <c r="A32">
        <f>Heroes!$B32</f>
        <v/>
      </c>
      <c r="B32">
        <f>Heroes!$C32</f>
        <v/>
      </c>
      <c r="C32">
        <f>Heroes!$D32</f>
        <v/>
      </c>
      <c r="D32">
        <f>Heroes!$E32</f>
        <v/>
      </c>
      <c r="E32">
        <f>Heroes!$F32</f>
        <v/>
      </c>
      <c r="F32">
        <f>Heroes!$H32</f>
        <v/>
      </c>
      <c r="G32">
        <f>Heroes!$K32</f>
        <v/>
      </c>
      <c r="H32">
        <f>Heroes!$Q32</f>
        <v/>
      </c>
      <c r="I32">
        <f>IFERROR(INDEX('Data-Input'!$B$19:$G$24,MATCH(B32,'Data-Input'!$A$19:$A$24,0),MATCH($B$1,'Data-Input'!$B$18:$G$18,0)),0)</f>
        <v/>
      </c>
      <c r="J32">
        <f>IF(C32&lt;&gt;"",IFERROR(INDEX('Data-Input'!$B$19:$G$24,MATCH(C32,'Data-Input'!$A$19:$A$24,0),MATCH($B$1,'Data-Input'!$B$18:$G$18,0)),0),I32)</f>
        <v/>
      </c>
      <c r="K32">
        <f>MAX(I32,J32)</f>
        <v/>
      </c>
      <c r="L32">
        <f>((D32+E32)/2-$C$1)*$H$1</f>
        <v/>
      </c>
      <c r="M32">
        <f>F32-$D$1</f>
        <v/>
      </c>
      <c r="N32">
        <f>IF(M32&gt;20,M32*$I$1,0)</f>
        <v/>
      </c>
      <c r="O32">
        <f>IF(G32="Mixed",$Q$1,IF(G32=$E$1,$O$1,$P$1))</f>
        <v/>
      </c>
      <c r="P32">
        <f>(H32-$F$1)*$N$1</f>
        <v/>
      </c>
      <c r="Q32">
        <f>K32*$G$1+L32+N32+O32+P32+Y32+Z32+AF32+AG32</f>
        <v/>
      </c>
      <c r="R32">
        <f>IFERROR(INDEX('Data-Input'!$C$190:$C$1189,MATCH(A32&amp;"|"&amp;$A$1,'Data-Input'!$E$190:$E$1189,0)),Q32)</f>
        <v/>
      </c>
      <c r="S32">
        <f>IF(OR($A$1="",A32=$A$1),-1000000000000000,R32)</f>
        <v/>
      </c>
      <c r="T32">
        <f>S32+ROW()*0.0000001</f>
        <v/>
      </c>
      <c r="U32">
        <f>Heroes!$M32</f>
        <v/>
      </c>
      <c r="V32">
        <f>IF(OR($A$1="",A32=$A$1,U32="",U32&lt;&gt;$J$1),-1000000000000000,R32)+ROW()*0.0000001</f>
        <v/>
      </c>
      <c r="W32">
        <f>Heroes!$I32</f>
        <v/>
      </c>
      <c r="X32">
        <f>Heroes!$J32</f>
        <v/>
      </c>
      <c r="Y32">
        <f>IF($A$1="",0,MAX(IF(W32&lt;&gt;"",IFERROR(INDEX('Data-Input'!$B$164:$W$185,MATCH(W32,'Data-Input'!$A$164:$A$185,0),MATCH($K$1,'Data-Input'!$B$163:$W$163,0)),0),0),IF(AND(W32&lt;&gt;"",$L$1&lt;&gt;""),IFERROR(INDEX('Data-Input'!$B$164:$W$185,MATCH(W32,'Data-Input'!$A$164:$A$185,0),MATCH($L$1,'Data-Input'!$B$163:$W$163,0)),0),0),IF(X32&lt;&gt;"",IFERROR(INDEX('Data-Input'!$B$164:$W$185,MATCH(X32,'Data-Input'!$A$164:$A$185,0),MATCH($K$1,'Data-Input'!$B$163:$W$163,0)),0),0),IF(AND(X32&lt;&gt;"",$L$1&lt;&gt;""),IFERROR(INDEX('Data-Input'!$B$164:$W$185,MATCH(X32,'Data-Input'!$A$164:$A$185,0),MATCH($L$1,'Data-Input'!$B$163:$W$163,0)),0),0))*$M$1)</f>
        <v/>
      </c>
      <c r="Z32">
        <f>IF($A$1="",0,SUMPRODUCT(('Data-Input'!$A$29:$A$128=A32)*('Data-Input'!$B$29:$B$128="Tag")*((('Data-Input'!$C$29:$C$128=$K$1)+('Data-Input'!$C$29:$C$128=$L$1))&gt;0)*('Data-Input'!$D$29:$D$128-'Data-Input'!$E$29:$E$128))+SUMPRODUCT(('Data-Input'!$A$29:$A$128=A32)*('Data-Input'!$B$29:$B$128="Hero")*('Data-Input'!$C$29:$C$128=$A$1)*('Data-Input'!$D$29:$D$128-'Data-Input'!$E$29:$E$128))+SUMPRODUCT(('Data-Input'!$A$29:$A$128=A32)*('Data-Input'!$B$29:$B$128="Role")*((('Data-Input'!$C$29:$C$128=$B$1)+('Data-Input'!$C$29:$C$128=$AH$1))&gt;0)*('Data-Input'!$D$29:$D$128-'Data-Input'!$E$29:$E$128))+SUMPRODUCT(('Data-Input'!$A$29:$A$128=A32)*('Data-Input'!$B$29:$B$128="DamageType")*('Data-Input'!$C$29:$C$128=$E$1)*('Data-Input'!$D$29:$D$128-'Data-Input'!$E$29:$E$128))+SUMPRODUCT(('Data-Input'!$A$29:$A$128=A32)*('Data-Input'!$B$29:$B$128="Resource")*('Data-Input'!$C$29:$C$128=$AB$1)*('Data-Input'!$D$29:$D$128-'Data-Input'!$E$29:$E$128)))</f>
        <v/>
      </c>
      <c r="AE32">
        <f>Heroes!$R32</f>
        <v/>
      </c>
      <c r="AF32">
        <f>IF($A$1="",0,IF(AND(OR(W32="Dash/Blink",W32="High Mobility",W32="Global Dive",W32="Mobility",X32="Dash/Blink",X32="High Mobility",X32="Global Dive",X32="Mobility"),$AA$1="Ranged"),$AC$1,0))</f>
        <v/>
      </c>
      <c r="AG32">
        <f>IF($A$1="",0,IF(AND(AE32="Yes",OR($K$1="Sustain",$K$1="Healing",$L$1="Sustain",$L$1="Healing")),$AD$1,0))</f>
        <v/>
      </c>
    </row>
    <row r="33" ht="15" customHeight="1">
      <c r="A33">
        <f>Heroes!$B33</f>
        <v/>
      </c>
      <c r="B33">
        <f>Heroes!$C33</f>
        <v/>
      </c>
      <c r="C33">
        <f>Heroes!$D33</f>
        <v/>
      </c>
      <c r="D33">
        <f>Heroes!$E33</f>
        <v/>
      </c>
      <c r="E33">
        <f>Heroes!$F33</f>
        <v/>
      </c>
      <c r="F33">
        <f>Heroes!$H33</f>
        <v/>
      </c>
      <c r="G33">
        <f>Heroes!$K33</f>
        <v/>
      </c>
      <c r="H33">
        <f>Heroes!$Q33</f>
        <v/>
      </c>
      <c r="I33">
        <f>IFERROR(INDEX('Data-Input'!$B$19:$G$24,MATCH(B33,'Data-Input'!$A$19:$A$24,0),MATCH($B$1,'Data-Input'!$B$18:$G$18,0)),0)</f>
        <v/>
      </c>
      <c r="J33">
        <f>IF(C33&lt;&gt;"",IFERROR(INDEX('Data-Input'!$B$19:$G$24,MATCH(C33,'Data-Input'!$A$19:$A$24,0),MATCH($B$1,'Data-Input'!$B$18:$G$18,0)),0),I33)</f>
        <v/>
      </c>
      <c r="K33">
        <f>MAX(I33,J33)</f>
        <v/>
      </c>
      <c r="L33">
        <f>((D33+E33)/2-$C$1)*$H$1</f>
        <v/>
      </c>
      <c r="M33">
        <f>F33-$D$1</f>
        <v/>
      </c>
      <c r="N33">
        <f>IF(M33&gt;20,M33*$I$1,0)</f>
        <v/>
      </c>
      <c r="O33">
        <f>IF(G33="Mixed",$Q$1,IF(G33=$E$1,$O$1,$P$1))</f>
        <v/>
      </c>
      <c r="P33">
        <f>(H33-$F$1)*$N$1</f>
        <v/>
      </c>
      <c r="Q33">
        <f>K33*$G$1+L33+N33+O33+P33+Y33+Z33+AF33+AG33</f>
        <v/>
      </c>
      <c r="R33">
        <f>IFERROR(INDEX('Data-Input'!$C$190:$C$1189,MATCH(A33&amp;"|"&amp;$A$1,'Data-Input'!$E$190:$E$1189,0)),Q33)</f>
        <v/>
      </c>
      <c r="S33">
        <f>IF(OR($A$1="",A33=$A$1),-1000000000000000,R33)</f>
        <v/>
      </c>
      <c r="T33">
        <f>S33+ROW()*0.0000001</f>
        <v/>
      </c>
      <c r="U33">
        <f>Heroes!$M33</f>
        <v/>
      </c>
      <c r="V33">
        <f>IF(OR($A$1="",A33=$A$1,U33="",U33&lt;&gt;$J$1),-1000000000000000,R33)+ROW()*0.0000001</f>
        <v/>
      </c>
      <c r="W33">
        <f>Heroes!$I33</f>
        <v/>
      </c>
      <c r="X33">
        <f>Heroes!$J33</f>
        <v/>
      </c>
      <c r="Y33">
        <f>IF($A$1="",0,MAX(IF(W33&lt;&gt;"",IFERROR(INDEX('Data-Input'!$B$164:$W$185,MATCH(W33,'Data-Input'!$A$164:$A$185,0),MATCH($K$1,'Data-Input'!$B$163:$W$163,0)),0),0),IF(AND(W33&lt;&gt;"",$L$1&lt;&gt;""),IFERROR(INDEX('Data-Input'!$B$164:$W$185,MATCH(W33,'Data-Input'!$A$164:$A$185,0),MATCH($L$1,'Data-Input'!$B$163:$W$163,0)),0),0),IF(X33&lt;&gt;"",IFERROR(INDEX('Data-Input'!$B$164:$W$185,MATCH(X33,'Data-Input'!$A$164:$A$185,0),MATCH($K$1,'Data-Input'!$B$163:$W$163,0)),0),0),IF(AND(X33&lt;&gt;"",$L$1&lt;&gt;""),IFERROR(INDEX('Data-Input'!$B$164:$W$185,MATCH(X33,'Data-Input'!$A$164:$A$185,0),MATCH($L$1,'Data-Input'!$B$163:$W$163,0)),0),0))*$M$1)</f>
        <v/>
      </c>
      <c r="Z33">
        <f>IF($A$1="",0,SUMPRODUCT(('Data-Input'!$A$29:$A$128=A33)*('Data-Input'!$B$29:$B$128="Tag")*((('Data-Input'!$C$29:$C$128=$K$1)+('Data-Input'!$C$29:$C$128=$L$1))&gt;0)*('Data-Input'!$D$29:$D$128-'Data-Input'!$E$29:$E$128))+SUMPRODUCT(('Data-Input'!$A$29:$A$128=A33)*('Data-Input'!$B$29:$B$128="Hero")*('Data-Input'!$C$29:$C$128=$A$1)*('Data-Input'!$D$29:$D$128-'Data-Input'!$E$29:$E$128))+SUMPRODUCT(('Data-Input'!$A$29:$A$128=A33)*('Data-Input'!$B$29:$B$128="Role")*((('Data-Input'!$C$29:$C$128=$B$1)+('Data-Input'!$C$29:$C$128=$AH$1))&gt;0)*('Data-Input'!$D$29:$D$128-'Data-Input'!$E$29:$E$128))+SUMPRODUCT(('Data-Input'!$A$29:$A$128=A33)*('Data-Input'!$B$29:$B$128="DamageType")*('Data-Input'!$C$29:$C$128=$E$1)*('Data-Input'!$D$29:$D$128-'Data-Input'!$E$29:$E$128))+SUMPRODUCT(('Data-Input'!$A$29:$A$128=A33)*('Data-Input'!$B$29:$B$128="Resource")*('Data-Input'!$C$29:$C$128=$AB$1)*('Data-Input'!$D$29:$D$128-'Data-Input'!$E$29:$E$128)))</f>
        <v/>
      </c>
      <c r="AE33">
        <f>Heroes!$R33</f>
        <v/>
      </c>
      <c r="AF33">
        <f>IF($A$1="",0,IF(AND(OR(W33="Dash/Blink",W33="High Mobility",W33="Global Dive",W33="Mobility",X33="Dash/Blink",X33="High Mobility",X33="Global Dive",X33="Mobility"),$AA$1="Ranged"),$AC$1,0))</f>
        <v/>
      </c>
      <c r="AG33">
        <f>IF($A$1="",0,IF(AND(AE33="Yes",OR($K$1="Sustain",$K$1="Healing",$L$1="Sustain",$L$1="Healing")),$AD$1,0))</f>
        <v/>
      </c>
    </row>
    <row r="34" ht="15" customHeight="1">
      <c r="A34">
        <f>Heroes!$B34</f>
        <v/>
      </c>
      <c r="B34">
        <f>Heroes!$C34</f>
        <v/>
      </c>
      <c r="C34">
        <f>Heroes!$D34</f>
        <v/>
      </c>
      <c r="D34">
        <f>Heroes!$E34</f>
        <v/>
      </c>
      <c r="E34">
        <f>Heroes!$F34</f>
        <v/>
      </c>
      <c r="F34">
        <f>Heroes!$H34</f>
        <v/>
      </c>
      <c r="G34">
        <f>Heroes!$K34</f>
        <v/>
      </c>
      <c r="H34">
        <f>Heroes!$Q34</f>
        <v/>
      </c>
      <c r="I34">
        <f>IFERROR(INDEX('Data-Input'!$B$19:$G$24,MATCH(B34,'Data-Input'!$A$19:$A$24,0),MATCH($B$1,'Data-Input'!$B$18:$G$18,0)),0)</f>
        <v/>
      </c>
      <c r="J34">
        <f>IF(C34&lt;&gt;"",IFERROR(INDEX('Data-Input'!$B$19:$G$24,MATCH(C34,'Data-Input'!$A$19:$A$24,0),MATCH($B$1,'Data-Input'!$B$18:$G$18,0)),0),I34)</f>
        <v/>
      </c>
      <c r="K34">
        <f>MAX(I34,J34)</f>
        <v/>
      </c>
      <c r="L34">
        <f>((D34+E34)/2-$C$1)*$H$1</f>
        <v/>
      </c>
      <c r="M34">
        <f>F34-$D$1</f>
        <v/>
      </c>
      <c r="N34">
        <f>IF(M34&gt;20,M34*$I$1,0)</f>
        <v/>
      </c>
      <c r="O34">
        <f>IF(G34="Mixed",$Q$1,IF(G34=$E$1,$O$1,$P$1))</f>
        <v/>
      </c>
      <c r="P34">
        <f>(H34-$F$1)*$N$1</f>
        <v/>
      </c>
      <c r="Q34">
        <f>K34*$G$1+L34+N34+O34+P34+Y34+Z34+AF34+AG34</f>
        <v/>
      </c>
      <c r="R34">
        <f>IFERROR(INDEX('Data-Input'!$C$190:$C$1189,MATCH(A34&amp;"|"&amp;$A$1,'Data-Input'!$E$190:$E$1189,0)),Q34)</f>
        <v/>
      </c>
      <c r="S34">
        <f>IF(OR($A$1="",A34=$A$1),-1000000000000000,R34)</f>
        <v/>
      </c>
      <c r="T34">
        <f>S34+ROW()*0.0000001</f>
        <v/>
      </c>
      <c r="U34">
        <f>Heroes!$M34</f>
        <v/>
      </c>
      <c r="V34">
        <f>IF(OR($A$1="",A34=$A$1,U34="",U34&lt;&gt;$J$1),-1000000000000000,R34)+ROW()*0.0000001</f>
        <v/>
      </c>
      <c r="W34">
        <f>Heroes!$I34</f>
        <v/>
      </c>
      <c r="X34">
        <f>Heroes!$J34</f>
        <v/>
      </c>
      <c r="Y34">
        <f>IF($A$1="",0,MAX(IF(W34&lt;&gt;"",IFERROR(INDEX('Data-Input'!$B$164:$W$185,MATCH(W34,'Data-Input'!$A$164:$A$185,0),MATCH($K$1,'Data-Input'!$B$163:$W$163,0)),0),0),IF(AND(W34&lt;&gt;"",$L$1&lt;&gt;""),IFERROR(INDEX('Data-Input'!$B$164:$W$185,MATCH(W34,'Data-Input'!$A$164:$A$185,0),MATCH($L$1,'Data-Input'!$B$163:$W$163,0)),0),0),IF(X34&lt;&gt;"",IFERROR(INDEX('Data-Input'!$B$164:$W$185,MATCH(X34,'Data-Input'!$A$164:$A$185,0),MATCH($K$1,'Data-Input'!$B$163:$W$163,0)),0),0),IF(AND(X34&lt;&gt;"",$L$1&lt;&gt;""),IFERROR(INDEX('Data-Input'!$B$164:$W$185,MATCH(X34,'Data-Input'!$A$164:$A$185,0),MATCH($L$1,'Data-Input'!$B$163:$W$163,0)),0),0))*$M$1)</f>
        <v/>
      </c>
      <c r="Z34">
        <f>IF($A$1="",0,SUMPRODUCT(('Data-Input'!$A$29:$A$128=A34)*('Data-Input'!$B$29:$B$128="Tag")*((('Data-Input'!$C$29:$C$128=$K$1)+('Data-Input'!$C$29:$C$128=$L$1))&gt;0)*('Data-Input'!$D$29:$D$128-'Data-Input'!$E$29:$E$128))+SUMPRODUCT(('Data-Input'!$A$29:$A$128=A34)*('Data-Input'!$B$29:$B$128="Hero")*('Data-Input'!$C$29:$C$128=$A$1)*('Data-Input'!$D$29:$D$128-'Data-Input'!$E$29:$E$128))+SUMPRODUCT(('Data-Input'!$A$29:$A$128=A34)*('Data-Input'!$B$29:$B$128="Role")*((('Data-Input'!$C$29:$C$128=$B$1)+('Data-Input'!$C$29:$C$128=$AH$1))&gt;0)*('Data-Input'!$D$29:$D$128-'Data-Input'!$E$29:$E$128))+SUMPRODUCT(('Data-Input'!$A$29:$A$128=A34)*('Data-Input'!$B$29:$B$128="DamageType")*('Data-Input'!$C$29:$C$128=$E$1)*('Data-Input'!$D$29:$D$128-'Data-Input'!$E$29:$E$128))+SUMPRODUCT(('Data-Input'!$A$29:$A$128=A34)*('Data-Input'!$B$29:$B$128="Resource")*('Data-Input'!$C$29:$C$128=$AB$1)*('Data-Input'!$D$29:$D$128-'Data-Input'!$E$29:$E$128)))</f>
        <v/>
      </c>
      <c r="AE34">
        <f>Heroes!$R34</f>
        <v/>
      </c>
      <c r="AF34">
        <f>IF($A$1="",0,IF(AND(OR(W34="Dash/Blink",W34="High Mobility",W34="Global Dive",W34="Mobility",X34="Dash/Blink",X34="High Mobility",X34="Global Dive",X34="Mobility"),$AA$1="Ranged"),$AC$1,0))</f>
        <v/>
      </c>
      <c r="AG34">
        <f>IF($A$1="",0,IF(AND(AE34="Yes",OR($K$1="Sustain",$K$1="Healing",$L$1="Sustain",$L$1="Healing")),$AD$1,0))</f>
        <v/>
      </c>
    </row>
    <row r="35" ht="15" customHeight="1">
      <c r="A35">
        <f>Heroes!$B35</f>
        <v/>
      </c>
      <c r="B35">
        <f>Heroes!$C35</f>
        <v/>
      </c>
      <c r="C35">
        <f>Heroes!$D35</f>
        <v/>
      </c>
      <c r="D35">
        <f>Heroes!$E35</f>
        <v/>
      </c>
      <c r="E35">
        <f>Heroes!$F35</f>
        <v/>
      </c>
      <c r="F35">
        <f>Heroes!$H35</f>
        <v/>
      </c>
      <c r="G35">
        <f>Heroes!$K35</f>
        <v/>
      </c>
      <c r="H35">
        <f>Heroes!$Q35</f>
        <v/>
      </c>
      <c r="I35">
        <f>IFERROR(INDEX('Data-Input'!$B$19:$G$24,MATCH(B35,'Data-Input'!$A$19:$A$24,0),MATCH($B$1,'Data-Input'!$B$18:$G$18,0)),0)</f>
        <v/>
      </c>
      <c r="J35">
        <f>IF(C35&lt;&gt;"",IFERROR(INDEX('Data-Input'!$B$19:$G$24,MATCH(C35,'Data-Input'!$A$19:$A$24,0),MATCH($B$1,'Data-Input'!$B$18:$G$18,0)),0),I35)</f>
        <v/>
      </c>
      <c r="K35">
        <f>MAX(I35,J35)</f>
        <v/>
      </c>
      <c r="L35">
        <f>((D35+E35)/2-$C$1)*$H$1</f>
        <v/>
      </c>
      <c r="M35">
        <f>F35-$D$1</f>
        <v/>
      </c>
      <c r="N35">
        <f>IF(M35&gt;20,M35*$I$1,0)</f>
        <v/>
      </c>
      <c r="O35">
        <f>IF(G35="Mixed",$Q$1,IF(G35=$E$1,$O$1,$P$1))</f>
        <v/>
      </c>
      <c r="P35">
        <f>(H35-$F$1)*$N$1</f>
        <v/>
      </c>
      <c r="Q35">
        <f>K35*$G$1+L35+N35+O35+P35+Y35+Z35+AF35+AG35</f>
        <v/>
      </c>
      <c r="R35">
        <f>IFERROR(INDEX('Data-Input'!$C$190:$C$1189,MATCH(A35&amp;"|"&amp;$A$1,'Data-Input'!$E$190:$E$1189,0)),Q35)</f>
        <v/>
      </c>
      <c r="S35">
        <f>IF(OR($A$1="",A35=$A$1),-1000000000000000,R35)</f>
        <v/>
      </c>
      <c r="T35">
        <f>S35+ROW()*0.0000001</f>
        <v/>
      </c>
      <c r="U35">
        <f>Heroes!$M35</f>
        <v/>
      </c>
      <c r="V35">
        <f>IF(OR($A$1="",A35=$A$1,U35="",U35&lt;&gt;$J$1),-1000000000000000,R35)+ROW()*0.0000001</f>
        <v/>
      </c>
      <c r="W35">
        <f>Heroes!$I35</f>
        <v/>
      </c>
      <c r="X35">
        <f>Heroes!$J35</f>
        <v/>
      </c>
      <c r="Y35">
        <f>IF($A$1="",0,MAX(IF(W35&lt;&gt;"",IFERROR(INDEX('Data-Input'!$B$164:$W$185,MATCH(W35,'Data-Input'!$A$164:$A$185,0),MATCH($K$1,'Data-Input'!$B$163:$W$163,0)),0),0),IF(AND(W35&lt;&gt;"",$L$1&lt;&gt;""),IFERROR(INDEX('Data-Input'!$B$164:$W$185,MATCH(W35,'Data-Input'!$A$164:$A$185,0),MATCH($L$1,'Data-Input'!$B$163:$W$163,0)),0),0),IF(X35&lt;&gt;"",IFERROR(INDEX('Data-Input'!$B$164:$W$185,MATCH(X35,'Data-Input'!$A$164:$A$185,0),MATCH($K$1,'Data-Input'!$B$163:$W$163,0)),0),0),IF(AND(X35&lt;&gt;"",$L$1&lt;&gt;""),IFERROR(INDEX('Data-Input'!$B$164:$W$185,MATCH(X35,'Data-Input'!$A$164:$A$185,0),MATCH($L$1,'Data-Input'!$B$163:$W$163,0)),0),0))*$M$1)</f>
        <v/>
      </c>
      <c r="Z35">
        <f>IF($A$1="",0,SUMPRODUCT(('Data-Input'!$A$29:$A$128=A35)*('Data-Input'!$B$29:$B$128="Tag")*((('Data-Input'!$C$29:$C$128=$K$1)+('Data-Input'!$C$29:$C$128=$L$1))&gt;0)*('Data-Input'!$D$29:$D$128-'Data-Input'!$E$29:$E$128))+SUMPRODUCT(('Data-Input'!$A$29:$A$128=A35)*('Data-Input'!$B$29:$B$128="Hero")*('Data-Input'!$C$29:$C$128=$A$1)*('Data-Input'!$D$29:$D$128-'Data-Input'!$E$29:$E$128))+SUMPRODUCT(('Data-Input'!$A$29:$A$128=A35)*('Data-Input'!$B$29:$B$128="Role")*((('Data-Input'!$C$29:$C$128=$B$1)+('Data-Input'!$C$29:$C$128=$AH$1))&gt;0)*('Data-Input'!$D$29:$D$128-'Data-Input'!$E$29:$E$128))+SUMPRODUCT(('Data-Input'!$A$29:$A$128=A35)*('Data-Input'!$B$29:$B$128="DamageType")*('Data-Input'!$C$29:$C$128=$E$1)*('Data-Input'!$D$29:$D$128-'Data-Input'!$E$29:$E$128))+SUMPRODUCT(('Data-Input'!$A$29:$A$128=A35)*('Data-Input'!$B$29:$B$128="Resource")*('Data-Input'!$C$29:$C$128=$AB$1)*('Data-Input'!$D$29:$D$128-'Data-Input'!$E$29:$E$128)))</f>
        <v/>
      </c>
      <c r="AE35">
        <f>Heroes!$R35</f>
        <v/>
      </c>
      <c r="AF35">
        <f>IF($A$1="",0,IF(AND(OR(W35="Dash/Blink",W35="High Mobility",W35="Global Dive",W35="Mobility",X35="Dash/Blink",X35="High Mobility",X35="Global Dive",X35="Mobility"),$AA$1="Ranged"),$AC$1,0))</f>
        <v/>
      </c>
      <c r="AG35">
        <f>IF($A$1="",0,IF(AND(AE35="Yes",OR($K$1="Sustain",$K$1="Healing",$L$1="Sustain",$L$1="Healing")),$AD$1,0))</f>
        <v/>
      </c>
    </row>
    <row r="36" ht="15" customHeight="1">
      <c r="A36">
        <f>Heroes!$B36</f>
        <v/>
      </c>
      <c r="B36">
        <f>Heroes!$C36</f>
        <v/>
      </c>
      <c r="C36">
        <f>Heroes!$D36</f>
        <v/>
      </c>
      <c r="D36">
        <f>Heroes!$E36</f>
        <v/>
      </c>
      <c r="E36">
        <f>Heroes!$F36</f>
        <v/>
      </c>
      <c r="F36">
        <f>Heroes!$H36</f>
        <v/>
      </c>
      <c r="G36">
        <f>Heroes!$K36</f>
        <v/>
      </c>
      <c r="H36">
        <f>Heroes!$Q36</f>
        <v/>
      </c>
      <c r="I36">
        <f>IFERROR(INDEX('Data-Input'!$B$19:$G$24,MATCH(B36,'Data-Input'!$A$19:$A$24,0),MATCH($B$1,'Data-Input'!$B$18:$G$18,0)),0)</f>
        <v/>
      </c>
      <c r="J36">
        <f>IF(C36&lt;&gt;"",IFERROR(INDEX('Data-Input'!$B$19:$G$24,MATCH(C36,'Data-Input'!$A$19:$A$24,0),MATCH($B$1,'Data-Input'!$B$18:$G$18,0)),0),I36)</f>
        <v/>
      </c>
      <c r="K36">
        <f>MAX(I36,J36)</f>
        <v/>
      </c>
      <c r="L36">
        <f>((D36+E36)/2-$C$1)*$H$1</f>
        <v/>
      </c>
      <c r="M36">
        <f>F36-$D$1</f>
        <v/>
      </c>
      <c r="N36">
        <f>IF(M36&gt;20,M36*$I$1,0)</f>
        <v/>
      </c>
      <c r="O36">
        <f>IF(G36="Mixed",$Q$1,IF(G36=$E$1,$O$1,$P$1))</f>
        <v/>
      </c>
      <c r="P36">
        <f>(H36-$F$1)*$N$1</f>
        <v/>
      </c>
      <c r="Q36">
        <f>K36*$G$1+L36+N36+O36+P36+Y36+Z36+AF36+AG36</f>
        <v/>
      </c>
      <c r="R36">
        <f>IFERROR(INDEX('Data-Input'!$C$190:$C$1189,MATCH(A36&amp;"|"&amp;$A$1,'Data-Input'!$E$190:$E$1189,0)),Q36)</f>
        <v/>
      </c>
      <c r="S36">
        <f>IF(OR($A$1="",A36=$A$1),-1000000000000000,R36)</f>
        <v/>
      </c>
      <c r="T36">
        <f>S36+ROW()*0.0000001</f>
        <v/>
      </c>
      <c r="U36">
        <f>Heroes!$M36</f>
        <v/>
      </c>
      <c r="V36">
        <f>IF(OR($A$1="",A36=$A$1,U36="",U36&lt;&gt;$J$1),-1000000000000000,R36)+ROW()*0.0000001</f>
        <v/>
      </c>
      <c r="W36">
        <f>Heroes!$I36</f>
        <v/>
      </c>
      <c r="X36">
        <f>Heroes!$J36</f>
        <v/>
      </c>
      <c r="Y36">
        <f>IF($A$1="",0,MAX(IF(W36&lt;&gt;"",IFERROR(INDEX('Data-Input'!$B$164:$W$185,MATCH(W36,'Data-Input'!$A$164:$A$185,0),MATCH($K$1,'Data-Input'!$B$163:$W$163,0)),0),0),IF(AND(W36&lt;&gt;"",$L$1&lt;&gt;""),IFERROR(INDEX('Data-Input'!$B$164:$W$185,MATCH(W36,'Data-Input'!$A$164:$A$185,0),MATCH($L$1,'Data-Input'!$B$163:$W$163,0)),0),0),IF(X36&lt;&gt;"",IFERROR(INDEX('Data-Input'!$B$164:$W$185,MATCH(X36,'Data-Input'!$A$164:$A$185,0),MATCH($K$1,'Data-Input'!$B$163:$W$163,0)),0),0),IF(AND(X36&lt;&gt;"",$L$1&lt;&gt;""),IFERROR(INDEX('Data-Input'!$B$164:$W$185,MATCH(X36,'Data-Input'!$A$164:$A$185,0),MATCH($L$1,'Data-Input'!$B$163:$W$163,0)),0),0))*$M$1)</f>
        <v/>
      </c>
      <c r="Z36">
        <f>IF($A$1="",0,SUMPRODUCT(('Data-Input'!$A$29:$A$128=A36)*('Data-Input'!$B$29:$B$128="Tag")*((('Data-Input'!$C$29:$C$128=$K$1)+('Data-Input'!$C$29:$C$128=$L$1))&gt;0)*('Data-Input'!$D$29:$D$128-'Data-Input'!$E$29:$E$128))+SUMPRODUCT(('Data-Input'!$A$29:$A$128=A36)*('Data-Input'!$B$29:$B$128="Hero")*('Data-Input'!$C$29:$C$128=$A$1)*('Data-Input'!$D$29:$D$128-'Data-Input'!$E$29:$E$128))+SUMPRODUCT(('Data-Input'!$A$29:$A$128=A36)*('Data-Input'!$B$29:$B$128="Role")*((('Data-Input'!$C$29:$C$128=$B$1)+('Data-Input'!$C$29:$C$128=$AH$1))&gt;0)*('Data-Input'!$D$29:$D$128-'Data-Input'!$E$29:$E$128))+SUMPRODUCT(('Data-Input'!$A$29:$A$128=A36)*('Data-Input'!$B$29:$B$128="DamageType")*('Data-Input'!$C$29:$C$128=$E$1)*('Data-Input'!$D$29:$D$128-'Data-Input'!$E$29:$E$128))+SUMPRODUCT(('Data-Input'!$A$29:$A$128=A36)*('Data-Input'!$B$29:$B$128="Resource")*('Data-Input'!$C$29:$C$128=$AB$1)*('Data-Input'!$D$29:$D$128-'Data-Input'!$E$29:$E$128)))</f>
        <v/>
      </c>
      <c r="AE36">
        <f>Heroes!$R36</f>
        <v/>
      </c>
      <c r="AF36">
        <f>IF($A$1="",0,IF(AND(OR(W36="Dash/Blink",W36="High Mobility",W36="Global Dive",W36="Mobility",X36="Dash/Blink",X36="High Mobility",X36="Global Dive",X36="Mobility"),$AA$1="Ranged"),$AC$1,0))</f>
        <v/>
      </c>
      <c r="AG36">
        <f>IF($A$1="",0,IF(AND(AE36="Yes",OR($K$1="Sustain",$K$1="Healing",$L$1="Sustain",$L$1="Healing")),$AD$1,0))</f>
        <v/>
      </c>
    </row>
    <row r="37" ht="15" customHeight="1">
      <c r="A37">
        <f>Heroes!$B37</f>
        <v/>
      </c>
      <c r="B37">
        <f>Heroes!$C37</f>
        <v/>
      </c>
      <c r="C37">
        <f>Heroes!$D37</f>
        <v/>
      </c>
      <c r="D37">
        <f>Heroes!$E37</f>
        <v/>
      </c>
      <c r="E37">
        <f>Heroes!$F37</f>
        <v/>
      </c>
      <c r="F37">
        <f>Heroes!$H37</f>
        <v/>
      </c>
      <c r="G37">
        <f>Heroes!$K37</f>
        <v/>
      </c>
      <c r="H37">
        <f>Heroes!$Q37</f>
        <v/>
      </c>
      <c r="I37">
        <f>IFERROR(INDEX('Data-Input'!$B$19:$G$24,MATCH(B37,'Data-Input'!$A$19:$A$24,0),MATCH($B$1,'Data-Input'!$B$18:$G$18,0)),0)</f>
        <v/>
      </c>
      <c r="J37">
        <f>IF(C37&lt;&gt;"",IFERROR(INDEX('Data-Input'!$B$19:$G$24,MATCH(C37,'Data-Input'!$A$19:$A$24,0),MATCH($B$1,'Data-Input'!$B$18:$G$18,0)),0),I37)</f>
        <v/>
      </c>
      <c r="K37">
        <f>MAX(I37,J37)</f>
        <v/>
      </c>
      <c r="L37">
        <f>((D37+E37)/2-$C$1)*$H$1</f>
        <v/>
      </c>
      <c r="M37">
        <f>F37-$D$1</f>
        <v/>
      </c>
      <c r="N37">
        <f>IF(M37&gt;20,M37*$I$1,0)</f>
        <v/>
      </c>
      <c r="O37">
        <f>IF(G37="Mixed",$Q$1,IF(G37=$E$1,$O$1,$P$1))</f>
        <v/>
      </c>
      <c r="P37">
        <f>(H37-$F$1)*$N$1</f>
        <v/>
      </c>
      <c r="Q37">
        <f>K37*$G$1+L37+N37+O37+P37+Y37+Z37+AF37+AG37</f>
        <v/>
      </c>
      <c r="R37">
        <f>IFERROR(INDEX('Data-Input'!$C$190:$C$1189,MATCH(A37&amp;"|"&amp;$A$1,'Data-Input'!$E$190:$E$1189,0)),Q37)</f>
        <v/>
      </c>
      <c r="S37">
        <f>IF(OR($A$1="",A37=$A$1),-1000000000000000,R37)</f>
        <v/>
      </c>
      <c r="T37">
        <f>S37+ROW()*0.0000001</f>
        <v/>
      </c>
      <c r="U37">
        <f>Heroes!$M37</f>
        <v/>
      </c>
      <c r="V37">
        <f>IF(OR($A$1="",A37=$A$1,U37="",U37&lt;&gt;$J$1),-1000000000000000,R37)+ROW()*0.0000001</f>
        <v/>
      </c>
      <c r="W37">
        <f>Heroes!$I37</f>
        <v/>
      </c>
      <c r="X37">
        <f>Heroes!$J37</f>
        <v/>
      </c>
      <c r="Y37">
        <f>IF($A$1="",0,MAX(IF(W37&lt;&gt;"",IFERROR(INDEX('Data-Input'!$B$164:$W$185,MATCH(W37,'Data-Input'!$A$164:$A$185,0),MATCH($K$1,'Data-Input'!$B$163:$W$163,0)),0),0),IF(AND(W37&lt;&gt;"",$L$1&lt;&gt;""),IFERROR(INDEX('Data-Input'!$B$164:$W$185,MATCH(W37,'Data-Input'!$A$164:$A$185,0),MATCH($L$1,'Data-Input'!$B$163:$W$163,0)),0),0),IF(X37&lt;&gt;"",IFERROR(INDEX('Data-Input'!$B$164:$W$185,MATCH(X37,'Data-Input'!$A$164:$A$185,0),MATCH($K$1,'Data-Input'!$B$163:$W$163,0)),0),0),IF(AND(X37&lt;&gt;"",$L$1&lt;&gt;""),IFERROR(INDEX('Data-Input'!$B$164:$W$185,MATCH(X37,'Data-Input'!$A$164:$A$185,0),MATCH($L$1,'Data-Input'!$B$163:$W$163,0)),0),0))*$M$1)</f>
        <v/>
      </c>
      <c r="Z37">
        <f>IF($A$1="",0,SUMPRODUCT(('Data-Input'!$A$29:$A$128=A37)*('Data-Input'!$B$29:$B$128="Tag")*((('Data-Input'!$C$29:$C$128=$K$1)+('Data-Input'!$C$29:$C$128=$L$1))&gt;0)*('Data-Input'!$D$29:$D$128-'Data-Input'!$E$29:$E$128))+SUMPRODUCT(('Data-Input'!$A$29:$A$128=A37)*('Data-Input'!$B$29:$B$128="Hero")*('Data-Input'!$C$29:$C$128=$A$1)*('Data-Input'!$D$29:$D$128-'Data-Input'!$E$29:$E$128))+SUMPRODUCT(('Data-Input'!$A$29:$A$128=A37)*('Data-Input'!$B$29:$B$128="Role")*((('Data-Input'!$C$29:$C$128=$B$1)+('Data-Input'!$C$29:$C$128=$AH$1))&gt;0)*('Data-Input'!$D$29:$D$128-'Data-Input'!$E$29:$E$128))+SUMPRODUCT(('Data-Input'!$A$29:$A$128=A37)*('Data-Input'!$B$29:$B$128="DamageType")*('Data-Input'!$C$29:$C$128=$E$1)*('Data-Input'!$D$29:$D$128-'Data-Input'!$E$29:$E$128))+SUMPRODUCT(('Data-Input'!$A$29:$A$128=A37)*('Data-Input'!$B$29:$B$128="Resource")*('Data-Input'!$C$29:$C$128=$AB$1)*('Data-Input'!$D$29:$D$128-'Data-Input'!$E$29:$E$128)))</f>
        <v/>
      </c>
      <c r="AE37">
        <f>Heroes!$R37</f>
        <v/>
      </c>
      <c r="AF37">
        <f>IF($A$1="",0,IF(AND(OR(W37="Dash/Blink",W37="High Mobility",W37="Global Dive",W37="Mobility",X37="Dash/Blink",X37="High Mobility",X37="Global Dive",X37="Mobility"),$AA$1="Ranged"),$AC$1,0))</f>
        <v/>
      </c>
      <c r="AG37">
        <f>IF($A$1="",0,IF(AND(AE37="Yes",OR($K$1="Sustain",$K$1="Healing",$L$1="Sustain",$L$1="Healing")),$AD$1,0))</f>
        <v/>
      </c>
    </row>
    <row r="38" ht="15" customHeight="1">
      <c r="A38">
        <f>Heroes!$B38</f>
        <v/>
      </c>
      <c r="B38">
        <f>Heroes!$C38</f>
        <v/>
      </c>
      <c r="C38">
        <f>Heroes!$D38</f>
        <v/>
      </c>
      <c r="D38">
        <f>Heroes!$E38</f>
        <v/>
      </c>
      <c r="E38">
        <f>Heroes!$F38</f>
        <v/>
      </c>
      <c r="F38">
        <f>Heroes!$H38</f>
        <v/>
      </c>
      <c r="G38">
        <f>Heroes!$K38</f>
        <v/>
      </c>
      <c r="H38">
        <f>Heroes!$Q38</f>
        <v/>
      </c>
      <c r="I38">
        <f>IFERROR(INDEX('Data-Input'!$B$19:$G$24,MATCH(B38,'Data-Input'!$A$19:$A$24,0),MATCH($B$1,'Data-Input'!$B$18:$G$18,0)),0)</f>
        <v/>
      </c>
      <c r="J38">
        <f>IF(C38&lt;&gt;"",IFERROR(INDEX('Data-Input'!$B$19:$G$24,MATCH(C38,'Data-Input'!$A$19:$A$24,0),MATCH($B$1,'Data-Input'!$B$18:$G$18,0)),0),I38)</f>
        <v/>
      </c>
      <c r="K38">
        <f>MAX(I38,J38)</f>
        <v/>
      </c>
      <c r="L38">
        <f>((D38+E38)/2-$C$1)*$H$1</f>
        <v/>
      </c>
      <c r="M38">
        <f>F38-$D$1</f>
        <v/>
      </c>
      <c r="N38">
        <f>IF(M38&gt;20,M38*$I$1,0)</f>
        <v/>
      </c>
      <c r="O38">
        <f>IF(G38="Mixed",$Q$1,IF(G38=$E$1,$O$1,$P$1))</f>
        <v/>
      </c>
      <c r="P38">
        <f>(H38-$F$1)*$N$1</f>
        <v/>
      </c>
      <c r="Q38">
        <f>K38*$G$1+L38+N38+O38+P38+Y38+Z38+AF38+AG38</f>
        <v/>
      </c>
      <c r="R38">
        <f>IFERROR(INDEX('Data-Input'!$C$190:$C$1189,MATCH(A38&amp;"|"&amp;$A$1,'Data-Input'!$E$190:$E$1189,0)),Q38)</f>
        <v/>
      </c>
      <c r="S38">
        <f>IF(OR($A$1="",A38=$A$1),-1000000000000000,R38)</f>
        <v/>
      </c>
      <c r="T38">
        <f>S38+ROW()*0.0000001</f>
        <v/>
      </c>
      <c r="U38">
        <f>Heroes!$M38</f>
        <v/>
      </c>
      <c r="V38">
        <f>IF(OR($A$1="",A38=$A$1,U38="",U38&lt;&gt;$J$1),-1000000000000000,R38)+ROW()*0.0000001</f>
        <v/>
      </c>
      <c r="W38">
        <f>Heroes!$I38</f>
        <v/>
      </c>
      <c r="X38">
        <f>Heroes!$J38</f>
        <v/>
      </c>
      <c r="Y38">
        <f>IF($A$1="",0,MAX(IF(W38&lt;&gt;"",IFERROR(INDEX('Data-Input'!$B$164:$W$185,MATCH(W38,'Data-Input'!$A$164:$A$185,0),MATCH($K$1,'Data-Input'!$B$163:$W$163,0)),0),0),IF(AND(W38&lt;&gt;"",$L$1&lt;&gt;""),IFERROR(INDEX('Data-Input'!$B$164:$W$185,MATCH(W38,'Data-Input'!$A$164:$A$185,0),MATCH($L$1,'Data-Input'!$B$163:$W$163,0)),0),0),IF(X38&lt;&gt;"",IFERROR(INDEX('Data-Input'!$B$164:$W$185,MATCH(X38,'Data-Input'!$A$164:$A$185,0),MATCH($K$1,'Data-Input'!$B$163:$W$163,0)),0),0),IF(AND(X38&lt;&gt;"",$L$1&lt;&gt;""),IFERROR(INDEX('Data-Input'!$B$164:$W$185,MATCH(X38,'Data-Input'!$A$164:$A$185,0),MATCH($L$1,'Data-Input'!$B$163:$W$163,0)),0),0))*$M$1)</f>
        <v/>
      </c>
      <c r="Z38">
        <f>IF($A$1="",0,SUMPRODUCT(('Data-Input'!$A$29:$A$128=A38)*('Data-Input'!$B$29:$B$128="Tag")*((('Data-Input'!$C$29:$C$128=$K$1)+('Data-Input'!$C$29:$C$128=$L$1))&gt;0)*('Data-Input'!$D$29:$D$128-'Data-Input'!$E$29:$E$128))+SUMPRODUCT(('Data-Input'!$A$29:$A$128=A38)*('Data-Input'!$B$29:$B$128="Hero")*('Data-Input'!$C$29:$C$128=$A$1)*('Data-Input'!$D$29:$D$128-'Data-Input'!$E$29:$E$128))+SUMPRODUCT(('Data-Input'!$A$29:$A$128=A38)*('Data-Input'!$B$29:$B$128="Role")*((('Data-Input'!$C$29:$C$128=$B$1)+('Data-Input'!$C$29:$C$128=$AH$1))&gt;0)*('Data-Input'!$D$29:$D$128-'Data-Input'!$E$29:$E$128))+SUMPRODUCT(('Data-Input'!$A$29:$A$128=A38)*('Data-Input'!$B$29:$B$128="DamageType")*('Data-Input'!$C$29:$C$128=$E$1)*('Data-Input'!$D$29:$D$128-'Data-Input'!$E$29:$E$128))+SUMPRODUCT(('Data-Input'!$A$29:$A$128=A38)*('Data-Input'!$B$29:$B$128="Resource")*('Data-Input'!$C$29:$C$128=$AB$1)*('Data-Input'!$D$29:$D$128-'Data-Input'!$E$29:$E$128)))</f>
        <v/>
      </c>
      <c r="AE38">
        <f>Heroes!$R38</f>
        <v/>
      </c>
      <c r="AF38">
        <f>IF($A$1="",0,IF(AND(OR(W38="Dash/Blink",W38="High Mobility",W38="Global Dive",W38="Mobility",X38="Dash/Blink",X38="High Mobility",X38="Global Dive",X38="Mobility"),$AA$1="Ranged"),$AC$1,0))</f>
        <v/>
      </c>
      <c r="AG38">
        <f>IF($A$1="",0,IF(AND(AE38="Yes",OR($K$1="Sustain",$K$1="Healing",$L$1="Sustain",$L$1="Healing")),$AD$1,0))</f>
        <v/>
      </c>
    </row>
    <row r="39" ht="15" customHeight="1">
      <c r="A39">
        <f>Heroes!$B39</f>
        <v/>
      </c>
      <c r="B39">
        <f>Heroes!$C39</f>
        <v/>
      </c>
      <c r="C39">
        <f>Heroes!$D39</f>
        <v/>
      </c>
      <c r="D39">
        <f>Heroes!$E39</f>
        <v/>
      </c>
      <c r="E39">
        <f>Heroes!$F39</f>
        <v/>
      </c>
      <c r="F39">
        <f>Heroes!$H39</f>
        <v/>
      </c>
      <c r="G39">
        <f>Heroes!$K39</f>
        <v/>
      </c>
      <c r="H39">
        <f>Heroes!$Q39</f>
        <v/>
      </c>
      <c r="I39">
        <f>IFERROR(INDEX('Data-Input'!$B$19:$G$24,MATCH(B39,'Data-Input'!$A$19:$A$24,0),MATCH($B$1,'Data-Input'!$B$18:$G$18,0)),0)</f>
        <v/>
      </c>
      <c r="J39">
        <f>IF(C39&lt;&gt;"",IFERROR(INDEX('Data-Input'!$B$19:$G$24,MATCH(C39,'Data-Input'!$A$19:$A$24,0),MATCH($B$1,'Data-Input'!$B$18:$G$18,0)),0),I39)</f>
        <v/>
      </c>
      <c r="K39">
        <f>MAX(I39,J39)</f>
        <v/>
      </c>
      <c r="L39">
        <f>((D39+E39)/2-$C$1)*$H$1</f>
        <v/>
      </c>
      <c r="M39">
        <f>F39-$D$1</f>
        <v/>
      </c>
      <c r="N39">
        <f>IF(M39&gt;20,M39*$I$1,0)</f>
        <v/>
      </c>
      <c r="O39">
        <f>IF(G39="Mixed",$Q$1,IF(G39=$E$1,$O$1,$P$1))</f>
        <v/>
      </c>
      <c r="P39">
        <f>(H39-$F$1)*$N$1</f>
        <v/>
      </c>
      <c r="Q39">
        <f>K39*$G$1+L39+N39+O39+P39+Y39+Z39+AF39+AG39</f>
        <v/>
      </c>
      <c r="R39">
        <f>IFERROR(INDEX('Data-Input'!$C$190:$C$1189,MATCH(A39&amp;"|"&amp;$A$1,'Data-Input'!$E$190:$E$1189,0)),Q39)</f>
        <v/>
      </c>
      <c r="S39">
        <f>IF(OR($A$1="",A39=$A$1),-1000000000000000,R39)</f>
        <v/>
      </c>
      <c r="T39">
        <f>S39+ROW()*0.0000001</f>
        <v/>
      </c>
      <c r="U39">
        <f>Heroes!$M39</f>
        <v/>
      </c>
      <c r="V39">
        <f>IF(OR($A$1="",A39=$A$1,U39="",U39&lt;&gt;$J$1),-1000000000000000,R39)+ROW()*0.0000001</f>
        <v/>
      </c>
      <c r="W39">
        <f>Heroes!$I39</f>
        <v/>
      </c>
      <c r="X39">
        <f>Heroes!$J39</f>
        <v/>
      </c>
      <c r="Y39">
        <f>IF($A$1="",0,MAX(IF(W39&lt;&gt;"",IFERROR(INDEX('Data-Input'!$B$164:$W$185,MATCH(W39,'Data-Input'!$A$164:$A$185,0),MATCH($K$1,'Data-Input'!$B$163:$W$163,0)),0),0),IF(AND(W39&lt;&gt;"",$L$1&lt;&gt;""),IFERROR(INDEX('Data-Input'!$B$164:$W$185,MATCH(W39,'Data-Input'!$A$164:$A$185,0),MATCH($L$1,'Data-Input'!$B$163:$W$163,0)),0),0),IF(X39&lt;&gt;"",IFERROR(INDEX('Data-Input'!$B$164:$W$185,MATCH(X39,'Data-Input'!$A$164:$A$185,0),MATCH($K$1,'Data-Input'!$B$163:$W$163,0)),0),0),IF(AND(X39&lt;&gt;"",$L$1&lt;&gt;""),IFERROR(INDEX('Data-Input'!$B$164:$W$185,MATCH(X39,'Data-Input'!$A$164:$A$185,0),MATCH($L$1,'Data-Input'!$B$163:$W$163,0)),0),0))*$M$1)</f>
        <v/>
      </c>
      <c r="Z39">
        <f>IF($A$1="",0,SUMPRODUCT(('Data-Input'!$A$29:$A$128=A39)*('Data-Input'!$B$29:$B$128="Tag")*((('Data-Input'!$C$29:$C$128=$K$1)+('Data-Input'!$C$29:$C$128=$L$1))&gt;0)*('Data-Input'!$D$29:$D$128-'Data-Input'!$E$29:$E$128))+SUMPRODUCT(('Data-Input'!$A$29:$A$128=A39)*('Data-Input'!$B$29:$B$128="Hero")*('Data-Input'!$C$29:$C$128=$A$1)*('Data-Input'!$D$29:$D$128-'Data-Input'!$E$29:$E$128))+SUMPRODUCT(('Data-Input'!$A$29:$A$128=A39)*('Data-Input'!$B$29:$B$128="Role")*((('Data-Input'!$C$29:$C$128=$B$1)+('Data-Input'!$C$29:$C$128=$AH$1))&gt;0)*('Data-Input'!$D$29:$D$128-'Data-Input'!$E$29:$E$128))+SUMPRODUCT(('Data-Input'!$A$29:$A$128=A39)*('Data-Input'!$B$29:$B$128="DamageType")*('Data-Input'!$C$29:$C$128=$E$1)*('Data-Input'!$D$29:$D$128-'Data-Input'!$E$29:$E$128))+SUMPRODUCT(('Data-Input'!$A$29:$A$128=A39)*('Data-Input'!$B$29:$B$128="Resource")*('Data-Input'!$C$29:$C$128=$AB$1)*('Data-Input'!$D$29:$D$128-'Data-Input'!$E$29:$E$128)))</f>
        <v/>
      </c>
      <c r="AE39">
        <f>Heroes!$R39</f>
        <v/>
      </c>
      <c r="AF39">
        <f>IF($A$1="",0,IF(AND(OR(W39="Dash/Blink",W39="High Mobility",W39="Global Dive",W39="Mobility",X39="Dash/Blink",X39="High Mobility",X39="Global Dive",X39="Mobility"),$AA$1="Ranged"),$AC$1,0))</f>
        <v/>
      </c>
      <c r="AG39">
        <f>IF($A$1="",0,IF(AND(AE39="Yes",OR($K$1="Sustain",$K$1="Healing",$L$1="Sustain",$L$1="Healing")),$AD$1,0))</f>
        <v/>
      </c>
    </row>
    <row r="40" ht="15" customHeight="1">
      <c r="A40">
        <f>Heroes!$B40</f>
        <v/>
      </c>
      <c r="B40">
        <f>Heroes!$C40</f>
        <v/>
      </c>
      <c r="C40">
        <f>Heroes!$D40</f>
        <v/>
      </c>
      <c r="D40">
        <f>Heroes!$E40</f>
        <v/>
      </c>
      <c r="E40">
        <f>Heroes!$F40</f>
        <v/>
      </c>
      <c r="F40">
        <f>Heroes!$H40</f>
        <v/>
      </c>
      <c r="G40">
        <f>Heroes!$K40</f>
        <v/>
      </c>
      <c r="H40">
        <f>Heroes!$Q40</f>
        <v/>
      </c>
      <c r="I40">
        <f>IFERROR(INDEX('Data-Input'!$B$19:$G$24,MATCH(B40,'Data-Input'!$A$19:$A$24,0),MATCH($B$1,'Data-Input'!$B$18:$G$18,0)),0)</f>
        <v/>
      </c>
      <c r="J40">
        <f>IF(C40&lt;&gt;"",IFERROR(INDEX('Data-Input'!$B$19:$G$24,MATCH(C40,'Data-Input'!$A$19:$A$24,0),MATCH($B$1,'Data-Input'!$B$18:$G$18,0)),0),I40)</f>
        <v/>
      </c>
      <c r="K40">
        <f>MAX(I40,J40)</f>
        <v/>
      </c>
      <c r="L40">
        <f>((D40+E40)/2-$C$1)*$H$1</f>
        <v/>
      </c>
      <c r="M40">
        <f>F40-$D$1</f>
        <v/>
      </c>
      <c r="N40">
        <f>IF(M40&gt;20,M40*$I$1,0)</f>
        <v/>
      </c>
      <c r="O40">
        <f>IF(G40="Mixed",$Q$1,IF(G40=$E$1,$O$1,$P$1))</f>
        <v/>
      </c>
      <c r="P40">
        <f>(H40-$F$1)*$N$1</f>
        <v/>
      </c>
      <c r="Q40">
        <f>K40*$G$1+L40+N40+O40+P40+Y40+Z40+AF40+AG40</f>
        <v/>
      </c>
      <c r="R40">
        <f>IFERROR(INDEX('Data-Input'!$C$190:$C$1189,MATCH(A40&amp;"|"&amp;$A$1,'Data-Input'!$E$190:$E$1189,0)),Q40)</f>
        <v/>
      </c>
      <c r="S40">
        <f>IF(OR($A$1="",A40=$A$1),-1000000000000000,R40)</f>
        <v/>
      </c>
      <c r="T40">
        <f>S40+ROW()*0.0000001</f>
        <v/>
      </c>
      <c r="U40">
        <f>Heroes!$M40</f>
        <v/>
      </c>
      <c r="V40">
        <f>IF(OR($A$1="",A40=$A$1,U40="",U40&lt;&gt;$J$1),-1000000000000000,R40)+ROW()*0.0000001</f>
        <v/>
      </c>
      <c r="W40">
        <f>Heroes!$I40</f>
        <v/>
      </c>
      <c r="X40">
        <f>Heroes!$J40</f>
        <v/>
      </c>
      <c r="Y40">
        <f>IF($A$1="",0,MAX(IF(W40&lt;&gt;"",IFERROR(INDEX('Data-Input'!$B$164:$W$185,MATCH(W40,'Data-Input'!$A$164:$A$185,0),MATCH($K$1,'Data-Input'!$B$163:$W$163,0)),0),0),IF(AND(W40&lt;&gt;"",$L$1&lt;&gt;""),IFERROR(INDEX('Data-Input'!$B$164:$W$185,MATCH(W40,'Data-Input'!$A$164:$A$185,0),MATCH($L$1,'Data-Input'!$B$163:$W$163,0)),0),0),IF(X40&lt;&gt;"",IFERROR(INDEX('Data-Input'!$B$164:$W$185,MATCH(X40,'Data-Input'!$A$164:$A$185,0),MATCH($K$1,'Data-Input'!$B$163:$W$163,0)),0),0),IF(AND(X40&lt;&gt;"",$L$1&lt;&gt;""),IFERROR(INDEX('Data-Input'!$B$164:$W$185,MATCH(X40,'Data-Input'!$A$164:$A$185,0),MATCH($L$1,'Data-Input'!$B$163:$W$163,0)),0),0))*$M$1)</f>
        <v/>
      </c>
      <c r="Z40">
        <f>IF($A$1="",0,SUMPRODUCT(('Data-Input'!$A$29:$A$128=A40)*('Data-Input'!$B$29:$B$128="Tag")*((('Data-Input'!$C$29:$C$128=$K$1)+('Data-Input'!$C$29:$C$128=$L$1))&gt;0)*('Data-Input'!$D$29:$D$128-'Data-Input'!$E$29:$E$128))+SUMPRODUCT(('Data-Input'!$A$29:$A$128=A40)*('Data-Input'!$B$29:$B$128="Hero")*('Data-Input'!$C$29:$C$128=$A$1)*('Data-Input'!$D$29:$D$128-'Data-Input'!$E$29:$E$128))+SUMPRODUCT(('Data-Input'!$A$29:$A$128=A40)*('Data-Input'!$B$29:$B$128="Role")*((('Data-Input'!$C$29:$C$128=$B$1)+('Data-Input'!$C$29:$C$128=$AH$1))&gt;0)*('Data-Input'!$D$29:$D$128-'Data-Input'!$E$29:$E$128))+SUMPRODUCT(('Data-Input'!$A$29:$A$128=A40)*('Data-Input'!$B$29:$B$128="DamageType")*('Data-Input'!$C$29:$C$128=$E$1)*('Data-Input'!$D$29:$D$128-'Data-Input'!$E$29:$E$128))+SUMPRODUCT(('Data-Input'!$A$29:$A$128=A40)*('Data-Input'!$B$29:$B$128="Resource")*('Data-Input'!$C$29:$C$128=$AB$1)*('Data-Input'!$D$29:$D$128-'Data-Input'!$E$29:$E$128)))</f>
        <v/>
      </c>
      <c r="AE40">
        <f>Heroes!$R40</f>
        <v/>
      </c>
      <c r="AF40">
        <f>IF($A$1="",0,IF(AND(OR(W40="Dash/Blink",W40="High Mobility",W40="Global Dive",W40="Mobility",X40="Dash/Blink",X40="High Mobility",X40="Global Dive",X40="Mobility"),$AA$1="Ranged"),$AC$1,0))</f>
        <v/>
      </c>
      <c r="AG40">
        <f>IF($A$1="",0,IF(AND(AE40="Yes",OR($K$1="Sustain",$K$1="Healing",$L$1="Sustain",$L$1="Healing")),$AD$1,0))</f>
        <v/>
      </c>
    </row>
    <row r="41" ht="15" customHeight="1">
      <c r="A41">
        <f>Heroes!$B41</f>
        <v/>
      </c>
      <c r="B41">
        <f>Heroes!$C41</f>
        <v/>
      </c>
      <c r="C41">
        <f>Heroes!$D41</f>
        <v/>
      </c>
      <c r="D41">
        <f>Heroes!$E41</f>
        <v/>
      </c>
      <c r="E41">
        <f>Heroes!$F41</f>
        <v/>
      </c>
      <c r="F41">
        <f>Heroes!$H41</f>
        <v/>
      </c>
      <c r="G41">
        <f>Heroes!$K41</f>
        <v/>
      </c>
      <c r="H41">
        <f>Heroes!$Q41</f>
        <v/>
      </c>
      <c r="I41">
        <f>IFERROR(INDEX('Data-Input'!$B$19:$G$24,MATCH(B41,'Data-Input'!$A$19:$A$24,0),MATCH($B$1,'Data-Input'!$B$18:$G$18,0)),0)</f>
        <v/>
      </c>
      <c r="J41">
        <f>IF(C41&lt;&gt;"",IFERROR(INDEX('Data-Input'!$B$19:$G$24,MATCH(C41,'Data-Input'!$A$19:$A$24,0),MATCH($B$1,'Data-Input'!$B$18:$G$18,0)),0),I41)</f>
        <v/>
      </c>
      <c r="K41">
        <f>MAX(I41,J41)</f>
        <v/>
      </c>
      <c r="L41">
        <f>((D41+E41)/2-$C$1)*$H$1</f>
        <v/>
      </c>
      <c r="M41">
        <f>F41-$D$1</f>
        <v/>
      </c>
      <c r="N41">
        <f>IF(M41&gt;20,M41*$I$1,0)</f>
        <v/>
      </c>
      <c r="O41">
        <f>IF(G41="Mixed",$Q$1,IF(G41=$E$1,$O$1,$P$1))</f>
        <v/>
      </c>
      <c r="P41">
        <f>(H41-$F$1)*$N$1</f>
        <v/>
      </c>
      <c r="Q41">
        <f>K41*$G$1+L41+N41+O41+P41+Y41+Z41+AF41+AG41</f>
        <v/>
      </c>
      <c r="R41">
        <f>IFERROR(INDEX('Data-Input'!$C$190:$C$1189,MATCH(A41&amp;"|"&amp;$A$1,'Data-Input'!$E$190:$E$1189,0)),Q41)</f>
        <v/>
      </c>
      <c r="S41">
        <f>IF(OR($A$1="",A41=$A$1),-1000000000000000,R41)</f>
        <v/>
      </c>
      <c r="T41">
        <f>S41+ROW()*0.0000001</f>
        <v/>
      </c>
      <c r="U41">
        <f>Heroes!$M41</f>
        <v/>
      </c>
      <c r="V41">
        <f>IF(OR($A$1="",A41=$A$1,U41="",U41&lt;&gt;$J$1),-1000000000000000,R41)+ROW()*0.0000001</f>
        <v/>
      </c>
      <c r="W41">
        <f>Heroes!$I41</f>
        <v/>
      </c>
      <c r="X41">
        <f>Heroes!$J41</f>
        <v/>
      </c>
      <c r="Y41">
        <f>IF($A$1="",0,MAX(IF(W41&lt;&gt;"",IFERROR(INDEX('Data-Input'!$B$164:$W$185,MATCH(W41,'Data-Input'!$A$164:$A$185,0),MATCH($K$1,'Data-Input'!$B$163:$W$163,0)),0),0),IF(AND(W41&lt;&gt;"",$L$1&lt;&gt;""),IFERROR(INDEX('Data-Input'!$B$164:$W$185,MATCH(W41,'Data-Input'!$A$164:$A$185,0),MATCH($L$1,'Data-Input'!$B$163:$W$163,0)),0),0),IF(X41&lt;&gt;"",IFERROR(INDEX('Data-Input'!$B$164:$W$185,MATCH(X41,'Data-Input'!$A$164:$A$185,0),MATCH($K$1,'Data-Input'!$B$163:$W$163,0)),0),0),IF(AND(X41&lt;&gt;"",$L$1&lt;&gt;""),IFERROR(INDEX('Data-Input'!$B$164:$W$185,MATCH(X41,'Data-Input'!$A$164:$A$185,0),MATCH($L$1,'Data-Input'!$B$163:$W$163,0)),0),0))*$M$1)</f>
        <v/>
      </c>
      <c r="Z41">
        <f>IF($A$1="",0,SUMPRODUCT(('Data-Input'!$A$29:$A$128=A41)*('Data-Input'!$B$29:$B$128="Tag")*((('Data-Input'!$C$29:$C$128=$K$1)+('Data-Input'!$C$29:$C$128=$L$1))&gt;0)*('Data-Input'!$D$29:$D$128-'Data-Input'!$E$29:$E$128))+SUMPRODUCT(('Data-Input'!$A$29:$A$128=A41)*('Data-Input'!$B$29:$B$128="Hero")*('Data-Input'!$C$29:$C$128=$A$1)*('Data-Input'!$D$29:$D$128-'Data-Input'!$E$29:$E$128))+SUMPRODUCT(('Data-Input'!$A$29:$A$128=A41)*('Data-Input'!$B$29:$B$128="Role")*((('Data-Input'!$C$29:$C$128=$B$1)+('Data-Input'!$C$29:$C$128=$AH$1))&gt;0)*('Data-Input'!$D$29:$D$128-'Data-Input'!$E$29:$E$128))+SUMPRODUCT(('Data-Input'!$A$29:$A$128=A41)*('Data-Input'!$B$29:$B$128="DamageType")*('Data-Input'!$C$29:$C$128=$E$1)*('Data-Input'!$D$29:$D$128-'Data-Input'!$E$29:$E$128))+SUMPRODUCT(('Data-Input'!$A$29:$A$128=A41)*('Data-Input'!$B$29:$B$128="Resource")*('Data-Input'!$C$29:$C$128=$AB$1)*('Data-Input'!$D$29:$D$128-'Data-Input'!$E$29:$E$128)))</f>
        <v/>
      </c>
      <c r="AE41">
        <f>Heroes!$R41</f>
        <v/>
      </c>
      <c r="AF41">
        <f>IF($A$1="",0,IF(AND(OR(W41="Dash/Blink",W41="High Mobility",W41="Global Dive",W41="Mobility",X41="Dash/Blink",X41="High Mobility",X41="Global Dive",X41="Mobility"),$AA$1="Ranged"),$AC$1,0))</f>
        <v/>
      </c>
      <c r="AG41">
        <f>IF($A$1="",0,IF(AND(AE41="Yes",OR($K$1="Sustain",$K$1="Healing",$L$1="Sustain",$L$1="Healing")),$AD$1,0))</f>
        <v/>
      </c>
    </row>
    <row r="42" ht="15" customHeight="1">
      <c r="A42">
        <f>Heroes!$B42</f>
        <v/>
      </c>
      <c r="B42">
        <f>Heroes!$C42</f>
        <v/>
      </c>
      <c r="C42">
        <f>Heroes!$D42</f>
        <v/>
      </c>
      <c r="D42">
        <f>Heroes!$E42</f>
        <v/>
      </c>
      <c r="E42">
        <f>Heroes!$F42</f>
        <v/>
      </c>
      <c r="F42">
        <f>Heroes!$H42</f>
        <v/>
      </c>
      <c r="G42">
        <f>Heroes!$K42</f>
        <v/>
      </c>
      <c r="H42">
        <f>Heroes!$Q42</f>
        <v/>
      </c>
      <c r="I42">
        <f>IFERROR(INDEX('Data-Input'!$B$19:$G$24,MATCH(B42,'Data-Input'!$A$19:$A$24,0),MATCH($B$1,'Data-Input'!$B$18:$G$18,0)),0)</f>
        <v/>
      </c>
      <c r="J42">
        <f>IF(C42&lt;&gt;"",IFERROR(INDEX('Data-Input'!$B$19:$G$24,MATCH(C42,'Data-Input'!$A$19:$A$24,0),MATCH($B$1,'Data-Input'!$B$18:$G$18,0)),0),I42)</f>
        <v/>
      </c>
      <c r="K42">
        <f>MAX(I42,J42)</f>
        <v/>
      </c>
      <c r="L42">
        <f>((D42+E42)/2-$C$1)*$H$1</f>
        <v/>
      </c>
      <c r="M42">
        <f>F42-$D$1</f>
        <v/>
      </c>
      <c r="N42">
        <f>IF(M42&gt;20,M42*$I$1,0)</f>
        <v/>
      </c>
      <c r="O42">
        <f>IF(G42="Mixed",$Q$1,IF(G42=$E$1,$O$1,$P$1))</f>
        <v/>
      </c>
      <c r="P42">
        <f>(H42-$F$1)*$N$1</f>
        <v/>
      </c>
      <c r="Q42">
        <f>K42*$G$1+L42+N42+O42+P42+Y42+Z42+AF42+AG42</f>
        <v/>
      </c>
      <c r="R42">
        <f>IFERROR(INDEX('Data-Input'!$C$190:$C$1189,MATCH(A42&amp;"|"&amp;$A$1,'Data-Input'!$E$190:$E$1189,0)),Q42)</f>
        <v/>
      </c>
      <c r="S42">
        <f>IF(OR($A$1="",A42=$A$1),-1000000000000000,R42)</f>
        <v/>
      </c>
      <c r="T42">
        <f>S42+ROW()*0.0000001</f>
        <v/>
      </c>
      <c r="U42">
        <f>Heroes!$M42</f>
        <v/>
      </c>
      <c r="V42">
        <f>IF(OR($A$1="",A42=$A$1,U42="",U42&lt;&gt;$J$1),-1000000000000000,R42)+ROW()*0.0000001</f>
        <v/>
      </c>
      <c r="W42">
        <f>Heroes!$I42</f>
        <v/>
      </c>
      <c r="X42">
        <f>Heroes!$J42</f>
        <v/>
      </c>
      <c r="Y42">
        <f>IF($A$1="",0,MAX(IF(W42&lt;&gt;"",IFERROR(INDEX('Data-Input'!$B$164:$W$185,MATCH(W42,'Data-Input'!$A$164:$A$185,0),MATCH($K$1,'Data-Input'!$B$163:$W$163,0)),0),0),IF(AND(W42&lt;&gt;"",$L$1&lt;&gt;""),IFERROR(INDEX('Data-Input'!$B$164:$W$185,MATCH(W42,'Data-Input'!$A$164:$A$185,0),MATCH($L$1,'Data-Input'!$B$163:$W$163,0)),0),0),IF(X42&lt;&gt;"",IFERROR(INDEX('Data-Input'!$B$164:$W$185,MATCH(X42,'Data-Input'!$A$164:$A$185,0),MATCH($K$1,'Data-Input'!$B$163:$W$163,0)),0),0),IF(AND(X42&lt;&gt;"",$L$1&lt;&gt;""),IFERROR(INDEX('Data-Input'!$B$164:$W$185,MATCH(X42,'Data-Input'!$A$164:$A$185,0),MATCH($L$1,'Data-Input'!$B$163:$W$163,0)),0),0))*$M$1)</f>
        <v/>
      </c>
      <c r="Z42">
        <f>IF($A$1="",0,SUMPRODUCT(('Data-Input'!$A$29:$A$128=A42)*('Data-Input'!$B$29:$B$128="Tag")*((('Data-Input'!$C$29:$C$128=$K$1)+('Data-Input'!$C$29:$C$128=$L$1))&gt;0)*('Data-Input'!$D$29:$D$128-'Data-Input'!$E$29:$E$128))+SUMPRODUCT(('Data-Input'!$A$29:$A$128=A42)*('Data-Input'!$B$29:$B$128="Hero")*('Data-Input'!$C$29:$C$128=$A$1)*('Data-Input'!$D$29:$D$128-'Data-Input'!$E$29:$E$128))+SUMPRODUCT(('Data-Input'!$A$29:$A$128=A42)*('Data-Input'!$B$29:$B$128="Role")*((('Data-Input'!$C$29:$C$128=$B$1)+('Data-Input'!$C$29:$C$128=$AH$1))&gt;0)*('Data-Input'!$D$29:$D$128-'Data-Input'!$E$29:$E$128))+SUMPRODUCT(('Data-Input'!$A$29:$A$128=A42)*('Data-Input'!$B$29:$B$128="DamageType")*('Data-Input'!$C$29:$C$128=$E$1)*('Data-Input'!$D$29:$D$128-'Data-Input'!$E$29:$E$128))+SUMPRODUCT(('Data-Input'!$A$29:$A$128=A42)*('Data-Input'!$B$29:$B$128="Resource")*('Data-Input'!$C$29:$C$128=$AB$1)*('Data-Input'!$D$29:$D$128-'Data-Input'!$E$29:$E$128)))</f>
        <v/>
      </c>
      <c r="AE42">
        <f>Heroes!$R42</f>
        <v/>
      </c>
      <c r="AF42">
        <f>IF($A$1="",0,IF(AND(OR(W42="Dash/Blink",W42="High Mobility",W42="Global Dive",W42="Mobility",X42="Dash/Blink",X42="High Mobility",X42="Global Dive",X42="Mobility"),$AA$1="Ranged"),$AC$1,0))</f>
        <v/>
      </c>
      <c r="AG42">
        <f>IF($A$1="",0,IF(AND(AE42="Yes",OR($K$1="Sustain",$K$1="Healing",$L$1="Sustain",$L$1="Healing")),$AD$1,0))</f>
        <v/>
      </c>
    </row>
    <row r="43" ht="15" customHeight="1">
      <c r="A43">
        <f>Heroes!$B43</f>
        <v/>
      </c>
      <c r="B43">
        <f>Heroes!$C43</f>
        <v/>
      </c>
      <c r="C43">
        <f>Heroes!$D43</f>
        <v/>
      </c>
      <c r="D43">
        <f>Heroes!$E43</f>
        <v/>
      </c>
      <c r="E43">
        <f>Heroes!$F43</f>
        <v/>
      </c>
      <c r="F43">
        <f>Heroes!$H43</f>
        <v/>
      </c>
      <c r="G43">
        <f>Heroes!$K43</f>
        <v/>
      </c>
      <c r="H43">
        <f>Heroes!$Q43</f>
        <v/>
      </c>
      <c r="I43">
        <f>IFERROR(INDEX('Data-Input'!$B$19:$G$24,MATCH(B43,'Data-Input'!$A$19:$A$24,0),MATCH($B$1,'Data-Input'!$B$18:$G$18,0)),0)</f>
        <v/>
      </c>
      <c r="J43">
        <f>IF(C43&lt;&gt;"",IFERROR(INDEX('Data-Input'!$B$19:$G$24,MATCH(C43,'Data-Input'!$A$19:$A$24,0),MATCH($B$1,'Data-Input'!$B$18:$G$18,0)),0),I43)</f>
        <v/>
      </c>
      <c r="K43">
        <f>MAX(I43,J43)</f>
        <v/>
      </c>
      <c r="L43">
        <f>((D43+E43)/2-$C$1)*$H$1</f>
        <v/>
      </c>
      <c r="M43">
        <f>F43-$D$1</f>
        <v/>
      </c>
      <c r="N43">
        <f>IF(M43&gt;20,M43*$I$1,0)</f>
        <v/>
      </c>
      <c r="O43">
        <f>IF(G43="Mixed",$Q$1,IF(G43=$E$1,$O$1,$P$1))</f>
        <v/>
      </c>
      <c r="P43">
        <f>(H43-$F$1)*$N$1</f>
        <v/>
      </c>
      <c r="Q43">
        <f>K43*$G$1+L43+N43+O43+P43+Y43+Z43+AF43+AG43</f>
        <v/>
      </c>
      <c r="R43">
        <f>IFERROR(INDEX('Data-Input'!$C$190:$C$1189,MATCH(A43&amp;"|"&amp;$A$1,'Data-Input'!$E$190:$E$1189,0)),Q43)</f>
        <v/>
      </c>
      <c r="S43">
        <f>IF(OR($A$1="",A43=$A$1),-1000000000000000,R43)</f>
        <v/>
      </c>
      <c r="T43">
        <f>S43+ROW()*0.0000001</f>
        <v/>
      </c>
      <c r="U43">
        <f>Heroes!$M43</f>
        <v/>
      </c>
      <c r="V43">
        <f>IF(OR($A$1="",A43=$A$1,U43="",U43&lt;&gt;$J$1),-1000000000000000,R43)+ROW()*0.0000001</f>
        <v/>
      </c>
      <c r="W43">
        <f>Heroes!$I43</f>
        <v/>
      </c>
      <c r="X43">
        <f>Heroes!$J43</f>
        <v/>
      </c>
      <c r="Y43">
        <f>IF($A$1="",0,MAX(IF(W43&lt;&gt;"",IFERROR(INDEX('Data-Input'!$B$164:$W$185,MATCH(W43,'Data-Input'!$A$164:$A$185,0),MATCH($K$1,'Data-Input'!$B$163:$W$163,0)),0),0),IF(AND(W43&lt;&gt;"",$L$1&lt;&gt;""),IFERROR(INDEX('Data-Input'!$B$164:$W$185,MATCH(W43,'Data-Input'!$A$164:$A$185,0),MATCH($L$1,'Data-Input'!$B$163:$W$163,0)),0),0),IF(X43&lt;&gt;"",IFERROR(INDEX('Data-Input'!$B$164:$W$185,MATCH(X43,'Data-Input'!$A$164:$A$185,0),MATCH($K$1,'Data-Input'!$B$163:$W$163,0)),0),0),IF(AND(X43&lt;&gt;"",$L$1&lt;&gt;""),IFERROR(INDEX('Data-Input'!$B$164:$W$185,MATCH(X43,'Data-Input'!$A$164:$A$185,0),MATCH($L$1,'Data-Input'!$B$163:$W$163,0)),0),0))*$M$1)</f>
        <v/>
      </c>
      <c r="Z43">
        <f>IF($A$1="",0,SUMPRODUCT(('Data-Input'!$A$29:$A$128=A43)*('Data-Input'!$B$29:$B$128="Tag")*((('Data-Input'!$C$29:$C$128=$K$1)+('Data-Input'!$C$29:$C$128=$L$1))&gt;0)*('Data-Input'!$D$29:$D$128-'Data-Input'!$E$29:$E$128))+SUMPRODUCT(('Data-Input'!$A$29:$A$128=A43)*('Data-Input'!$B$29:$B$128="Hero")*('Data-Input'!$C$29:$C$128=$A$1)*('Data-Input'!$D$29:$D$128-'Data-Input'!$E$29:$E$128))+SUMPRODUCT(('Data-Input'!$A$29:$A$128=A43)*('Data-Input'!$B$29:$B$128="Role")*((('Data-Input'!$C$29:$C$128=$B$1)+('Data-Input'!$C$29:$C$128=$AH$1))&gt;0)*('Data-Input'!$D$29:$D$128-'Data-Input'!$E$29:$E$128))+SUMPRODUCT(('Data-Input'!$A$29:$A$128=A43)*('Data-Input'!$B$29:$B$128="DamageType")*('Data-Input'!$C$29:$C$128=$E$1)*('Data-Input'!$D$29:$D$128-'Data-Input'!$E$29:$E$128))+SUMPRODUCT(('Data-Input'!$A$29:$A$128=A43)*('Data-Input'!$B$29:$B$128="Resource")*('Data-Input'!$C$29:$C$128=$AB$1)*('Data-Input'!$D$29:$D$128-'Data-Input'!$E$29:$E$128)))</f>
        <v/>
      </c>
      <c r="AE43">
        <f>Heroes!$R43</f>
        <v/>
      </c>
      <c r="AF43">
        <f>IF($A$1="",0,IF(AND(OR(W43="Dash/Blink",W43="High Mobility",W43="Global Dive",W43="Mobility",X43="Dash/Blink",X43="High Mobility",X43="Global Dive",X43="Mobility"),$AA$1="Ranged"),$AC$1,0))</f>
        <v/>
      </c>
      <c r="AG43">
        <f>IF($A$1="",0,IF(AND(AE43="Yes",OR($K$1="Sustain",$K$1="Healing",$L$1="Sustain",$L$1="Healing")),$AD$1,0))</f>
        <v/>
      </c>
    </row>
    <row r="44" ht="15" customHeight="1">
      <c r="A44">
        <f>Heroes!$B44</f>
        <v/>
      </c>
      <c r="B44">
        <f>Heroes!$C44</f>
        <v/>
      </c>
      <c r="C44">
        <f>Heroes!$D44</f>
        <v/>
      </c>
      <c r="D44">
        <f>Heroes!$E44</f>
        <v/>
      </c>
      <c r="E44">
        <f>Heroes!$F44</f>
        <v/>
      </c>
      <c r="F44">
        <f>Heroes!$H44</f>
        <v/>
      </c>
      <c r="G44">
        <f>Heroes!$K44</f>
        <v/>
      </c>
      <c r="H44">
        <f>Heroes!$Q44</f>
        <v/>
      </c>
      <c r="I44">
        <f>IFERROR(INDEX('Data-Input'!$B$19:$G$24,MATCH(B44,'Data-Input'!$A$19:$A$24,0),MATCH($B$1,'Data-Input'!$B$18:$G$18,0)),0)</f>
        <v/>
      </c>
      <c r="J44">
        <f>IF(C44&lt;&gt;"",IFERROR(INDEX('Data-Input'!$B$19:$G$24,MATCH(C44,'Data-Input'!$A$19:$A$24,0),MATCH($B$1,'Data-Input'!$B$18:$G$18,0)),0),I44)</f>
        <v/>
      </c>
      <c r="K44">
        <f>MAX(I44,J44)</f>
        <v/>
      </c>
      <c r="L44">
        <f>((D44+E44)/2-$C$1)*$H$1</f>
        <v/>
      </c>
      <c r="M44">
        <f>F44-$D$1</f>
        <v/>
      </c>
      <c r="N44">
        <f>IF(M44&gt;20,M44*$I$1,0)</f>
        <v/>
      </c>
      <c r="O44">
        <f>IF(G44="Mixed",$Q$1,IF(G44=$E$1,$O$1,$P$1))</f>
        <v/>
      </c>
      <c r="P44">
        <f>(H44-$F$1)*$N$1</f>
        <v/>
      </c>
      <c r="Q44">
        <f>K44*$G$1+L44+N44+O44+P44+Y44+Z44+AF44+AG44</f>
        <v/>
      </c>
      <c r="R44">
        <f>IFERROR(INDEX('Data-Input'!$C$190:$C$1189,MATCH(A44&amp;"|"&amp;$A$1,'Data-Input'!$E$190:$E$1189,0)),Q44)</f>
        <v/>
      </c>
      <c r="S44">
        <f>IF(OR($A$1="",A44=$A$1),-1000000000000000,R44)</f>
        <v/>
      </c>
      <c r="T44">
        <f>S44+ROW()*0.0000001</f>
        <v/>
      </c>
      <c r="U44">
        <f>Heroes!$M44</f>
        <v/>
      </c>
      <c r="V44">
        <f>IF(OR($A$1="",A44=$A$1,U44="",U44&lt;&gt;$J$1),-1000000000000000,R44)+ROW()*0.0000001</f>
        <v/>
      </c>
      <c r="W44">
        <f>Heroes!$I44</f>
        <v/>
      </c>
      <c r="X44">
        <f>Heroes!$J44</f>
        <v/>
      </c>
      <c r="Y44">
        <f>IF($A$1="",0,MAX(IF(W44&lt;&gt;"",IFERROR(INDEX('Data-Input'!$B$164:$W$185,MATCH(W44,'Data-Input'!$A$164:$A$185,0),MATCH($K$1,'Data-Input'!$B$163:$W$163,0)),0),0),IF(AND(W44&lt;&gt;"",$L$1&lt;&gt;""),IFERROR(INDEX('Data-Input'!$B$164:$W$185,MATCH(W44,'Data-Input'!$A$164:$A$185,0),MATCH($L$1,'Data-Input'!$B$163:$W$163,0)),0),0),IF(X44&lt;&gt;"",IFERROR(INDEX('Data-Input'!$B$164:$W$185,MATCH(X44,'Data-Input'!$A$164:$A$185,0),MATCH($K$1,'Data-Input'!$B$163:$W$163,0)),0),0),IF(AND(X44&lt;&gt;"",$L$1&lt;&gt;""),IFERROR(INDEX('Data-Input'!$B$164:$W$185,MATCH(X44,'Data-Input'!$A$164:$A$185,0),MATCH($L$1,'Data-Input'!$B$163:$W$163,0)),0),0))*$M$1)</f>
        <v/>
      </c>
      <c r="Z44">
        <f>IF($A$1="",0,SUMPRODUCT(('Data-Input'!$A$29:$A$128=A44)*('Data-Input'!$B$29:$B$128="Tag")*((('Data-Input'!$C$29:$C$128=$K$1)+('Data-Input'!$C$29:$C$128=$L$1))&gt;0)*('Data-Input'!$D$29:$D$128-'Data-Input'!$E$29:$E$128))+SUMPRODUCT(('Data-Input'!$A$29:$A$128=A44)*('Data-Input'!$B$29:$B$128="Hero")*('Data-Input'!$C$29:$C$128=$A$1)*('Data-Input'!$D$29:$D$128-'Data-Input'!$E$29:$E$128))+SUMPRODUCT(('Data-Input'!$A$29:$A$128=A44)*('Data-Input'!$B$29:$B$128="Role")*((('Data-Input'!$C$29:$C$128=$B$1)+('Data-Input'!$C$29:$C$128=$AH$1))&gt;0)*('Data-Input'!$D$29:$D$128-'Data-Input'!$E$29:$E$128))+SUMPRODUCT(('Data-Input'!$A$29:$A$128=A44)*('Data-Input'!$B$29:$B$128="DamageType")*('Data-Input'!$C$29:$C$128=$E$1)*('Data-Input'!$D$29:$D$128-'Data-Input'!$E$29:$E$128))+SUMPRODUCT(('Data-Input'!$A$29:$A$128=A44)*('Data-Input'!$B$29:$B$128="Resource")*('Data-Input'!$C$29:$C$128=$AB$1)*('Data-Input'!$D$29:$D$128-'Data-Input'!$E$29:$E$128)))</f>
        <v/>
      </c>
      <c r="AE44">
        <f>Heroes!$R44</f>
        <v/>
      </c>
      <c r="AF44">
        <f>IF($A$1="",0,IF(AND(OR(W44="Dash/Blink",W44="High Mobility",W44="Global Dive",W44="Mobility",X44="Dash/Blink",X44="High Mobility",X44="Global Dive",X44="Mobility"),$AA$1="Ranged"),$AC$1,0))</f>
        <v/>
      </c>
      <c r="AG44">
        <f>IF($A$1="",0,IF(AND(AE44="Yes",OR($K$1="Sustain",$K$1="Healing",$L$1="Sustain",$L$1="Healing")),$AD$1,0))</f>
        <v/>
      </c>
    </row>
    <row r="45" ht="15" customHeight="1">
      <c r="A45">
        <f>Heroes!$B45</f>
        <v/>
      </c>
      <c r="B45">
        <f>Heroes!$C45</f>
        <v/>
      </c>
      <c r="C45">
        <f>Heroes!$D45</f>
        <v/>
      </c>
      <c r="D45">
        <f>Heroes!$E45</f>
        <v/>
      </c>
      <c r="E45">
        <f>Heroes!$F45</f>
        <v/>
      </c>
      <c r="F45">
        <f>Heroes!$H45</f>
        <v/>
      </c>
      <c r="G45">
        <f>Heroes!$K45</f>
        <v/>
      </c>
      <c r="H45">
        <f>Heroes!$Q45</f>
        <v/>
      </c>
      <c r="I45">
        <f>IFERROR(INDEX('Data-Input'!$B$19:$G$24,MATCH(B45,'Data-Input'!$A$19:$A$24,0),MATCH($B$1,'Data-Input'!$B$18:$G$18,0)),0)</f>
        <v/>
      </c>
      <c r="J45">
        <f>IF(C45&lt;&gt;"",IFERROR(INDEX('Data-Input'!$B$19:$G$24,MATCH(C45,'Data-Input'!$A$19:$A$24,0),MATCH($B$1,'Data-Input'!$B$18:$G$18,0)),0),I45)</f>
        <v/>
      </c>
      <c r="K45">
        <f>MAX(I45,J45)</f>
        <v/>
      </c>
      <c r="L45">
        <f>((D45+E45)/2-$C$1)*$H$1</f>
        <v/>
      </c>
      <c r="M45">
        <f>F45-$D$1</f>
        <v/>
      </c>
      <c r="N45">
        <f>IF(M45&gt;20,M45*$I$1,0)</f>
        <v/>
      </c>
      <c r="O45">
        <f>IF(G45="Mixed",$Q$1,IF(G45=$E$1,$O$1,$P$1))</f>
        <v/>
      </c>
      <c r="P45">
        <f>(H45-$F$1)*$N$1</f>
        <v/>
      </c>
      <c r="Q45">
        <f>K45*$G$1+L45+N45+O45+P45+Y45+Z45+AF45+AG45</f>
        <v/>
      </c>
      <c r="R45">
        <f>IFERROR(INDEX('Data-Input'!$C$190:$C$1189,MATCH(A45&amp;"|"&amp;$A$1,'Data-Input'!$E$190:$E$1189,0)),Q45)</f>
        <v/>
      </c>
      <c r="S45">
        <f>IF(OR($A$1="",A45=$A$1),-1000000000000000,R45)</f>
        <v/>
      </c>
      <c r="T45">
        <f>S45+ROW()*0.0000001</f>
        <v/>
      </c>
      <c r="U45">
        <f>Heroes!$M45</f>
        <v/>
      </c>
      <c r="V45">
        <f>IF(OR($A$1="",A45=$A$1,U45="",U45&lt;&gt;$J$1),-1000000000000000,R45)+ROW()*0.0000001</f>
        <v/>
      </c>
      <c r="W45">
        <f>Heroes!$I45</f>
        <v/>
      </c>
      <c r="X45">
        <f>Heroes!$J45</f>
        <v/>
      </c>
      <c r="Y45">
        <f>IF($A$1="",0,MAX(IF(W45&lt;&gt;"",IFERROR(INDEX('Data-Input'!$B$164:$W$185,MATCH(W45,'Data-Input'!$A$164:$A$185,0),MATCH($K$1,'Data-Input'!$B$163:$W$163,0)),0),0),IF(AND(W45&lt;&gt;"",$L$1&lt;&gt;""),IFERROR(INDEX('Data-Input'!$B$164:$W$185,MATCH(W45,'Data-Input'!$A$164:$A$185,0),MATCH($L$1,'Data-Input'!$B$163:$W$163,0)),0),0),IF(X45&lt;&gt;"",IFERROR(INDEX('Data-Input'!$B$164:$W$185,MATCH(X45,'Data-Input'!$A$164:$A$185,0),MATCH($K$1,'Data-Input'!$B$163:$W$163,0)),0),0),IF(AND(X45&lt;&gt;"",$L$1&lt;&gt;""),IFERROR(INDEX('Data-Input'!$B$164:$W$185,MATCH(X45,'Data-Input'!$A$164:$A$185,0),MATCH($L$1,'Data-Input'!$B$163:$W$163,0)),0),0))*$M$1)</f>
        <v/>
      </c>
      <c r="Z45">
        <f>IF($A$1="",0,SUMPRODUCT(('Data-Input'!$A$29:$A$128=A45)*('Data-Input'!$B$29:$B$128="Tag")*((('Data-Input'!$C$29:$C$128=$K$1)+('Data-Input'!$C$29:$C$128=$L$1))&gt;0)*('Data-Input'!$D$29:$D$128-'Data-Input'!$E$29:$E$128))+SUMPRODUCT(('Data-Input'!$A$29:$A$128=A45)*('Data-Input'!$B$29:$B$128="Hero")*('Data-Input'!$C$29:$C$128=$A$1)*('Data-Input'!$D$29:$D$128-'Data-Input'!$E$29:$E$128))+SUMPRODUCT(('Data-Input'!$A$29:$A$128=A45)*('Data-Input'!$B$29:$B$128="Role")*((('Data-Input'!$C$29:$C$128=$B$1)+('Data-Input'!$C$29:$C$128=$AH$1))&gt;0)*('Data-Input'!$D$29:$D$128-'Data-Input'!$E$29:$E$128))+SUMPRODUCT(('Data-Input'!$A$29:$A$128=A45)*('Data-Input'!$B$29:$B$128="DamageType")*('Data-Input'!$C$29:$C$128=$E$1)*('Data-Input'!$D$29:$D$128-'Data-Input'!$E$29:$E$128))+SUMPRODUCT(('Data-Input'!$A$29:$A$128=A45)*('Data-Input'!$B$29:$B$128="Resource")*('Data-Input'!$C$29:$C$128=$AB$1)*('Data-Input'!$D$29:$D$128-'Data-Input'!$E$29:$E$128)))</f>
        <v/>
      </c>
      <c r="AE45">
        <f>Heroes!$R45</f>
        <v/>
      </c>
      <c r="AF45">
        <f>IF($A$1="",0,IF(AND(OR(W45="Dash/Blink",W45="High Mobility",W45="Global Dive",W45="Mobility",X45="Dash/Blink",X45="High Mobility",X45="Global Dive",X45="Mobility"),$AA$1="Ranged"),$AC$1,0))</f>
        <v/>
      </c>
      <c r="AG45">
        <f>IF($A$1="",0,IF(AND(AE45="Yes",OR($K$1="Sustain",$K$1="Healing",$L$1="Sustain",$L$1="Healing")),$AD$1,0))</f>
        <v/>
      </c>
    </row>
    <row r="46" ht="15" customHeight="1">
      <c r="A46">
        <f>Heroes!$B46</f>
        <v/>
      </c>
      <c r="B46">
        <f>Heroes!$C46</f>
        <v/>
      </c>
      <c r="C46">
        <f>Heroes!$D46</f>
        <v/>
      </c>
      <c r="D46">
        <f>Heroes!$E46</f>
        <v/>
      </c>
      <c r="E46">
        <f>Heroes!$F46</f>
        <v/>
      </c>
      <c r="F46">
        <f>Heroes!$H46</f>
        <v/>
      </c>
      <c r="G46">
        <f>Heroes!$K46</f>
        <v/>
      </c>
      <c r="H46">
        <f>Heroes!$Q46</f>
        <v/>
      </c>
      <c r="I46">
        <f>IFERROR(INDEX('Data-Input'!$B$19:$G$24,MATCH(B46,'Data-Input'!$A$19:$A$24,0),MATCH($B$1,'Data-Input'!$B$18:$G$18,0)),0)</f>
        <v/>
      </c>
      <c r="J46">
        <f>IF(C46&lt;&gt;"",IFERROR(INDEX('Data-Input'!$B$19:$G$24,MATCH(C46,'Data-Input'!$A$19:$A$24,0),MATCH($B$1,'Data-Input'!$B$18:$G$18,0)),0),I46)</f>
        <v/>
      </c>
      <c r="K46">
        <f>MAX(I46,J46)</f>
        <v/>
      </c>
      <c r="L46">
        <f>((D46+E46)/2-$C$1)*$H$1</f>
        <v/>
      </c>
      <c r="M46">
        <f>F46-$D$1</f>
        <v/>
      </c>
      <c r="N46">
        <f>IF(M46&gt;20,M46*$I$1,0)</f>
        <v/>
      </c>
      <c r="O46">
        <f>IF(G46="Mixed",$Q$1,IF(G46=$E$1,$O$1,$P$1))</f>
        <v/>
      </c>
      <c r="P46">
        <f>(H46-$F$1)*$N$1</f>
        <v/>
      </c>
      <c r="Q46">
        <f>K46*$G$1+L46+N46+O46+P46+Y46+Z46+AF46+AG46</f>
        <v/>
      </c>
      <c r="R46">
        <f>IFERROR(INDEX('Data-Input'!$C$190:$C$1189,MATCH(A46&amp;"|"&amp;$A$1,'Data-Input'!$E$190:$E$1189,0)),Q46)</f>
        <v/>
      </c>
      <c r="S46">
        <f>IF(OR($A$1="",A46=$A$1),-1000000000000000,R46)</f>
        <v/>
      </c>
      <c r="T46">
        <f>S46+ROW()*0.0000001</f>
        <v/>
      </c>
      <c r="U46">
        <f>Heroes!$M46</f>
        <v/>
      </c>
      <c r="V46">
        <f>IF(OR($A$1="",A46=$A$1,U46="",U46&lt;&gt;$J$1),-1000000000000000,R46)+ROW()*0.0000001</f>
        <v/>
      </c>
      <c r="W46">
        <f>Heroes!$I46</f>
        <v/>
      </c>
      <c r="X46">
        <f>Heroes!$J46</f>
        <v/>
      </c>
      <c r="Y46">
        <f>IF($A$1="",0,MAX(IF(W46&lt;&gt;"",IFERROR(INDEX('Data-Input'!$B$164:$W$185,MATCH(W46,'Data-Input'!$A$164:$A$185,0),MATCH($K$1,'Data-Input'!$B$163:$W$163,0)),0),0),IF(AND(W46&lt;&gt;"",$L$1&lt;&gt;""),IFERROR(INDEX('Data-Input'!$B$164:$W$185,MATCH(W46,'Data-Input'!$A$164:$A$185,0),MATCH($L$1,'Data-Input'!$B$163:$W$163,0)),0),0),IF(X46&lt;&gt;"",IFERROR(INDEX('Data-Input'!$B$164:$W$185,MATCH(X46,'Data-Input'!$A$164:$A$185,0),MATCH($K$1,'Data-Input'!$B$163:$W$163,0)),0),0),IF(AND(X46&lt;&gt;"",$L$1&lt;&gt;""),IFERROR(INDEX('Data-Input'!$B$164:$W$185,MATCH(X46,'Data-Input'!$A$164:$A$185,0),MATCH($L$1,'Data-Input'!$B$163:$W$163,0)),0),0))*$M$1)</f>
        <v/>
      </c>
      <c r="Z46">
        <f>IF($A$1="",0,SUMPRODUCT(('Data-Input'!$A$29:$A$128=A46)*('Data-Input'!$B$29:$B$128="Tag")*((('Data-Input'!$C$29:$C$128=$K$1)+('Data-Input'!$C$29:$C$128=$L$1))&gt;0)*('Data-Input'!$D$29:$D$128-'Data-Input'!$E$29:$E$128))+SUMPRODUCT(('Data-Input'!$A$29:$A$128=A46)*('Data-Input'!$B$29:$B$128="Hero")*('Data-Input'!$C$29:$C$128=$A$1)*('Data-Input'!$D$29:$D$128-'Data-Input'!$E$29:$E$128))+SUMPRODUCT(('Data-Input'!$A$29:$A$128=A46)*('Data-Input'!$B$29:$B$128="Role")*((('Data-Input'!$C$29:$C$128=$B$1)+('Data-Input'!$C$29:$C$128=$AH$1))&gt;0)*('Data-Input'!$D$29:$D$128-'Data-Input'!$E$29:$E$128))+SUMPRODUCT(('Data-Input'!$A$29:$A$128=A46)*('Data-Input'!$B$29:$B$128="DamageType")*('Data-Input'!$C$29:$C$128=$E$1)*('Data-Input'!$D$29:$D$128-'Data-Input'!$E$29:$E$128))+SUMPRODUCT(('Data-Input'!$A$29:$A$128=A46)*('Data-Input'!$B$29:$B$128="Resource")*('Data-Input'!$C$29:$C$128=$AB$1)*('Data-Input'!$D$29:$D$128-'Data-Input'!$E$29:$E$128)))</f>
        <v/>
      </c>
      <c r="AE46">
        <f>Heroes!$R46</f>
        <v/>
      </c>
      <c r="AF46">
        <f>IF($A$1="",0,IF(AND(OR(W46="Dash/Blink",W46="High Mobility",W46="Global Dive",W46="Mobility",X46="Dash/Blink",X46="High Mobility",X46="Global Dive",X46="Mobility"),$AA$1="Ranged"),$AC$1,0))</f>
        <v/>
      </c>
      <c r="AG46">
        <f>IF($A$1="",0,IF(AND(AE46="Yes",OR($K$1="Sustain",$K$1="Healing",$L$1="Sustain",$L$1="Healing")),$AD$1,0))</f>
        <v/>
      </c>
    </row>
    <row r="47" ht="15" customHeight="1">
      <c r="A47">
        <f>Heroes!$B47</f>
        <v/>
      </c>
      <c r="B47">
        <f>Heroes!$C47</f>
        <v/>
      </c>
      <c r="C47">
        <f>Heroes!$D47</f>
        <v/>
      </c>
      <c r="D47">
        <f>Heroes!$E47</f>
        <v/>
      </c>
      <c r="E47">
        <f>Heroes!$F47</f>
        <v/>
      </c>
      <c r="F47">
        <f>Heroes!$H47</f>
        <v/>
      </c>
      <c r="G47">
        <f>Heroes!$K47</f>
        <v/>
      </c>
      <c r="H47">
        <f>Heroes!$Q47</f>
        <v/>
      </c>
      <c r="I47">
        <f>IFERROR(INDEX('Data-Input'!$B$19:$G$24,MATCH(B47,'Data-Input'!$A$19:$A$24,0),MATCH($B$1,'Data-Input'!$B$18:$G$18,0)),0)</f>
        <v/>
      </c>
      <c r="J47">
        <f>IF(C47&lt;&gt;"",IFERROR(INDEX('Data-Input'!$B$19:$G$24,MATCH(C47,'Data-Input'!$A$19:$A$24,0),MATCH($B$1,'Data-Input'!$B$18:$G$18,0)),0),I47)</f>
        <v/>
      </c>
      <c r="K47">
        <f>MAX(I47,J47)</f>
        <v/>
      </c>
      <c r="L47">
        <f>((D47+E47)/2-$C$1)*$H$1</f>
        <v/>
      </c>
      <c r="M47">
        <f>F47-$D$1</f>
        <v/>
      </c>
      <c r="N47">
        <f>IF(M47&gt;20,M47*$I$1,0)</f>
        <v/>
      </c>
      <c r="O47">
        <f>IF(G47="Mixed",$Q$1,IF(G47=$E$1,$O$1,$P$1))</f>
        <v/>
      </c>
      <c r="P47">
        <f>(H47-$F$1)*$N$1</f>
        <v/>
      </c>
      <c r="Q47">
        <f>K47*$G$1+L47+N47+O47+P47+Y47+Z47+AF47+AG47</f>
        <v/>
      </c>
      <c r="R47">
        <f>IFERROR(INDEX('Data-Input'!$C$190:$C$1189,MATCH(A47&amp;"|"&amp;$A$1,'Data-Input'!$E$190:$E$1189,0)),Q47)</f>
        <v/>
      </c>
      <c r="S47">
        <f>IF(OR($A$1="",A47=$A$1),-1000000000000000,R47)</f>
        <v/>
      </c>
      <c r="T47">
        <f>S47+ROW()*0.0000001</f>
        <v/>
      </c>
      <c r="U47">
        <f>Heroes!$M47</f>
        <v/>
      </c>
      <c r="V47">
        <f>IF(OR($A$1="",A47=$A$1,U47="",U47&lt;&gt;$J$1),-1000000000000000,R47)+ROW()*0.0000001</f>
        <v/>
      </c>
      <c r="W47">
        <f>Heroes!$I47</f>
        <v/>
      </c>
      <c r="X47">
        <f>Heroes!$J47</f>
        <v/>
      </c>
      <c r="Y47">
        <f>IF($A$1="",0,MAX(IF(W47&lt;&gt;"",IFERROR(INDEX('Data-Input'!$B$164:$W$185,MATCH(W47,'Data-Input'!$A$164:$A$185,0),MATCH($K$1,'Data-Input'!$B$163:$W$163,0)),0),0),IF(AND(W47&lt;&gt;"",$L$1&lt;&gt;""),IFERROR(INDEX('Data-Input'!$B$164:$W$185,MATCH(W47,'Data-Input'!$A$164:$A$185,0),MATCH($L$1,'Data-Input'!$B$163:$W$163,0)),0),0),IF(X47&lt;&gt;"",IFERROR(INDEX('Data-Input'!$B$164:$W$185,MATCH(X47,'Data-Input'!$A$164:$A$185,0),MATCH($K$1,'Data-Input'!$B$163:$W$163,0)),0),0),IF(AND(X47&lt;&gt;"",$L$1&lt;&gt;""),IFERROR(INDEX('Data-Input'!$B$164:$W$185,MATCH(X47,'Data-Input'!$A$164:$A$185,0),MATCH($L$1,'Data-Input'!$B$163:$W$163,0)),0),0))*$M$1)</f>
        <v/>
      </c>
      <c r="Z47">
        <f>IF($A$1="",0,SUMPRODUCT(('Data-Input'!$A$29:$A$128=A47)*('Data-Input'!$B$29:$B$128="Tag")*((('Data-Input'!$C$29:$C$128=$K$1)+('Data-Input'!$C$29:$C$128=$L$1))&gt;0)*('Data-Input'!$D$29:$D$128-'Data-Input'!$E$29:$E$128))+SUMPRODUCT(('Data-Input'!$A$29:$A$128=A47)*('Data-Input'!$B$29:$B$128="Hero")*('Data-Input'!$C$29:$C$128=$A$1)*('Data-Input'!$D$29:$D$128-'Data-Input'!$E$29:$E$128))+SUMPRODUCT(('Data-Input'!$A$29:$A$128=A47)*('Data-Input'!$B$29:$B$128="Role")*((('Data-Input'!$C$29:$C$128=$B$1)+('Data-Input'!$C$29:$C$128=$AH$1))&gt;0)*('Data-Input'!$D$29:$D$128-'Data-Input'!$E$29:$E$128))+SUMPRODUCT(('Data-Input'!$A$29:$A$128=A47)*('Data-Input'!$B$29:$B$128="DamageType")*('Data-Input'!$C$29:$C$128=$E$1)*('Data-Input'!$D$29:$D$128-'Data-Input'!$E$29:$E$128))+SUMPRODUCT(('Data-Input'!$A$29:$A$128=A47)*('Data-Input'!$B$29:$B$128="Resource")*('Data-Input'!$C$29:$C$128=$AB$1)*('Data-Input'!$D$29:$D$128-'Data-Input'!$E$29:$E$128)))</f>
        <v/>
      </c>
      <c r="AE47">
        <f>Heroes!$R47</f>
        <v/>
      </c>
      <c r="AF47">
        <f>IF($A$1="",0,IF(AND(OR(W47="Dash/Blink",W47="High Mobility",W47="Global Dive",W47="Mobility",X47="Dash/Blink",X47="High Mobility",X47="Global Dive",X47="Mobility"),$AA$1="Ranged"),$AC$1,0))</f>
        <v/>
      </c>
      <c r="AG47">
        <f>IF($A$1="",0,IF(AND(AE47="Yes",OR($K$1="Sustain",$K$1="Healing",$L$1="Sustain",$L$1="Healing")),$AD$1,0))</f>
        <v/>
      </c>
    </row>
    <row r="48" ht="15" customHeight="1">
      <c r="A48">
        <f>Heroes!$B48</f>
        <v/>
      </c>
      <c r="B48">
        <f>Heroes!$C48</f>
        <v/>
      </c>
      <c r="C48">
        <f>Heroes!$D48</f>
        <v/>
      </c>
      <c r="D48">
        <f>Heroes!$E48</f>
        <v/>
      </c>
      <c r="E48">
        <f>Heroes!$F48</f>
        <v/>
      </c>
      <c r="F48">
        <f>Heroes!$H48</f>
        <v/>
      </c>
      <c r="G48">
        <f>Heroes!$K48</f>
        <v/>
      </c>
      <c r="H48">
        <f>Heroes!$Q48</f>
        <v/>
      </c>
      <c r="I48">
        <f>IFERROR(INDEX('Data-Input'!$B$19:$G$24,MATCH(B48,'Data-Input'!$A$19:$A$24,0),MATCH($B$1,'Data-Input'!$B$18:$G$18,0)),0)</f>
        <v/>
      </c>
      <c r="J48">
        <f>IF(C48&lt;&gt;"",IFERROR(INDEX('Data-Input'!$B$19:$G$24,MATCH(C48,'Data-Input'!$A$19:$A$24,0),MATCH($B$1,'Data-Input'!$B$18:$G$18,0)),0),I48)</f>
        <v/>
      </c>
      <c r="K48">
        <f>MAX(I48,J48)</f>
        <v/>
      </c>
      <c r="L48">
        <f>((D48+E48)/2-$C$1)*$H$1</f>
        <v/>
      </c>
      <c r="M48">
        <f>F48-$D$1</f>
        <v/>
      </c>
      <c r="N48">
        <f>IF(M48&gt;20,M48*$I$1,0)</f>
        <v/>
      </c>
      <c r="O48">
        <f>IF(G48="Mixed",$Q$1,IF(G48=$E$1,$O$1,$P$1))</f>
        <v/>
      </c>
      <c r="P48">
        <f>(H48-$F$1)*$N$1</f>
        <v/>
      </c>
      <c r="Q48">
        <f>K48*$G$1+L48+N48+O48+P48+Y48+Z48+AF48+AG48</f>
        <v/>
      </c>
      <c r="R48">
        <f>IFERROR(INDEX('Data-Input'!$C$190:$C$1189,MATCH(A48&amp;"|"&amp;$A$1,'Data-Input'!$E$190:$E$1189,0)),Q48)</f>
        <v/>
      </c>
      <c r="S48">
        <f>IF(OR($A$1="",A48=$A$1),-1000000000000000,R48)</f>
        <v/>
      </c>
      <c r="T48">
        <f>S48+ROW()*0.0000001</f>
        <v/>
      </c>
      <c r="U48">
        <f>Heroes!$M48</f>
        <v/>
      </c>
      <c r="V48">
        <f>IF(OR($A$1="",A48=$A$1,U48="",U48&lt;&gt;$J$1),-1000000000000000,R48)+ROW()*0.0000001</f>
        <v/>
      </c>
      <c r="W48">
        <f>Heroes!$I48</f>
        <v/>
      </c>
      <c r="X48">
        <f>Heroes!$J48</f>
        <v/>
      </c>
      <c r="Y48">
        <f>IF($A$1="",0,MAX(IF(W48&lt;&gt;"",IFERROR(INDEX('Data-Input'!$B$164:$W$185,MATCH(W48,'Data-Input'!$A$164:$A$185,0),MATCH($K$1,'Data-Input'!$B$163:$W$163,0)),0),0),IF(AND(W48&lt;&gt;"",$L$1&lt;&gt;""),IFERROR(INDEX('Data-Input'!$B$164:$W$185,MATCH(W48,'Data-Input'!$A$164:$A$185,0),MATCH($L$1,'Data-Input'!$B$163:$W$163,0)),0),0),IF(X48&lt;&gt;"",IFERROR(INDEX('Data-Input'!$B$164:$W$185,MATCH(X48,'Data-Input'!$A$164:$A$185,0),MATCH($K$1,'Data-Input'!$B$163:$W$163,0)),0),0),IF(AND(X48&lt;&gt;"",$L$1&lt;&gt;""),IFERROR(INDEX('Data-Input'!$B$164:$W$185,MATCH(X48,'Data-Input'!$A$164:$A$185,0),MATCH($L$1,'Data-Input'!$B$163:$W$163,0)),0),0))*$M$1)</f>
        <v/>
      </c>
      <c r="Z48">
        <f>IF($A$1="",0,SUMPRODUCT(('Data-Input'!$A$29:$A$128=A48)*('Data-Input'!$B$29:$B$128="Tag")*((('Data-Input'!$C$29:$C$128=$K$1)+('Data-Input'!$C$29:$C$128=$L$1))&gt;0)*('Data-Input'!$D$29:$D$128-'Data-Input'!$E$29:$E$128))+SUMPRODUCT(('Data-Input'!$A$29:$A$128=A48)*('Data-Input'!$B$29:$B$128="Hero")*('Data-Input'!$C$29:$C$128=$A$1)*('Data-Input'!$D$29:$D$128-'Data-Input'!$E$29:$E$128))+SUMPRODUCT(('Data-Input'!$A$29:$A$128=A48)*('Data-Input'!$B$29:$B$128="Role")*((('Data-Input'!$C$29:$C$128=$B$1)+('Data-Input'!$C$29:$C$128=$AH$1))&gt;0)*('Data-Input'!$D$29:$D$128-'Data-Input'!$E$29:$E$128))+SUMPRODUCT(('Data-Input'!$A$29:$A$128=A48)*('Data-Input'!$B$29:$B$128="DamageType")*('Data-Input'!$C$29:$C$128=$E$1)*('Data-Input'!$D$29:$D$128-'Data-Input'!$E$29:$E$128))+SUMPRODUCT(('Data-Input'!$A$29:$A$128=A48)*('Data-Input'!$B$29:$B$128="Resource")*('Data-Input'!$C$29:$C$128=$AB$1)*('Data-Input'!$D$29:$D$128-'Data-Input'!$E$29:$E$128)))</f>
        <v/>
      </c>
      <c r="AE48">
        <f>Heroes!$R48</f>
        <v/>
      </c>
      <c r="AF48">
        <f>IF($A$1="",0,IF(AND(OR(W48="Dash/Blink",W48="High Mobility",W48="Global Dive",W48="Mobility",X48="Dash/Blink",X48="High Mobility",X48="Global Dive",X48="Mobility"),$AA$1="Ranged"),$AC$1,0))</f>
        <v/>
      </c>
      <c r="AG48">
        <f>IF($A$1="",0,IF(AND(AE48="Yes",OR($K$1="Sustain",$K$1="Healing",$L$1="Sustain",$L$1="Healing")),$AD$1,0))</f>
        <v/>
      </c>
    </row>
    <row r="49" ht="15" customHeight="1">
      <c r="A49">
        <f>Heroes!$B49</f>
        <v/>
      </c>
      <c r="B49">
        <f>Heroes!$C49</f>
        <v/>
      </c>
      <c r="C49">
        <f>Heroes!$D49</f>
        <v/>
      </c>
      <c r="D49">
        <f>Heroes!$E49</f>
        <v/>
      </c>
      <c r="E49">
        <f>Heroes!$F49</f>
        <v/>
      </c>
      <c r="F49">
        <f>Heroes!$H49</f>
        <v/>
      </c>
      <c r="G49">
        <f>Heroes!$K49</f>
        <v/>
      </c>
      <c r="H49">
        <f>Heroes!$Q49</f>
        <v/>
      </c>
      <c r="I49">
        <f>IFERROR(INDEX('Data-Input'!$B$19:$G$24,MATCH(B49,'Data-Input'!$A$19:$A$24,0),MATCH($B$1,'Data-Input'!$B$18:$G$18,0)),0)</f>
        <v/>
      </c>
      <c r="J49">
        <f>IF(C49&lt;&gt;"",IFERROR(INDEX('Data-Input'!$B$19:$G$24,MATCH(C49,'Data-Input'!$A$19:$A$24,0),MATCH($B$1,'Data-Input'!$B$18:$G$18,0)),0),I49)</f>
        <v/>
      </c>
      <c r="K49">
        <f>MAX(I49,J49)</f>
        <v/>
      </c>
      <c r="L49">
        <f>((D49+E49)/2-$C$1)*$H$1</f>
        <v/>
      </c>
      <c r="M49">
        <f>F49-$D$1</f>
        <v/>
      </c>
      <c r="N49">
        <f>IF(M49&gt;20,M49*$I$1,0)</f>
        <v/>
      </c>
      <c r="O49">
        <f>IF(G49="Mixed",$Q$1,IF(G49=$E$1,$O$1,$P$1))</f>
        <v/>
      </c>
      <c r="P49">
        <f>(H49-$F$1)*$N$1</f>
        <v/>
      </c>
      <c r="Q49">
        <f>K49*$G$1+L49+N49+O49+P49+Y49+Z49+AF49+AG49</f>
        <v/>
      </c>
      <c r="R49">
        <f>IFERROR(INDEX('Data-Input'!$C$190:$C$1189,MATCH(A49&amp;"|"&amp;$A$1,'Data-Input'!$E$190:$E$1189,0)),Q49)</f>
        <v/>
      </c>
      <c r="S49">
        <f>IF(OR($A$1="",A49=$A$1),-1000000000000000,R49)</f>
        <v/>
      </c>
      <c r="T49">
        <f>S49+ROW()*0.0000001</f>
        <v/>
      </c>
      <c r="U49">
        <f>Heroes!$M49</f>
        <v/>
      </c>
      <c r="V49">
        <f>IF(OR($A$1="",A49=$A$1,U49="",U49&lt;&gt;$J$1),-1000000000000000,R49)+ROW()*0.0000001</f>
        <v/>
      </c>
      <c r="W49">
        <f>Heroes!$I49</f>
        <v/>
      </c>
      <c r="X49">
        <f>Heroes!$J49</f>
        <v/>
      </c>
      <c r="Y49">
        <f>IF($A$1="",0,MAX(IF(W49&lt;&gt;"",IFERROR(INDEX('Data-Input'!$B$164:$W$185,MATCH(W49,'Data-Input'!$A$164:$A$185,0),MATCH($K$1,'Data-Input'!$B$163:$W$163,0)),0),0),IF(AND(W49&lt;&gt;"",$L$1&lt;&gt;""),IFERROR(INDEX('Data-Input'!$B$164:$W$185,MATCH(W49,'Data-Input'!$A$164:$A$185,0),MATCH($L$1,'Data-Input'!$B$163:$W$163,0)),0),0),IF(X49&lt;&gt;"",IFERROR(INDEX('Data-Input'!$B$164:$W$185,MATCH(X49,'Data-Input'!$A$164:$A$185,0),MATCH($K$1,'Data-Input'!$B$163:$W$163,0)),0),0),IF(AND(X49&lt;&gt;"",$L$1&lt;&gt;""),IFERROR(INDEX('Data-Input'!$B$164:$W$185,MATCH(X49,'Data-Input'!$A$164:$A$185,0),MATCH($L$1,'Data-Input'!$B$163:$W$163,0)),0),0))*$M$1)</f>
        <v/>
      </c>
      <c r="Z49">
        <f>IF($A$1="",0,SUMPRODUCT(('Data-Input'!$A$29:$A$128=A49)*('Data-Input'!$B$29:$B$128="Tag")*((('Data-Input'!$C$29:$C$128=$K$1)+('Data-Input'!$C$29:$C$128=$L$1))&gt;0)*('Data-Input'!$D$29:$D$128-'Data-Input'!$E$29:$E$128))+SUMPRODUCT(('Data-Input'!$A$29:$A$128=A49)*('Data-Input'!$B$29:$B$128="Hero")*('Data-Input'!$C$29:$C$128=$A$1)*('Data-Input'!$D$29:$D$128-'Data-Input'!$E$29:$E$128))+SUMPRODUCT(('Data-Input'!$A$29:$A$128=A49)*('Data-Input'!$B$29:$B$128="Role")*((('Data-Input'!$C$29:$C$128=$B$1)+('Data-Input'!$C$29:$C$128=$AH$1))&gt;0)*('Data-Input'!$D$29:$D$128-'Data-Input'!$E$29:$E$128))+SUMPRODUCT(('Data-Input'!$A$29:$A$128=A49)*('Data-Input'!$B$29:$B$128="DamageType")*('Data-Input'!$C$29:$C$128=$E$1)*('Data-Input'!$D$29:$D$128-'Data-Input'!$E$29:$E$128))+SUMPRODUCT(('Data-Input'!$A$29:$A$128=A49)*('Data-Input'!$B$29:$B$128="Resource")*('Data-Input'!$C$29:$C$128=$AB$1)*('Data-Input'!$D$29:$D$128-'Data-Input'!$E$29:$E$128)))</f>
        <v/>
      </c>
      <c r="AE49">
        <f>Heroes!$R49</f>
        <v/>
      </c>
      <c r="AF49">
        <f>IF($A$1="",0,IF(AND(OR(W49="Dash/Blink",W49="High Mobility",W49="Global Dive",W49="Mobility",X49="Dash/Blink",X49="High Mobility",X49="Global Dive",X49="Mobility"),$AA$1="Ranged"),$AC$1,0))</f>
        <v/>
      </c>
      <c r="AG49">
        <f>IF($A$1="",0,IF(AND(AE49="Yes",OR($K$1="Sustain",$K$1="Healing",$L$1="Sustain",$L$1="Healing")),$AD$1,0))</f>
        <v/>
      </c>
    </row>
    <row r="50" ht="15" customHeight="1">
      <c r="A50">
        <f>Heroes!$B50</f>
        <v/>
      </c>
      <c r="B50">
        <f>Heroes!$C50</f>
        <v/>
      </c>
      <c r="C50">
        <f>Heroes!$D50</f>
        <v/>
      </c>
      <c r="D50">
        <f>Heroes!$E50</f>
        <v/>
      </c>
      <c r="E50">
        <f>Heroes!$F50</f>
        <v/>
      </c>
      <c r="F50">
        <f>Heroes!$H50</f>
        <v/>
      </c>
      <c r="G50">
        <f>Heroes!$K50</f>
        <v/>
      </c>
      <c r="H50">
        <f>Heroes!$Q50</f>
        <v/>
      </c>
      <c r="I50">
        <f>IFERROR(INDEX('Data-Input'!$B$19:$G$24,MATCH(B50,'Data-Input'!$A$19:$A$24,0),MATCH($B$1,'Data-Input'!$B$18:$G$18,0)),0)</f>
        <v/>
      </c>
      <c r="J50">
        <f>IF(C50&lt;&gt;"",IFERROR(INDEX('Data-Input'!$B$19:$G$24,MATCH(C50,'Data-Input'!$A$19:$A$24,0),MATCH($B$1,'Data-Input'!$B$18:$G$18,0)),0),I50)</f>
        <v/>
      </c>
      <c r="K50">
        <f>MAX(I50,J50)</f>
        <v/>
      </c>
      <c r="L50">
        <f>((D50+E50)/2-$C$1)*$H$1</f>
        <v/>
      </c>
      <c r="M50">
        <f>F50-$D$1</f>
        <v/>
      </c>
      <c r="N50">
        <f>IF(M50&gt;20,M50*$I$1,0)</f>
        <v/>
      </c>
      <c r="O50">
        <f>IF(G50="Mixed",$Q$1,IF(G50=$E$1,$O$1,$P$1))</f>
        <v/>
      </c>
      <c r="P50">
        <f>(H50-$F$1)*$N$1</f>
        <v/>
      </c>
      <c r="Q50">
        <f>K50*$G$1+L50+N50+O50+P50+Y50+Z50+AF50+AG50</f>
        <v/>
      </c>
      <c r="R50">
        <f>IFERROR(INDEX('Data-Input'!$C$190:$C$1189,MATCH(A50&amp;"|"&amp;$A$1,'Data-Input'!$E$190:$E$1189,0)),Q50)</f>
        <v/>
      </c>
      <c r="S50">
        <f>IF(OR($A$1="",A50=$A$1),-1000000000000000,R50)</f>
        <v/>
      </c>
      <c r="T50">
        <f>S50+ROW()*0.0000001</f>
        <v/>
      </c>
      <c r="U50">
        <f>Heroes!$M50</f>
        <v/>
      </c>
      <c r="V50">
        <f>IF(OR($A$1="",A50=$A$1,U50="",U50&lt;&gt;$J$1),-1000000000000000,R50)+ROW()*0.0000001</f>
        <v/>
      </c>
      <c r="W50">
        <f>Heroes!$I50</f>
        <v/>
      </c>
      <c r="X50">
        <f>Heroes!$J50</f>
        <v/>
      </c>
      <c r="Y50">
        <f>IF($A$1="",0,MAX(IF(W50&lt;&gt;"",IFERROR(INDEX('Data-Input'!$B$164:$W$185,MATCH(W50,'Data-Input'!$A$164:$A$185,0),MATCH($K$1,'Data-Input'!$B$163:$W$163,0)),0),0),IF(AND(W50&lt;&gt;"",$L$1&lt;&gt;""),IFERROR(INDEX('Data-Input'!$B$164:$W$185,MATCH(W50,'Data-Input'!$A$164:$A$185,0),MATCH($L$1,'Data-Input'!$B$163:$W$163,0)),0),0),IF(X50&lt;&gt;"",IFERROR(INDEX('Data-Input'!$B$164:$W$185,MATCH(X50,'Data-Input'!$A$164:$A$185,0),MATCH($K$1,'Data-Input'!$B$163:$W$163,0)),0),0),IF(AND(X50&lt;&gt;"",$L$1&lt;&gt;""),IFERROR(INDEX('Data-Input'!$B$164:$W$185,MATCH(X50,'Data-Input'!$A$164:$A$185,0),MATCH($L$1,'Data-Input'!$B$163:$W$163,0)),0),0))*$M$1)</f>
        <v/>
      </c>
      <c r="Z50">
        <f>IF($A$1="",0,SUMPRODUCT(('Data-Input'!$A$29:$A$128=A50)*('Data-Input'!$B$29:$B$128="Tag")*((('Data-Input'!$C$29:$C$128=$K$1)+('Data-Input'!$C$29:$C$128=$L$1))&gt;0)*('Data-Input'!$D$29:$D$128-'Data-Input'!$E$29:$E$128))+SUMPRODUCT(('Data-Input'!$A$29:$A$128=A50)*('Data-Input'!$B$29:$B$128="Hero")*('Data-Input'!$C$29:$C$128=$A$1)*('Data-Input'!$D$29:$D$128-'Data-Input'!$E$29:$E$128))+SUMPRODUCT(('Data-Input'!$A$29:$A$128=A50)*('Data-Input'!$B$29:$B$128="Role")*((('Data-Input'!$C$29:$C$128=$B$1)+('Data-Input'!$C$29:$C$128=$AH$1))&gt;0)*('Data-Input'!$D$29:$D$128-'Data-Input'!$E$29:$E$128))+SUMPRODUCT(('Data-Input'!$A$29:$A$128=A50)*('Data-Input'!$B$29:$B$128="DamageType")*('Data-Input'!$C$29:$C$128=$E$1)*('Data-Input'!$D$29:$D$128-'Data-Input'!$E$29:$E$128))+SUMPRODUCT(('Data-Input'!$A$29:$A$128=A50)*('Data-Input'!$B$29:$B$128="Resource")*('Data-Input'!$C$29:$C$128=$AB$1)*('Data-Input'!$D$29:$D$128-'Data-Input'!$E$29:$E$128)))</f>
        <v/>
      </c>
      <c r="AE50">
        <f>Heroes!$R50</f>
        <v/>
      </c>
      <c r="AF50">
        <f>IF($A$1="",0,IF(AND(OR(W50="Dash/Blink",W50="High Mobility",W50="Global Dive",W50="Mobility",X50="Dash/Blink",X50="High Mobility",X50="Global Dive",X50="Mobility"),$AA$1="Ranged"),$AC$1,0))</f>
        <v/>
      </c>
      <c r="AG50">
        <f>IF($A$1="",0,IF(AND(AE50="Yes",OR($K$1="Sustain",$K$1="Healing",$L$1="Sustain",$L$1="Healing")),$AD$1,0))</f>
        <v/>
      </c>
    </row>
    <row r="51" ht="15" customHeight="1">
      <c r="A51">
        <f>Heroes!$B51</f>
        <v/>
      </c>
      <c r="B51">
        <f>Heroes!$C51</f>
        <v/>
      </c>
      <c r="C51">
        <f>Heroes!$D51</f>
        <v/>
      </c>
      <c r="D51">
        <f>Heroes!$E51</f>
        <v/>
      </c>
      <c r="E51">
        <f>Heroes!$F51</f>
        <v/>
      </c>
      <c r="F51">
        <f>Heroes!$H51</f>
        <v/>
      </c>
      <c r="G51">
        <f>Heroes!$K51</f>
        <v/>
      </c>
      <c r="H51">
        <f>Heroes!$Q51</f>
        <v/>
      </c>
      <c r="I51">
        <f>IFERROR(INDEX('Data-Input'!$B$19:$G$24,MATCH(B51,'Data-Input'!$A$19:$A$24,0),MATCH($B$1,'Data-Input'!$B$18:$G$18,0)),0)</f>
        <v/>
      </c>
      <c r="J51">
        <f>IF(C51&lt;&gt;"",IFERROR(INDEX('Data-Input'!$B$19:$G$24,MATCH(C51,'Data-Input'!$A$19:$A$24,0),MATCH($B$1,'Data-Input'!$B$18:$G$18,0)),0),I51)</f>
        <v/>
      </c>
      <c r="K51">
        <f>MAX(I51,J51)</f>
        <v/>
      </c>
      <c r="L51">
        <f>((D51+E51)/2-$C$1)*$H$1</f>
        <v/>
      </c>
      <c r="M51">
        <f>F51-$D$1</f>
        <v/>
      </c>
      <c r="N51">
        <f>IF(M51&gt;20,M51*$I$1,0)</f>
        <v/>
      </c>
      <c r="O51">
        <f>IF(G51="Mixed",$Q$1,IF(G51=$E$1,$O$1,$P$1))</f>
        <v/>
      </c>
      <c r="P51">
        <f>(H51-$F$1)*$N$1</f>
        <v/>
      </c>
      <c r="Q51">
        <f>K51*$G$1+L51+N51+O51+P51+Y51+Z51+AF51+AG51</f>
        <v/>
      </c>
      <c r="R51">
        <f>IFERROR(INDEX('Data-Input'!$C$190:$C$1189,MATCH(A51&amp;"|"&amp;$A$1,'Data-Input'!$E$190:$E$1189,0)),Q51)</f>
        <v/>
      </c>
      <c r="S51">
        <f>IF(OR($A$1="",A51=$A$1),-1000000000000000,R51)</f>
        <v/>
      </c>
      <c r="T51">
        <f>S51+ROW()*0.0000001</f>
        <v/>
      </c>
      <c r="U51">
        <f>Heroes!$M51</f>
        <v/>
      </c>
      <c r="V51">
        <f>IF(OR($A$1="",A51=$A$1,U51="",U51&lt;&gt;$J$1),-1000000000000000,R51)+ROW()*0.0000001</f>
        <v/>
      </c>
      <c r="W51">
        <f>Heroes!$I51</f>
        <v/>
      </c>
      <c r="X51">
        <f>Heroes!$J51</f>
        <v/>
      </c>
      <c r="Y51">
        <f>IF($A$1="",0,MAX(IF(W51&lt;&gt;"",IFERROR(INDEX('Data-Input'!$B$164:$W$185,MATCH(W51,'Data-Input'!$A$164:$A$185,0),MATCH($K$1,'Data-Input'!$B$163:$W$163,0)),0),0),IF(AND(W51&lt;&gt;"",$L$1&lt;&gt;""),IFERROR(INDEX('Data-Input'!$B$164:$W$185,MATCH(W51,'Data-Input'!$A$164:$A$185,0),MATCH($L$1,'Data-Input'!$B$163:$W$163,0)),0),0),IF(X51&lt;&gt;"",IFERROR(INDEX('Data-Input'!$B$164:$W$185,MATCH(X51,'Data-Input'!$A$164:$A$185,0),MATCH($K$1,'Data-Input'!$B$163:$W$163,0)),0),0),IF(AND(X51&lt;&gt;"",$L$1&lt;&gt;""),IFERROR(INDEX('Data-Input'!$B$164:$W$185,MATCH(X51,'Data-Input'!$A$164:$A$185,0),MATCH($L$1,'Data-Input'!$B$163:$W$163,0)),0),0))*$M$1)</f>
        <v/>
      </c>
      <c r="Z51">
        <f>IF($A$1="",0,SUMPRODUCT(('Data-Input'!$A$29:$A$128=A51)*('Data-Input'!$B$29:$B$128="Tag")*((('Data-Input'!$C$29:$C$128=$K$1)+('Data-Input'!$C$29:$C$128=$L$1))&gt;0)*('Data-Input'!$D$29:$D$128-'Data-Input'!$E$29:$E$128))+SUMPRODUCT(('Data-Input'!$A$29:$A$128=A51)*('Data-Input'!$B$29:$B$128="Hero")*('Data-Input'!$C$29:$C$128=$A$1)*('Data-Input'!$D$29:$D$128-'Data-Input'!$E$29:$E$128))+SUMPRODUCT(('Data-Input'!$A$29:$A$128=A51)*('Data-Input'!$B$29:$B$128="Role")*((('Data-Input'!$C$29:$C$128=$B$1)+('Data-Input'!$C$29:$C$128=$AH$1))&gt;0)*('Data-Input'!$D$29:$D$128-'Data-Input'!$E$29:$E$128))+SUMPRODUCT(('Data-Input'!$A$29:$A$128=A51)*('Data-Input'!$B$29:$B$128="DamageType")*('Data-Input'!$C$29:$C$128=$E$1)*('Data-Input'!$D$29:$D$128-'Data-Input'!$E$29:$E$128))+SUMPRODUCT(('Data-Input'!$A$29:$A$128=A51)*('Data-Input'!$B$29:$B$128="Resource")*('Data-Input'!$C$29:$C$128=$AB$1)*('Data-Input'!$D$29:$D$128-'Data-Input'!$E$29:$E$128)))</f>
        <v/>
      </c>
      <c r="AE51">
        <f>Heroes!$R51</f>
        <v/>
      </c>
      <c r="AF51">
        <f>IF($A$1="",0,IF(AND(OR(W51="Dash/Blink",W51="High Mobility",W51="Global Dive",W51="Mobility",X51="Dash/Blink",X51="High Mobility",X51="Global Dive",X51="Mobility"),$AA$1="Ranged"),$AC$1,0))</f>
        <v/>
      </c>
      <c r="AG51">
        <f>IF($A$1="",0,IF(AND(AE51="Yes",OR($K$1="Sustain",$K$1="Healing",$L$1="Sustain",$L$1="Healing")),$AD$1,0))</f>
        <v/>
      </c>
    </row>
    <row r="52" ht="15" customHeight="1">
      <c r="A52">
        <f>Heroes!$B52</f>
        <v/>
      </c>
      <c r="B52">
        <f>Heroes!$C52</f>
        <v/>
      </c>
      <c r="C52">
        <f>Heroes!$D52</f>
        <v/>
      </c>
      <c r="D52">
        <f>Heroes!$E52</f>
        <v/>
      </c>
      <c r="E52">
        <f>Heroes!$F52</f>
        <v/>
      </c>
      <c r="F52">
        <f>Heroes!$H52</f>
        <v/>
      </c>
      <c r="G52">
        <f>Heroes!$K52</f>
        <v/>
      </c>
      <c r="H52">
        <f>Heroes!$Q52</f>
        <v/>
      </c>
      <c r="I52">
        <f>IFERROR(INDEX('Data-Input'!$B$19:$G$24,MATCH(B52,'Data-Input'!$A$19:$A$24,0),MATCH($B$1,'Data-Input'!$B$18:$G$18,0)),0)</f>
        <v/>
      </c>
      <c r="J52">
        <f>IF(C52&lt;&gt;"",IFERROR(INDEX('Data-Input'!$B$19:$G$24,MATCH(C52,'Data-Input'!$A$19:$A$24,0),MATCH($B$1,'Data-Input'!$B$18:$G$18,0)),0),I52)</f>
        <v/>
      </c>
      <c r="K52">
        <f>MAX(I52,J52)</f>
        <v/>
      </c>
      <c r="L52">
        <f>((D52+E52)/2-$C$1)*$H$1</f>
        <v/>
      </c>
      <c r="M52">
        <f>F52-$D$1</f>
        <v/>
      </c>
      <c r="N52">
        <f>IF(M52&gt;20,M52*$I$1,0)</f>
        <v/>
      </c>
      <c r="O52">
        <f>IF(G52="Mixed",$Q$1,IF(G52=$E$1,$O$1,$P$1))</f>
        <v/>
      </c>
      <c r="P52">
        <f>(H52-$F$1)*$N$1</f>
        <v/>
      </c>
      <c r="Q52">
        <f>K52*$G$1+L52+N52+O52+P52+Y52+Z52+AF52+AG52</f>
        <v/>
      </c>
      <c r="R52">
        <f>IFERROR(INDEX('Data-Input'!$C$190:$C$1189,MATCH(A52&amp;"|"&amp;$A$1,'Data-Input'!$E$190:$E$1189,0)),Q52)</f>
        <v/>
      </c>
      <c r="S52">
        <f>IF(OR($A$1="",A52=$A$1),-1000000000000000,R52)</f>
        <v/>
      </c>
      <c r="T52">
        <f>S52+ROW()*0.0000001</f>
        <v/>
      </c>
      <c r="U52">
        <f>Heroes!$M52</f>
        <v/>
      </c>
      <c r="V52">
        <f>IF(OR($A$1="",A52=$A$1,U52="",U52&lt;&gt;$J$1),-1000000000000000,R52)+ROW()*0.0000001</f>
        <v/>
      </c>
      <c r="W52">
        <f>Heroes!$I52</f>
        <v/>
      </c>
      <c r="X52">
        <f>Heroes!$J52</f>
        <v/>
      </c>
      <c r="Y52">
        <f>IF($A$1="",0,MAX(IF(W52&lt;&gt;"",IFERROR(INDEX('Data-Input'!$B$164:$W$185,MATCH(W52,'Data-Input'!$A$164:$A$185,0),MATCH($K$1,'Data-Input'!$B$163:$W$163,0)),0),0),IF(AND(W52&lt;&gt;"",$L$1&lt;&gt;""),IFERROR(INDEX('Data-Input'!$B$164:$W$185,MATCH(W52,'Data-Input'!$A$164:$A$185,0),MATCH($L$1,'Data-Input'!$B$163:$W$163,0)),0),0),IF(X52&lt;&gt;"",IFERROR(INDEX('Data-Input'!$B$164:$W$185,MATCH(X52,'Data-Input'!$A$164:$A$185,0),MATCH($K$1,'Data-Input'!$B$163:$W$163,0)),0),0),IF(AND(X52&lt;&gt;"",$L$1&lt;&gt;""),IFERROR(INDEX('Data-Input'!$B$164:$W$185,MATCH(X52,'Data-Input'!$A$164:$A$185,0),MATCH($L$1,'Data-Input'!$B$163:$W$163,0)),0),0))*$M$1)</f>
        <v/>
      </c>
      <c r="Z52">
        <f>IF($A$1="",0,SUMPRODUCT(('Data-Input'!$A$29:$A$128=A52)*('Data-Input'!$B$29:$B$128="Tag")*((('Data-Input'!$C$29:$C$128=$K$1)+('Data-Input'!$C$29:$C$128=$L$1))&gt;0)*('Data-Input'!$D$29:$D$128-'Data-Input'!$E$29:$E$128))+SUMPRODUCT(('Data-Input'!$A$29:$A$128=A52)*('Data-Input'!$B$29:$B$128="Hero")*('Data-Input'!$C$29:$C$128=$A$1)*('Data-Input'!$D$29:$D$128-'Data-Input'!$E$29:$E$128))+SUMPRODUCT(('Data-Input'!$A$29:$A$128=A52)*('Data-Input'!$B$29:$B$128="Role")*((('Data-Input'!$C$29:$C$128=$B$1)+('Data-Input'!$C$29:$C$128=$AH$1))&gt;0)*('Data-Input'!$D$29:$D$128-'Data-Input'!$E$29:$E$128))+SUMPRODUCT(('Data-Input'!$A$29:$A$128=A52)*('Data-Input'!$B$29:$B$128="DamageType")*('Data-Input'!$C$29:$C$128=$E$1)*('Data-Input'!$D$29:$D$128-'Data-Input'!$E$29:$E$128))+SUMPRODUCT(('Data-Input'!$A$29:$A$128=A52)*('Data-Input'!$B$29:$B$128="Resource")*('Data-Input'!$C$29:$C$128=$AB$1)*('Data-Input'!$D$29:$D$128-'Data-Input'!$E$29:$E$128)))</f>
        <v/>
      </c>
      <c r="AE52">
        <f>Heroes!$R52</f>
        <v/>
      </c>
      <c r="AF52">
        <f>IF($A$1="",0,IF(AND(OR(W52="Dash/Blink",W52="High Mobility",W52="Global Dive",W52="Mobility",X52="Dash/Blink",X52="High Mobility",X52="Global Dive",X52="Mobility"),$AA$1="Ranged"),$AC$1,0))</f>
        <v/>
      </c>
      <c r="AG52">
        <f>IF($A$1="",0,IF(AND(AE52="Yes",OR($K$1="Sustain",$K$1="Healing",$L$1="Sustain",$L$1="Healing")),$AD$1,0))</f>
        <v/>
      </c>
    </row>
    <row r="53" ht="15" customHeight="1">
      <c r="A53">
        <f>Heroes!$B53</f>
        <v/>
      </c>
      <c r="B53">
        <f>Heroes!$C53</f>
        <v/>
      </c>
      <c r="C53">
        <f>Heroes!$D53</f>
        <v/>
      </c>
      <c r="D53">
        <f>Heroes!$E53</f>
        <v/>
      </c>
      <c r="E53">
        <f>Heroes!$F53</f>
        <v/>
      </c>
      <c r="F53">
        <f>Heroes!$H53</f>
        <v/>
      </c>
      <c r="G53">
        <f>Heroes!$K53</f>
        <v/>
      </c>
      <c r="H53">
        <f>Heroes!$Q53</f>
        <v/>
      </c>
      <c r="I53">
        <f>IFERROR(INDEX('Data-Input'!$B$19:$G$24,MATCH(B53,'Data-Input'!$A$19:$A$24,0),MATCH($B$1,'Data-Input'!$B$18:$G$18,0)),0)</f>
        <v/>
      </c>
      <c r="J53">
        <f>IF(C53&lt;&gt;"",IFERROR(INDEX('Data-Input'!$B$19:$G$24,MATCH(C53,'Data-Input'!$A$19:$A$24,0),MATCH($B$1,'Data-Input'!$B$18:$G$18,0)),0),I53)</f>
        <v/>
      </c>
      <c r="K53">
        <f>MAX(I53,J53)</f>
        <v/>
      </c>
      <c r="L53">
        <f>((D53+E53)/2-$C$1)*$H$1</f>
        <v/>
      </c>
      <c r="M53">
        <f>F53-$D$1</f>
        <v/>
      </c>
      <c r="N53">
        <f>IF(M53&gt;20,M53*$I$1,0)</f>
        <v/>
      </c>
      <c r="O53">
        <f>IF(G53="Mixed",$Q$1,IF(G53=$E$1,$O$1,$P$1))</f>
        <v/>
      </c>
      <c r="P53">
        <f>(H53-$F$1)*$N$1</f>
        <v/>
      </c>
      <c r="Q53">
        <f>K53*$G$1+L53+N53+O53+P53+Y53+Z53+AF53+AG53</f>
        <v/>
      </c>
      <c r="R53">
        <f>IFERROR(INDEX('Data-Input'!$C$190:$C$1189,MATCH(A53&amp;"|"&amp;$A$1,'Data-Input'!$E$190:$E$1189,0)),Q53)</f>
        <v/>
      </c>
      <c r="S53">
        <f>IF(OR($A$1="",A53=$A$1),-1000000000000000,R53)</f>
        <v/>
      </c>
      <c r="T53">
        <f>S53+ROW()*0.0000001</f>
        <v/>
      </c>
      <c r="U53">
        <f>Heroes!$M53</f>
        <v/>
      </c>
      <c r="V53">
        <f>IF(OR($A$1="",A53=$A$1,U53="",U53&lt;&gt;$J$1),-1000000000000000,R53)+ROW()*0.0000001</f>
        <v/>
      </c>
      <c r="W53">
        <f>Heroes!$I53</f>
        <v/>
      </c>
      <c r="X53">
        <f>Heroes!$J53</f>
        <v/>
      </c>
      <c r="Y53">
        <f>IF($A$1="",0,MAX(IF(W53&lt;&gt;"",IFERROR(INDEX('Data-Input'!$B$164:$W$185,MATCH(W53,'Data-Input'!$A$164:$A$185,0),MATCH($K$1,'Data-Input'!$B$163:$W$163,0)),0),0),IF(AND(W53&lt;&gt;"",$L$1&lt;&gt;""),IFERROR(INDEX('Data-Input'!$B$164:$W$185,MATCH(W53,'Data-Input'!$A$164:$A$185,0),MATCH($L$1,'Data-Input'!$B$163:$W$163,0)),0),0),IF(X53&lt;&gt;"",IFERROR(INDEX('Data-Input'!$B$164:$W$185,MATCH(X53,'Data-Input'!$A$164:$A$185,0),MATCH($K$1,'Data-Input'!$B$163:$W$163,0)),0),0),IF(AND(X53&lt;&gt;"",$L$1&lt;&gt;""),IFERROR(INDEX('Data-Input'!$B$164:$W$185,MATCH(X53,'Data-Input'!$A$164:$A$185,0),MATCH($L$1,'Data-Input'!$B$163:$W$163,0)),0),0))*$M$1)</f>
        <v/>
      </c>
      <c r="Z53">
        <f>IF($A$1="",0,SUMPRODUCT(('Data-Input'!$A$29:$A$128=A53)*('Data-Input'!$B$29:$B$128="Tag")*((('Data-Input'!$C$29:$C$128=$K$1)+('Data-Input'!$C$29:$C$128=$L$1))&gt;0)*('Data-Input'!$D$29:$D$128-'Data-Input'!$E$29:$E$128))+SUMPRODUCT(('Data-Input'!$A$29:$A$128=A53)*('Data-Input'!$B$29:$B$128="Hero")*('Data-Input'!$C$29:$C$128=$A$1)*('Data-Input'!$D$29:$D$128-'Data-Input'!$E$29:$E$128))+SUMPRODUCT(('Data-Input'!$A$29:$A$128=A53)*('Data-Input'!$B$29:$B$128="Role")*((('Data-Input'!$C$29:$C$128=$B$1)+('Data-Input'!$C$29:$C$128=$AH$1))&gt;0)*('Data-Input'!$D$29:$D$128-'Data-Input'!$E$29:$E$128))+SUMPRODUCT(('Data-Input'!$A$29:$A$128=A53)*('Data-Input'!$B$29:$B$128="DamageType")*('Data-Input'!$C$29:$C$128=$E$1)*('Data-Input'!$D$29:$D$128-'Data-Input'!$E$29:$E$128))+SUMPRODUCT(('Data-Input'!$A$29:$A$128=A53)*('Data-Input'!$B$29:$B$128="Resource")*('Data-Input'!$C$29:$C$128=$AB$1)*('Data-Input'!$D$29:$D$128-'Data-Input'!$E$29:$E$128)))</f>
        <v/>
      </c>
      <c r="AE53">
        <f>Heroes!$R53</f>
        <v/>
      </c>
      <c r="AF53">
        <f>IF($A$1="",0,IF(AND(OR(W53="Dash/Blink",W53="High Mobility",W53="Global Dive",W53="Mobility",X53="Dash/Blink",X53="High Mobility",X53="Global Dive",X53="Mobility"),$AA$1="Ranged"),$AC$1,0))</f>
        <v/>
      </c>
      <c r="AG53">
        <f>IF($A$1="",0,IF(AND(AE53="Yes",OR($K$1="Sustain",$K$1="Healing",$L$1="Sustain",$L$1="Healing")),$AD$1,0))</f>
        <v/>
      </c>
    </row>
    <row r="54" ht="15" customHeight="1">
      <c r="A54">
        <f>Heroes!$B54</f>
        <v/>
      </c>
      <c r="B54">
        <f>Heroes!$C54</f>
        <v/>
      </c>
      <c r="C54">
        <f>Heroes!$D54</f>
        <v/>
      </c>
      <c r="D54">
        <f>Heroes!$E54</f>
        <v/>
      </c>
      <c r="E54">
        <f>Heroes!$F54</f>
        <v/>
      </c>
      <c r="F54">
        <f>Heroes!$H54</f>
        <v/>
      </c>
      <c r="G54">
        <f>Heroes!$K54</f>
        <v/>
      </c>
      <c r="H54">
        <f>Heroes!$Q54</f>
        <v/>
      </c>
      <c r="I54">
        <f>IFERROR(INDEX('Data-Input'!$B$19:$G$24,MATCH(B54,'Data-Input'!$A$19:$A$24,0),MATCH($B$1,'Data-Input'!$B$18:$G$18,0)),0)</f>
        <v/>
      </c>
      <c r="J54">
        <f>IF(C54&lt;&gt;"",IFERROR(INDEX('Data-Input'!$B$19:$G$24,MATCH(C54,'Data-Input'!$A$19:$A$24,0),MATCH($B$1,'Data-Input'!$B$18:$G$18,0)),0),I54)</f>
        <v/>
      </c>
      <c r="K54">
        <f>MAX(I54,J54)</f>
        <v/>
      </c>
      <c r="L54">
        <f>((D54+E54)/2-$C$1)*$H$1</f>
        <v/>
      </c>
      <c r="M54">
        <f>F54-$D$1</f>
        <v/>
      </c>
      <c r="N54">
        <f>IF(M54&gt;20,M54*$I$1,0)</f>
        <v/>
      </c>
      <c r="O54">
        <f>IF(G54="Mixed",$Q$1,IF(G54=$E$1,$O$1,$P$1))</f>
        <v/>
      </c>
      <c r="P54">
        <f>(H54-$F$1)*$N$1</f>
        <v/>
      </c>
      <c r="Q54">
        <f>K54*$G$1+L54+N54+O54+P54+Y54+Z54+AF54+AG54</f>
        <v/>
      </c>
      <c r="R54">
        <f>IFERROR(INDEX('Data-Input'!$C$190:$C$1189,MATCH(A54&amp;"|"&amp;$A$1,'Data-Input'!$E$190:$E$1189,0)),Q54)</f>
        <v/>
      </c>
      <c r="S54">
        <f>IF(OR($A$1="",A54=$A$1),-1000000000000000,R54)</f>
        <v/>
      </c>
      <c r="T54">
        <f>S54+ROW()*0.0000001</f>
        <v/>
      </c>
      <c r="U54">
        <f>Heroes!$M54</f>
        <v/>
      </c>
      <c r="V54">
        <f>IF(OR($A$1="",A54=$A$1,U54="",U54&lt;&gt;$J$1),-1000000000000000,R54)+ROW()*0.0000001</f>
        <v/>
      </c>
      <c r="W54">
        <f>Heroes!$I54</f>
        <v/>
      </c>
      <c r="X54">
        <f>Heroes!$J54</f>
        <v/>
      </c>
      <c r="Y54">
        <f>IF($A$1="",0,MAX(IF(W54&lt;&gt;"",IFERROR(INDEX('Data-Input'!$B$164:$W$185,MATCH(W54,'Data-Input'!$A$164:$A$185,0),MATCH($K$1,'Data-Input'!$B$163:$W$163,0)),0),0),IF(AND(W54&lt;&gt;"",$L$1&lt;&gt;""),IFERROR(INDEX('Data-Input'!$B$164:$W$185,MATCH(W54,'Data-Input'!$A$164:$A$185,0),MATCH($L$1,'Data-Input'!$B$163:$W$163,0)),0),0),IF(X54&lt;&gt;"",IFERROR(INDEX('Data-Input'!$B$164:$W$185,MATCH(X54,'Data-Input'!$A$164:$A$185,0),MATCH($K$1,'Data-Input'!$B$163:$W$163,0)),0),0),IF(AND(X54&lt;&gt;"",$L$1&lt;&gt;""),IFERROR(INDEX('Data-Input'!$B$164:$W$185,MATCH(X54,'Data-Input'!$A$164:$A$185,0),MATCH($L$1,'Data-Input'!$B$163:$W$163,0)),0),0))*$M$1)</f>
        <v/>
      </c>
      <c r="Z54">
        <f>IF($A$1="",0,SUMPRODUCT(('Data-Input'!$A$29:$A$128=A54)*('Data-Input'!$B$29:$B$128="Tag")*((('Data-Input'!$C$29:$C$128=$K$1)+('Data-Input'!$C$29:$C$128=$L$1))&gt;0)*('Data-Input'!$D$29:$D$128-'Data-Input'!$E$29:$E$128))+SUMPRODUCT(('Data-Input'!$A$29:$A$128=A54)*('Data-Input'!$B$29:$B$128="Hero")*('Data-Input'!$C$29:$C$128=$A$1)*('Data-Input'!$D$29:$D$128-'Data-Input'!$E$29:$E$128))+SUMPRODUCT(('Data-Input'!$A$29:$A$128=A54)*('Data-Input'!$B$29:$B$128="Role")*((('Data-Input'!$C$29:$C$128=$B$1)+('Data-Input'!$C$29:$C$128=$AH$1))&gt;0)*('Data-Input'!$D$29:$D$128-'Data-Input'!$E$29:$E$128))+SUMPRODUCT(('Data-Input'!$A$29:$A$128=A54)*('Data-Input'!$B$29:$B$128="DamageType")*('Data-Input'!$C$29:$C$128=$E$1)*('Data-Input'!$D$29:$D$128-'Data-Input'!$E$29:$E$128))+SUMPRODUCT(('Data-Input'!$A$29:$A$128=A54)*('Data-Input'!$B$29:$B$128="Resource")*('Data-Input'!$C$29:$C$128=$AB$1)*('Data-Input'!$D$29:$D$128-'Data-Input'!$E$29:$E$128)))</f>
        <v/>
      </c>
      <c r="AE54">
        <f>Heroes!$R54</f>
        <v/>
      </c>
      <c r="AF54">
        <f>IF($A$1="",0,IF(AND(OR(W54="Dash/Blink",W54="High Mobility",W54="Global Dive",W54="Mobility",X54="Dash/Blink",X54="High Mobility",X54="Global Dive",X54="Mobility"),$AA$1="Ranged"),$AC$1,0))</f>
        <v/>
      </c>
      <c r="AG54">
        <f>IF($A$1="",0,IF(AND(AE54="Yes",OR($K$1="Sustain",$K$1="Healing",$L$1="Sustain",$L$1="Healing")),$AD$1,0))</f>
        <v/>
      </c>
    </row>
    <row r="55" ht="15" customHeight="1">
      <c r="A55">
        <f>Heroes!$B55</f>
        <v/>
      </c>
      <c r="B55">
        <f>Heroes!$C55</f>
        <v/>
      </c>
      <c r="C55">
        <f>Heroes!$D55</f>
        <v/>
      </c>
      <c r="D55">
        <f>Heroes!$E55</f>
        <v/>
      </c>
      <c r="E55">
        <f>Heroes!$F55</f>
        <v/>
      </c>
      <c r="F55">
        <f>Heroes!$H55</f>
        <v/>
      </c>
      <c r="G55">
        <f>Heroes!$K55</f>
        <v/>
      </c>
      <c r="H55">
        <f>Heroes!$Q55</f>
        <v/>
      </c>
      <c r="I55">
        <f>IFERROR(INDEX('Data-Input'!$B$19:$G$24,MATCH(B55,'Data-Input'!$A$19:$A$24,0),MATCH($B$1,'Data-Input'!$B$18:$G$18,0)),0)</f>
        <v/>
      </c>
      <c r="J55">
        <f>IF(C55&lt;&gt;"",IFERROR(INDEX('Data-Input'!$B$19:$G$24,MATCH(C55,'Data-Input'!$A$19:$A$24,0),MATCH($B$1,'Data-Input'!$B$18:$G$18,0)),0),I55)</f>
        <v/>
      </c>
      <c r="K55">
        <f>MAX(I55,J55)</f>
        <v/>
      </c>
      <c r="L55">
        <f>((D55+E55)/2-$C$1)*$H$1</f>
        <v/>
      </c>
      <c r="M55">
        <f>F55-$D$1</f>
        <v/>
      </c>
      <c r="N55">
        <f>IF(M55&gt;20,M55*$I$1,0)</f>
        <v/>
      </c>
      <c r="O55">
        <f>IF(G55="Mixed",$Q$1,IF(G55=$E$1,$O$1,$P$1))</f>
        <v/>
      </c>
      <c r="P55">
        <f>(H55-$F$1)*$N$1</f>
        <v/>
      </c>
      <c r="Q55">
        <f>K55*$G$1+L55+N55+O55+P55+Y55+Z55+AF55+AG55</f>
        <v/>
      </c>
      <c r="R55">
        <f>IFERROR(INDEX('Data-Input'!$C$190:$C$1189,MATCH(A55&amp;"|"&amp;$A$1,'Data-Input'!$E$190:$E$1189,0)),Q55)</f>
        <v/>
      </c>
      <c r="S55">
        <f>IF(OR($A$1="",A55=$A$1),-1000000000000000,R55)</f>
        <v/>
      </c>
      <c r="T55">
        <f>S55+ROW()*0.0000001</f>
        <v/>
      </c>
      <c r="U55">
        <f>Heroes!$M55</f>
        <v/>
      </c>
      <c r="V55">
        <f>IF(OR($A$1="",A55=$A$1,U55="",U55&lt;&gt;$J$1),-1000000000000000,R55)+ROW()*0.0000001</f>
        <v/>
      </c>
      <c r="W55">
        <f>Heroes!$I55</f>
        <v/>
      </c>
      <c r="X55">
        <f>Heroes!$J55</f>
        <v/>
      </c>
      <c r="Y55">
        <f>IF($A$1="",0,MAX(IF(W55&lt;&gt;"",IFERROR(INDEX('Data-Input'!$B$164:$W$185,MATCH(W55,'Data-Input'!$A$164:$A$185,0),MATCH($K$1,'Data-Input'!$B$163:$W$163,0)),0),0),IF(AND(W55&lt;&gt;"",$L$1&lt;&gt;""),IFERROR(INDEX('Data-Input'!$B$164:$W$185,MATCH(W55,'Data-Input'!$A$164:$A$185,0),MATCH($L$1,'Data-Input'!$B$163:$W$163,0)),0),0),IF(X55&lt;&gt;"",IFERROR(INDEX('Data-Input'!$B$164:$W$185,MATCH(X55,'Data-Input'!$A$164:$A$185,0),MATCH($K$1,'Data-Input'!$B$163:$W$163,0)),0),0),IF(AND(X55&lt;&gt;"",$L$1&lt;&gt;""),IFERROR(INDEX('Data-Input'!$B$164:$W$185,MATCH(X55,'Data-Input'!$A$164:$A$185,0),MATCH($L$1,'Data-Input'!$B$163:$W$163,0)),0),0))*$M$1)</f>
        <v/>
      </c>
      <c r="Z55">
        <f>IF($A$1="",0,SUMPRODUCT(('Data-Input'!$A$29:$A$128=A55)*('Data-Input'!$B$29:$B$128="Tag")*((('Data-Input'!$C$29:$C$128=$K$1)+('Data-Input'!$C$29:$C$128=$L$1))&gt;0)*('Data-Input'!$D$29:$D$128-'Data-Input'!$E$29:$E$128))+SUMPRODUCT(('Data-Input'!$A$29:$A$128=A55)*('Data-Input'!$B$29:$B$128="Hero")*('Data-Input'!$C$29:$C$128=$A$1)*('Data-Input'!$D$29:$D$128-'Data-Input'!$E$29:$E$128))+SUMPRODUCT(('Data-Input'!$A$29:$A$128=A55)*('Data-Input'!$B$29:$B$128="Role")*((('Data-Input'!$C$29:$C$128=$B$1)+('Data-Input'!$C$29:$C$128=$AH$1))&gt;0)*('Data-Input'!$D$29:$D$128-'Data-Input'!$E$29:$E$128))+SUMPRODUCT(('Data-Input'!$A$29:$A$128=A55)*('Data-Input'!$B$29:$B$128="DamageType")*('Data-Input'!$C$29:$C$128=$E$1)*('Data-Input'!$D$29:$D$128-'Data-Input'!$E$29:$E$128))+SUMPRODUCT(('Data-Input'!$A$29:$A$128=A55)*('Data-Input'!$B$29:$B$128="Resource")*('Data-Input'!$C$29:$C$128=$AB$1)*('Data-Input'!$D$29:$D$128-'Data-Input'!$E$29:$E$128)))</f>
        <v/>
      </c>
      <c r="AE55">
        <f>Heroes!$R55</f>
        <v/>
      </c>
      <c r="AF55">
        <f>IF($A$1="",0,IF(AND(OR(W55="Dash/Blink",W55="High Mobility",W55="Global Dive",W55="Mobility",X55="Dash/Blink",X55="High Mobility",X55="Global Dive",X55="Mobility"),$AA$1="Ranged"),$AC$1,0))</f>
        <v/>
      </c>
      <c r="AG55">
        <f>IF($A$1="",0,IF(AND(AE55="Yes",OR($K$1="Sustain",$K$1="Healing",$L$1="Sustain",$L$1="Healing")),$AD$1,0))</f>
        <v/>
      </c>
    </row>
    <row r="56" ht="15" customHeight="1">
      <c r="A56">
        <f>Heroes!$B56</f>
        <v/>
      </c>
      <c r="B56">
        <f>Heroes!$C56</f>
        <v/>
      </c>
      <c r="C56">
        <f>Heroes!$D56</f>
        <v/>
      </c>
      <c r="D56">
        <f>Heroes!$E56</f>
        <v/>
      </c>
      <c r="E56">
        <f>Heroes!$F56</f>
        <v/>
      </c>
      <c r="F56">
        <f>Heroes!$H56</f>
        <v/>
      </c>
      <c r="G56">
        <f>Heroes!$K56</f>
        <v/>
      </c>
      <c r="H56">
        <f>Heroes!$Q56</f>
        <v/>
      </c>
      <c r="I56">
        <f>IFERROR(INDEX('Data-Input'!$B$19:$G$24,MATCH(B56,'Data-Input'!$A$19:$A$24,0),MATCH($B$1,'Data-Input'!$B$18:$G$18,0)),0)</f>
        <v/>
      </c>
      <c r="J56">
        <f>IF(C56&lt;&gt;"",IFERROR(INDEX('Data-Input'!$B$19:$G$24,MATCH(C56,'Data-Input'!$A$19:$A$24,0),MATCH($B$1,'Data-Input'!$B$18:$G$18,0)),0),I56)</f>
        <v/>
      </c>
      <c r="K56">
        <f>MAX(I56,J56)</f>
        <v/>
      </c>
      <c r="L56">
        <f>((D56+E56)/2-$C$1)*$H$1</f>
        <v/>
      </c>
      <c r="M56">
        <f>F56-$D$1</f>
        <v/>
      </c>
      <c r="N56">
        <f>IF(M56&gt;20,M56*$I$1,0)</f>
        <v/>
      </c>
      <c r="O56">
        <f>IF(G56="Mixed",$Q$1,IF(G56=$E$1,$O$1,$P$1))</f>
        <v/>
      </c>
      <c r="P56">
        <f>(H56-$F$1)*$N$1</f>
        <v/>
      </c>
      <c r="Q56">
        <f>K56*$G$1+L56+N56+O56+P56+Y56+Z56+AF56+AG56</f>
        <v/>
      </c>
      <c r="R56">
        <f>IFERROR(INDEX('Data-Input'!$C$190:$C$1189,MATCH(A56&amp;"|"&amp;$A$1,'Data-Input'!$E$190:$E$1189,0)),Q56)</f>
        <v/>
      </c>
      <c r="S56">
        <f>IF(OR($A$1="",A56=$A$1),-1000000000000000,R56)</f>
        <v/>
      </c>
      <c r="T56">
        <f>S56+ROW()*0.0000001</f>
        <v/>
      </c>
      <c r="U56">
        <f>Heroes!$M56</f>
        <v/>
      </c>
      <c r="V56">
        <f>IF(OR($A$1="",A56=$A$1,U56="",U56&lt;&gt;$J$1),-1000000000000000,R56)+ROW()*0.0000001</f>
        <v/>
      </c>
      <c r="W56">
        <f>Heroes!$I56</f>
        <v/>
      </c>
      <c r="X56">
        <f>Heroes!$J56</f>
        <v/>
      </c>
      <c r="Y56">
        <f>IF($A$1="",0,MAX(IF(W56&lt;&gt;"",IFERROR(INDEX('Data-Input'!$B$164:$W$185,MATCH(W56,'Data-Input'!$A$164:$A$185,0),MATCH($K$1,'Data-Input'!$B$163:$W$163,0)),0),0),IF(AND(W56&lt;&gt;"",$L$1&lt;&gt;""),IFERROR(INDEX('Data-Input'!$B$164:$W$185,MATCH(W56,'Data-Input'!$A$164:$A$185,0),MATCH($L$1,'Data-Input'!$B$163:$W$163,0)),0),0),IF(X56&lt;&gt;"",IFERROR(INDEX('Data-Input'!$B$164:$W$185,MATCH(X56,'Data-Input'!$A$164:$A$185,0),MATCH($K$1,'Data-Input'!$B$163:$W$163,0)),0),0),IF(AND(X56&lt;&gt;"",$L$1&lt;&gt;""),IFERROR(INDEX('Data-Input'!$B$164:$W$185,MATCH(X56,'Data-Input'!$A$164:$A$185,0),MATCH($L$1,'Data-Input'!$B$163:$W$163,0)),0),0))*$M$1)</f>
        <v/>
      </c>
      <c r="Z56">
        <f>IF($A$1="",0,SUMPRODUCT(('Data-Input'!$A$29:$A$128=A56)*('Data-Input'!$B$29:$B$128="Tag")*((('Data-Input'!$C$29:$C$128=$K$1)+('Data-Input'!$C$29:$C$128=$L$1))&gt;0)*('Data-Input'!$D$29:$D$128-'Data-Input'!$E$29:$E$128))+SUMPRODUCT(('Data-Input'!$A$29:$A$128=A56)*('Data-Input'!$B$29:$B$128="Hero")*('Data-Input'!$C$29:$C$128=$A$1)*('Data-Input'!$D$29:$D$128-'Data-Input'!$E$29:$E$128))+SUMPRODUCT(('Data-Input'!$A$29:$A$128=A56)*('Data-Input'!$B$29:$B$128="Role")*((('Data-Input'!$C$29:$C$128=$B$1)+('Data-Input'!$C$29:$C$128=$AH$1))&gt;0)*('Data-Input'!$D$29:$D$128-'Data-Input'!$E$29:$E$128))+SUMPRODUCT(('Data-Input'!$A$29:$A$128=A56)*('Data-Input'!$B$29:$B$128="DamageType")*('Data-Input'!$C$29:$C$128=$E$1)*('Data-Input'!$D$29:$D$128-'Data-Input'!$E$29:$E$128))+SUMPRODUCT(('Data-Input'!$A$29:$A$128=A56)*('Data-Input'!$B$29:$B$128="Resource")*('Data-Input'!$C$29:$C$128=$AB$1)*('Data-Input'!$D$29:$D$128-'Data-Input'!$E$29:$E$128)))</f>
        <v/>
      </c>
      <c r="AE56">
        <f>Heroes!$R56</f>
        <v/>
      </c>
      <c r="AF56">
        <f>IF($A$1="",0,IF(AND(OR(W56="Dash/Blink",W56="High Mobility",W56="Global Dive",W56="Mobility",X56="Dash/Blink",X56="High Mobility",X56="Global Dive",X56="Mobility"),$AA$1="Ranged"),$AC$1,0))</f>
        <v/>
      </c>
      <c r="AG56">
        <f>IF($A$1="",0,IF(AND(AE56="Yes",OR($K$1="Sustain",$K$1="Healing",$L$1="Sustain",$L$1="Healing")),$AD$1,0))</f>
        <v/>
      </c>
    </row>
    <row r="57" ht="15" customHeight="1">
      <c r="A57">
        <f>Heroes!$B57</f>
        <v/>
      </c>
      <c r="B57">
        <f>Heroes!$C57</f>
        <v/>
      </c>
      <c r="C57">
        <f>Heroes!$D57</f>
        <v/>
      </c>
      <c r="D57">
        <f>Heroes!$E57</f>
        <v/>
      </c>
      <c r="E57">
        <f>Heroes!$F57</f>
        <v/>
      </c>
      <c r="F57">
        <f>Heroes!$H57</f>
        <v/>
      </c>
      <c r="G57">
        <f>Heroes!$K57</f>
        <v/>
      </c>
      <c r="H57">
        <f>Heroes!$Q57</f>
        <v/>
      </c>
      <c r="I57">
        <f>IFERROR(INDEX('Data-Input'!$B$19:$G$24,MATCH(B57,'Data-Input'!$A$19:$A$24,0),MATCH($B$1,'Data-Input'!$B$18:$G$18,0)),0)</f>
        <v/>
      </c>
      <c r="J57">
        <f>IF(C57&lt;&gt;"",IFERROR(INDEX('Data-Input'!$B$19:$G$24,MATCH(C57,'Data-Input'!$A$19:$A$24,0),MATCH($B$1,'Data-Input'!$B$18:$G$18,0)),0),I57)</f>
        <v/>
      </c>
      <c r="K57">
        <f>MAX(I57,J57)</f>
        <v/>
      </c>
      <c r="L57">
        <f>((D57+E57)/2-$C$1)*$H$1</f>
        <v/>
      </c>
      <c r="M57">
        <f>F57-$D$1</f>
        <v/>
      </c>
      <c r="N57">
        <f>IF(M57&gt;20,M57*$I$1,0)</f>
        <v/>
      </c>
      <c r="O57">
        <f>IF(G57="Mixed",$Q$1,IF(G57=$E$1,$O$1,$P$1))</f>
        <v/>
      </c>
      <c r="P57">
        <f>(H57-$F$1)*$N$1</f>
        <v/>
      </c>
      <c r="Q57">
        <f>K57*$G$1+L57+N57+O57+P57+Y57+Z57+AF57+AG57</f>
        <v/>
      </c>
      <c r="R57">
        <f>IFERROR(INDEX('Data-Input'!$C$190:$C$1189,MATCH(A57&amp;"|"&amp;$A$1,'Data-Input'!$E$190:$E$1189,0)),Q57)</f>
        <v/>
      </c>
      <c r="S57">
        <f>IF(OR($A$1="",A57=$A$1),-1000000000000000,R57)</f>
        <v/>
      </c>
      <c r="T57">
        <f>S57+ROW()*0.0000001</f>
        <v/>
      </c>
      <c r="U57">
        <f>Heroes!$M57</f>
        <v/>
      </c>
      <c r="V57">
        <f>IF(OR($A$1="",A57=$A$1,U57="",U57&lt;&gt;$J$1),-1000000000000000,R57)+ROW()*0.0000001</f>
        <v/>
      </c>
      <c r="W57">
        <f>Heroes!$I57</f>
        <v/>
      </c>
      <c r="X57">
        <f>Heroes!$J57</f>
        <v/>
      </c>
      <c r="Y57">
        <f>IF($A$1="",0,MAX(IF(W57&lt;&gt;"",IFERROR(INDEX('Data-Input'!$B$164:$W$185,MATCH(W57,'Data-Input'!$A$164:$A$185,0),MATCH($K$1,'Data-Input'!$B$163:$W$163,0)),0),0),IF(AND(W57&lt;&gt;"",$L$1&lt;&gt;""),IFERROR(INDEX('Data-Input'!$B$164:$W$185,MATCH(W57,'Data-Input'!$A$164:$A$185,0),MATCH($L$1,'Data-Input'!$B$163:$W$163,0)),0),0),IF(X57&lt;&gt;"",IFERROR(INDEX('Data-Input'!$B$164:$W$185,MATCH(X57,'Data-Input'!$A$164:$A$185,0),MATCH($K$1,'Data-Input'!$B$163:$W$163,0)),0),0),IF(AND(X57&lt;&gt;"",$L$1&lt;&gt;""),IFERROR(INDEX('Data-Input'!$B$164:$W$185,MATCH(X57,'Data-Input'!$A$164:$A$185,0),MATCH($L$1,'Data-Input'!$B$163:$W$163,0)),0),0))*$M$1)</f>
        <v/>
      </c>
      <c r="Z57">
        <f>IF($A$1="",0,SUMPRODUCT(('Data-Input'!$A$29:$A$128=A57)*('Data-Input'!$B$29:$B$128="Tag")*((('Data-Input'!$C$29:$C$128=$K$1)+('Data-Input'!$C$29:$C$128=$L$1))&gt;0)*('Data-Input'!$D$29:$D$128-'Data-Input'!$E$29:$E$128))+SUMPRODUCT(('Data-Input'!$A$29:$A$128=A57)*('Data-Input'!$B$29:$B$128="Hero")*('Data-Input'!$C$29:$C$128=$A$1)*('Data-Input'!$D$29:$D$128-'Data-Input'!$E$29:$E$128))+SUMPRODUCT(('Data-Input'!$A$29:$A$128=A57)*('Data-Input'!$B$29:$B$128="Role")*((('Data-Input'!$C$29:$C$128=$B$1)+('Data-Input'!$C$29:$C$128=$AH$1))&gt;0)*('Data-Input'!$D$29:$D$128-'Data-Input'!$E$29:$E$128))+SUMPRODUCT(('Data-Input'!$A$29:$A$128=A57)*('Data-Input'!$B$29:$B$128="DamageType")*('Data-Input'!$C$29:$C$128=$E$1)*('Data-Input'!$D$29:$D$128-'Data-Input'!$E$29:$E$128))+SUMPRODUCT(('Data-Input'!$A$29:$A$128=A57)*('Data-Input'!$B$29:$B$128="Resource")*('Data-Input'!$C$29:$C$128=$AB$1)*('Data-Input'!$D$29:$D$128-'Data-Input'!$E$29:$E$128)))</f>
        <v/>
      </c>
      <c r="AE57">
        <f>Heroes!$R57</f>
        <v/>
      </c>
      <c r="AF57">
        <f>IF($A$1="",0,IF(AND(OR(W57="Dash/Blink",W57="High Mobility",W57="Global Dive",W57="Mobility",X57="Dash/Blink",X57="High Mobility",X57="Global Dive",X57="Mobility"),$AA$1="Ranged"),$AC$1,0))</f>
        <v/>
      </c>
      <c r="AG57">
        <f>IF($A$1="",0,IF(AND(AE57="Yes",OR($K$1="Sustain",$K$1="Healing",$L$1="Sustain",$L$1="Healing")),$AD$1,0))</f>
        <v/>
      </c>
    </row>
    <row r="58" ht="15" customHeight="1">
      <c r="A58">
        <f>Heroes!$B58</f>
        <v/>
      </c>
      <c r="B58">
        <f>Heroes!$C58</f>
        <v/>
      </c>
      <c r="C58">
        <f>Heroes!$D58</f>
        <v/>
      </c>
      <c r="D58">
        <f>Heroes!$E58</f>
        <v/>
      </c>
      <c r="E58">
        <f>Heroes!$F58</f>
        <v/>
      </c>
      <c r="F58">
        <f>Heroes!$H58</f>
        <v/>
      </c>
      <c r="G58">
        <f>Heroes!$K58</f>
        <v/>
      </c>
      <c r="H58">
        <f>Heroes!$Q58</f>
        <v/>
      </c>
      <c r="I58">
        <f>IFERROR(INDEX('Data-Input'!$B$19:$G$24,MATCH(B58,'Data-Input'!$A$19:$A$24,0),MATCH($B$1,'Data-Input'!$B$18:$G$18,0)),0)</f>
        <v/>
      </c>
      <c r="J58">
        <f>IF(C58&lt;&gt;"",IFERROR(INDEX('Data-Input'!$B$19:$G$24,MATCH(C58,'Data-Input'!$A$19:$A$24,0),MATCH($B$1,'Data-Input'!$B$18:$G$18,0)),0),I58)</f>
        <v/>
      </c>
      <c r="K58">
        <f>MAX(I58,J58)</f>
        <v/>
      </c>
      <c r="L58">
        <f>((D58+E58)/2-$C$1)*$H$1</f>
        <v/>
      </c>
      <c r="M58">
        <f>F58-$D$1</f>
        <v/>
      </c>
      <c r="N58">
        <f>IF(M58&gt;20,M58*$I$1,0)</f>
        <v/>
      </c>
      <c r="O58">
        <f>IF(G58="Mixed",$Q$1,IF(G58=$E$1,$O$1,$P$1))</f>
        <v/>
      </c>
      <c r="P58">
        <f>(H58-$F$1)*$N$1</f>
        <v/>
      </c>
      <c r="Q58">
        <f>K58*$G$1+L58+N58+O58+P58+Y58+Z58+AF58+AG58</f>
        <v/>
      </c>
      <c r="R58">
        <f>IFERROR(INDEX('Data-Input'!$C$190:$C$1189,MATCH(A58&amp;"|"&amp;$A$1,'Data-Input'!$E$190:$E$1189,0)),Q58)</f>
        <v/>
      </c>
      <c r="S58">
        <f>IF(OR($A$1="",A58=$A$1),-1000000000000000,R58)</f>
        <v/>
      </c>
      <c r="T58">
        <f>S58+ROW()*0.0000001</f>
        <v/>
      </c>
      <c r="U58">
        <f>Heroes!$M58</f>
        <v/>
      </c>
      <c r="V58">
        <f>IF(OR($A$1="",A58=$A$1,U58="",U58&lt;&gt;$J$1),-1000000000000000,R58)+ROW()*0.0000001</f>
        <v/>
      </c>
      <c r="W58">
        <f>Heroes!$I58</f>
        <v/>
      </c>
      <c r="X58">
        <f>Heroes!$J58</f>
        <v/>
      </c>
      <c r="Y58">
        <f>IF($A$1="",0,MAX(IF(W58&lt;&gt;"",IFERROR(INDEX('Data-Input'!$B$164:$W$185,MATCH(W58,'Data-Input'!$A$164:$A$185,0),MATCH($K$1,'Data-Input'!$B$163:$W$163,0)),0),0),IF(AND(W58&lt;&gt;"",$L$1&lt;&gt;""),IFERROR(INDEX('Data-Input'!$B$164:$W$185,MATCH(W58,'Data-Input'!$A$164:$A$185,0),MATCH($L$1,'Data-Input'!$B$163:$W$163,0)),0),0),IF(X58&lt;&gt;"",IFERROR(INDEX('Data-Input'!$B$164:$W$185,MATCH(X58,'Data-Input'!$A$164:$A$185,0),MATCH($K$1,'Data-Input'!$B$163:$W$163,0)),0),0),IF(AND(X58&lt;&gt;"",$L$1&lt;&gt;""),IFERROR(INDEX('Data-Input'!$B$164:$W$185,MATCH(X58,'Data-Input'!$A$164:$A$185,0),MATCH($L$1,'Data-Input'!$B$163:$W$163,0)),0),0))*$M$1)</f>
        <v/>
      </c>
      <c r="Z58">
        <f>IF($A$1="",0,SUMPRODUCT(('Data-Input'!$A$29:$A$128=A58)*('Data-Input'!$B$29:$B$128="Tag")*((('Data-Input'!$C$29:$C$128=$K$1)+('Data-Input'!$C$29:$C$128=$L$1))&gt;0)*('Data-Input'!$D$29:$D$128-'Data-Input'!$E$29:$E$128))+SUMPRODUCT(('Data-Input'!$A$29:$A$128=A58)*('Data-Input'!$B$29:$B$128="Hero")*('Data-Input'!$C$29:$C$128=$A$1)*('Data-Input'!$D$29:$D$128-'Data-Input'!$E$29:$E$128))+SUMPRODUCT(('Data-Input'!$A$29:$A$128=A58)*('Data-Input'!$B$29:$B$128="Role")*((('Data-Input'!$C$29:$C$128=$B$1)+('Data-Input'!$C$29:$C$128=$AH$1))&gt;0)*('Data-Input'!$D$29:$D$128-'Data-Input'!$E$29:$E$128))+SUMPRODUCT(('Data-Input'!$A$29:$A$128=A58)*('Data-Input'!$B$29:$B$128="DamageType")*('Data-Input'!$C$29:$C$128=$E$1)*('Data-Input'!$D$29:$D$128-'Data-Input'!$E$29:$E$128))+SUMPRODUCT(('Data-Input'!$A$29:$A$128=A58)*('Data-Input'!$B$29:$B$128="Resource")*('Data-Input'!$C$29:$C$128=$AB$1)*('Data-Input'!$D$29:$D$128-'Data-Input'!$E$29:$E$128)))</f>
        <v/>
      </c>
      <c r="AE58">
        <f>Heroes!$R58</f>
        <v/>
      </c>
      <c r="AF58">
        <f>IF($A$1="",0,IF(AND(OR(W58="Dash/Blink",W58="High Mobility",W58="Global Dive",W58="Mobility",X58="Dash/Blink",X58="High Mobility",X58="Global Dive",X58="Mobility"),$AA$1="Ranged"),$AC$1,0))</f>
        <v/>
      </c>
      <c r="AG58">
        <f>IF($A$1="",0,IF(AND(AE58="Yes",OR($K$1="Sustain",$K$1="Healing",$L$1="Sustain",$L$1="Healing")),$AD$1,0))</f>
        <v/>
      </c>
    </row>
    <row r="59" ht="15" customHeight="1">
      <c r="A59">
        <f>Heroes!$B59</f>
        <v/>
      </c>
      <c r="B59">
        <f>Heroes!$C59</f>
        <v/>
      </c>
      <c r="C59">
        <f>Heroes!$D59</f>
        <v/>
      </c>
      <c r="D59">
        <f>Heroes!$E59</f>
        <v/>
      </c>
      <c r="E59">
        <f>Heroes!$F59</f>
        <v/>
      </c>
      <c r="F59">
        <f>Heroes!$H59</f>
        <v/>
      </c>
      <c r="G59">
        <f>Heroes!$K59</f>
        <v/>
      </c>
      <c r="H59">
        <f>Heroes!$Q59</f>
        <v/>
      </c>
      <c r="I59">
        <f>IFERROR(INDEX('Data-Input'!$B$19:$G$24,MATCH(B59,'Data-Input'!$A$19:$A$24,0),MATCH($B$1,'Data-Input'!$B$18:$G$18,0)),0)</f>
        <v/>
      </c>
      <c r="J59">
        <f>IF(C59&lt;&gt;"",IFERROR(INDEX('Data-Input'!$B$19:$G$24,MATCH(C59,'Data-Input'!$A$19:$A$24,0),MATCH($B$1,'Data-Input'!$B$18:$G$18,0)),0),I59)</f>
        <v/>
      </c>
      <c r="K59">
        <f>MAX(I59,J59)</f>
        <v/>
      </c>
      <c r="L59">
        <f>((D59+E59)/2-$C$1)*$H$1</f>
        <v/>
      </c>
      <c r="M59">
        <f>F59-$D$1</f>
        <v/>
      </c>
      <c r="N59">
        <f>IF(M59&gt;20,M59*$I$1,0)</f>
        <v/>
      </c>
      <c r="O59">
        <f>IF(G59="Mixed",$Q$1,IF(G59=$E$1,$O$1,$P$1))</f>
        <v/>
      </c>
      <c r="P59">
        <f>(H59-$F$1)*$N$1</f>
        <v/>
      </c>
      <c r="Q59">
        <f>K59*$G$1+L59+N59+O59+P59+Y59+Z59+AF59+AG59</f>
        <v/>
      </c>
      <c r="R59">
        <f>IFERROR(INDEX('Data-Input'!$C$190:$C$1189,MATCH(A59&amp;"|"&amp;$A$1,'Data-Input'!$E$190:$E$1189,0)),Q59)</f>
        <v/>
      </c>
      <c r="S59">
        <f>IF(OR($A$1="",A59=$A$1),-1000000000000000,R59)</f>
        <v/>
      </c>
      <c r="T59">
        <f>S59+ROW()*0.0000001</f>
        <v/>
      </c>
      <c r="U59">
        <f>Heroes!$M59</f>
        <v/>
      </c>
      <c r="V59">
        <f>IF(OR($A$1="",A59=$A$1,U59="",U59&lt;&gt;$J$1),-1000000000000000,R59)+ROW()*0.0000001</f>
        <v/>
      </c>
      <c r="W59">
        <f>Heroes!$I59</f>
        <v/>
      </c>
      <c r="X59">
        <f>Heroes!$J59</f>
        <v/>
      </c>
      <c r="Y59">
        <f>IF($A$1="",0,MAX(IF(W59&lt;&gt;"",IFERROR(INDEX('Data-Input'!$B$164:$W$185,MATCH(W59,'Data-Input'!$A$164:$A$185,0),MATCH($K$1,'Data-Input'!$B$163:$W$163,0)),0),0),IF(AND(W59&lt;&gt;"",$L$1&lt;&gt;""),IFERROR(INDEX('Data-Input'!$B$164:$W$185,MATCH(W59,'Data-Input'!$A$164:$A$185,0),MATCH($L$1,'Data-Input'!$B$163:$W$163,0)),0),0),IF(X59&lt;&gt;"",IFERROR(INDEX('Data-Input'!$B$164:$W$185,MATCH(X59,'Data-Input'!$A$164:$A$185,0),MATCH($K$1,'Data-Input'!$B$163:$W$163,0)),0),0),IF(AND(X59&lt;&gt;"",$L$1&lt;&gt;""),IFERROR(INDEX('Data-Input'!$B$164:$W$185,MATCH(X59,'Data-Input'!$A$164:$A$185,0),MATCH($L$1,'Data-Input'!$B$163:$W$163,0)),0),0))*$M$1)</f>
        <v/>
      </c>
      <c r="Z59">
        <f>IF($A$1="",0,SUMPRODUCT(('Data-Input'!$A$29:$A$128=A59)*('Data-Input'!$B$29:$B$128="Tag")*((('Data-Input'!$C$29:$C$128=$K$1)+('Data-Input'!$C$29:$C$128=$L$1))&gt;0)*('Data-Input'!$D$29:$D$128-'Data-Input'!$E$29:$E$128))+SUMPRODUCT(('Data-Input'!$A$29:$A$128=A59)*('Data-Input'!$B$29:$B$128="Hero")*('Data-Input'!$C$29:$C$128=$A$1)*('Data-Input'!$D$29:$D$128-'Data-Input'!$E$29:$E$128))+SUMPRODUCT(('Data-Input'!$A$29:$A$128=A59)*('Data-Input'!$B$29:$B$128="Role")*((('Data-Input'!$C$29:$C$128=$B$1)+('Data-Input'!$C$29:$C$128=$AH$1))&gt;0)*('Data-Input'!$D$29:$D$128-'Data-Input'!$E$29:$E$128))+SUMPRODUCT(('Data-Input'!$A$29:$A$128=A59)*('Data-Input'!$B$29:$B$128="DamageType")*('Data-Input'!$C$29:$C$128=$E$1)*('Data-Input'!$D$29:$D$128-'Data-Input'!$E$29:$E$128))+SUMPRODUCT(('Data-Input'!$A$29:$A$128=A59)*('Data-Input'!$B$29:$B$128="Resource")*('Data-Input'!$C$29:$C$128=$AB$1)*('Data-Input'!$D$29:$D$128-'Data-Input'!$E$29:$E$128)))</f>
        <v/>
      </c>
      <c r="AE59">
        <f>Heroes!$R59</f>
        <v/>
      </c>
      <c r="AF59">
        <f>IF($A$1="",0,IF(AND(OR(W59="Dash/Blink",W59="High Mobility",W59="Global Dive",W59="Mobility",X59="Dash/Blink",X59="High Mobility",X59="Global Dive",X59="Mobility"),$AA$1="Ranged"),$AC$1,0))</f>
        <v/>
      </c>
      <c r="AG59">
        <f>IF($A$1="",0,IF(AND(AE59="Yes",OR($K$1="Sustain",$K$1="Healing",$L$1="Sustain",$L$1="Healing")),$AD$1,0))</f>
        <v/>
      </c>
    </row>
    <row r="60" ht="15" customHeight="1">
      <c r="A60">
        <f>Heroes!$B60</f>
        <v/>
      </c>
      <c r="B60">
        <f>Heroes!$C60</f>
        <v/>
      </c>
      <c r="C60">
        <f>Heroes!$D60</f>
        <v/>
      </c>
      <c r="D60">
        <f>Heroes!$E60</f>
        <v/>
      </c>
      <c r="E60">
        <f>Heroes!$F60</f>
        <v/>
      </c>
      <c r="F60">
        <f>Heroes!$H60</f>
        <v/>
      </c>
      <c r="G60">
        <f>Heroes!$K60</f>
        <v/>
      </c>
      <c r="H60">
        <f>Heroes!$Q60</f>
        <v/>
      </c>
      <c r="I60">
        <f>IFERROR(INDEX('Data-Input'!$B$19:$G$24,MATCH(B60,'Data-Input'!$A$19:$A$24,0),MATCH($B$1,'Data-Input'!$B$18:$G$18,0)),0)</f>
        <v/>
      </c>
      <c r="J60">
        <f>IF(C60&lt;&gt;"",IFERROR(INDEX('Data-Input'!$B$19:$G$24,MATCH(C60,'Data-Input'!$A$19:$A$24,0),MATCH($B$1,'Data-Input'!$B$18:$G$18,0)),0),I60)</f>
        <v/>
      </c>
      <c r="K60">
        <f>MAX(I60,J60)</f>
        <v/>
      </c>
      <c r="L60">
        <f>((D60+E60)/2-$C$1)*$H$1</f>
        <v/>
      </c>
      <c r="M60">
        <f>F60-$D$1</f>
        <v/>
      </c>
      <c r="N60">
        <f>IF(M60&gt;20,M60*$I$1,0)</f>
        <v/>
      </c>
      <c r="O60">
        <f>IF(G60="Mixed",$Q$1,IF(G60=$E$1,$O$1,$P$1))</f>
        <v/>
      </c>
      <c r="P60">
        <f>(H60-$F$1)*$N$1</f>
        <v/>
      </c>
      <c r="Q60">
        <f>K60*$G$1+L60+N60+O60+P60+Y60+Z60+AF60+AG60</f>
        <v/>
      </c>
      <c r="R60">
        <f>IFERROR(INDEX('Data-Input'!$C$190:$C$1189,MATCH(A60&amp;"|"&amp;$A$1,'Data-Input'!$E$190:$E$1189,0)),Q60)</f>
        <v/>
      </c>
      <c r="S60">
        <f>IF(OR($A$1="",A60=$A$1),-1000000000000000,R60)</f>
        <v/>
      </c>
      <c r="T60">
        <f>S60+ROW()*0.0000001</f>
        <v/>
      </c>
      <c r="U60">
        <f>Heroes!$M60</f>
        <v/>
      </c>
      <c r="V60">
        <f>IF(OR($A$1="",A60=$A$1,U60="",U60&lt;&gt;$J$1),-1000000000000000,R60)+ROW()*0.0000001</f>
        <v/>
      </c>
      <c r="W60">
        <f>Heroes!$I60</f>
        <v/>
      </c>
      <c r="X60">
        <f>Heroes!$J60</f>
        <v/>
      </c>
      <c r="Y60">
        <f>IF($A$1="",0,MAX(IF(W60&lt;&gt;"",IFERROR(INDEX('Data-Input'!$B$164:$W$185,MATCH(W60,'Data-Input'!$A$164:$A$185,0),MATCH($K$1,'Data-Input'!$B$163:$W$163,0)),0),0),IF(AND(W60&lt;&gt;"",$L$1&lt;&gt;""),IFERROR(INDEX('Data-Input'!$B$164:$W$185,MATCH(W60,'Data-Input'!$A$164:$A$185,0),MATCH($L$1,'Data-Input'!$B$163:$W$163,0)),0),0),IF(X60&lt;&gt;"",IFERROR(INDEX('Data-Input'!$B$164:$W$185,MATCH(X60,'Data-Input'!$A$164:$A$185,0),MATCH($K$1,'Data-Input'!$B$163:$W$163,0)),0),0),IF(AND(X60&lt;&gt;"",$L$1&lt;&gt;""),IFERROR(INDEX('Data-Input'!$B$164:$W$185,MATCH(X60,'Data-Input'!$A$164:$A$185,0),MATCH($L$1,'Data-Input'!$B$163:$W$163,0)),0),0))*$M$1)</f>
        <v/>
      </c>
      <c r="Z60">
        <f>IF($A$1="",0,SUMPRODUCT(('Data-Input'!$A$29:$A$128=A60)*('Data-Input'!$B$29:$B$128="Tag")*((('Data-Input'!$C$29:$C$128=$K$1)+('Data-Input'!$C$29:$C$128=$L$1))&gt;0)*('Data-Input'!$D$29:$D$128-'Data-Input'!$E$29:$E$128))+SUMPRODUCT(('Data-Input'!$A$29:$A$128=A60)*('Data-Input'!$B$29:$B$128="Hero")*('Data-Input'!$C$29:$C$128=$A$1)*('Data-Input'!$D$29:$D$128-'Data-Input'!$E$29:$E$128))+SUMPRODUCT(('Data-Input'!$A$29:$A$128=A60)*('Data-Input'!$B$29:$B$128="Role")*((('Data-Input'!$C$29:$C$128=$B$1)+('Data-Input'!$C$29:$C$128=$AH$1))&gt;0)*('Data-Input'!$D$29:$D$128-'Data-Input'!$E$29:$E$128))+SUMPRODUCT(('Data-Input'!$A$29:$A$128=A60)*('Data-Input'!$B$29:$B$128="DamageType")*('Data-Input'!$C$29:$C$128=$E$1)*('Data-Input'!$D$29:$D$128-'Data-Input'!$E$29:$E$128))+SUMPRODUCT(('Data-Input'!$A$29:$A$128=A60)*('Data-Input'!$B$29:$B$128="Resource")*('Data-Input'!$C$29:$C$128=$AB$1)*('Data-Input'!$D$29:$D$128-'Data-Input'!$E$29:$E$128)))</f>
        <v/>
      </c>
      <c r="AE60">
        <f>Heroes!$R60</f>
        <v/>
      </c>
      <c r="AF60">
        <f>IF($A$1="",0,IF(AND(OR(W60="Dash/Blink",W60="High Mobility",W60="Global Dive",W60="Mobility",X60="Dash/Blink",X60="High Mobility",X60="Global Dive",X60="Mobility"),$AA$1="Ranged"),$AC$1,0))</f>
        <v/>
      </c>
      <c r="AG60">
        <f>IF($A$1="",0,IF(AND(AE60="Yes",OR($K$1="Sustain",$K$1="Healing",$L$1="Sustain",$L$1="Healing")),$AD$1,0))</f>
        <v/>
      </c>
    </row>
    <row r="61" ht="15" customHeight="1">
      <c r="A61">
        <f>Heroes!$B61</f>
        <v/>
      </c>
      <c r="B61">
        <f>Heroes!$C61</f>
        <v/>
      </c>
      <c r="C61">
        <f>Heroes!$D61</f>
        <v/>
      </c>
      <c r="D61">
        <f>Heroes!$E61</f>
        <v/>
      </c>
      <c r="E61">
        <f>Heroes!$F61</f>
        <v/>
      </c>
      <c r="F61">
        <f>Heroes!$H61</f>
        <v/>
      </c>
      <c r="G61">
        <f>Heroes!$K61</f>
        <v/>
      </c>
      <c r="H61">
        <f>Heroes!$Q61</f>
        <v/>
      </c>
      <c r="I61">
        <f>IFERROR(INDEX('Data-Input'!$B$19:$G$24,MATCH(B61,'Data-Input'!$A$19:$A$24,0),MATCH($B$1,'Data-Input'!$B$18:$G$18,0)),0)</f>
        <v/>
      </c>
      <c r="J61">
        <f>IF(C61&lt;&gt;"",IFERROR(INDEX('Data-Input'!$B$19:$G$24,MATCH(C61,'Data-Input'!$A$19:$A$24,0),MATCH($B$1,'Data-Input'!$B$18:$G$18,0)),0),I61)</f>
        <v/>
      </c>
      <c r="K61">
        <f>MAX(I61,J61)</f>
        <v/>
      </c>
      <c r="L61">
        <f>((D61+E61)/2-$C$1)*$H$1</f>
        <v/>
      </c>
      <c r="M61">
        <f>F61-$D$1</f>
        <v/>
      </c>
      <c r="N61">
        <f>IF(M61&gt;20,M61*$I$1,0)</f>
        <v/>
      </c>
      <c r="O61">
        <f>IF(G61="Mixed",$Q$1,IF(G61=$E$1,$O$1,$P$1))</f>
        <v/>
      </c>
      <c r="P61">
        <f>(H61-$F$1)*$N$1</f>
        <v/>
      </c>
      <c r="Q61">
        <f>K61*$G$1+L61+N61+O61+P61+Y61+Z61+AF61+AG61</f>
        <v/>
      </c>
      <c r="R61">
        <f>IFERROR(INDEX('Data-Input'!$C$190:$C$1189,MATCH(A61&amp;"|"&amp;$A$1,'Data-Input'!$E$190:$E$1189,0)),Q61)</f>
        <v/>
      </c>
      <c r="S61">
        <f>IF(OR($A$1="",A61=$A$1),-1000000000000000,R61)</f>
        <v/>
      </c>
      <c r="T61">
        <f>S61+ROW()*0.0000001</f>
        <v/>
      </c>
      <c r="U61">
        <f>Heroes!$M61</f>
        <v/>
      </c>
      <c r="V61">
        <f>IF(OR($A$1="",A61=$A$1,U61="",U61&lt;&gt;$J$1),-1000000000000000,R61)+ROW()*0.0000001</f>
        <v/>
      </c>
      <c r="W61">
        <f>Heroes!$I61</f>
        <v/>
      </c>
      <c r="X61">
        <f>Heroes!$J61</f>
        <v/>
      </c>
      <c r="Y61">
        <f>IF($A$1="",0,MAX(IF(W61&lt;&gt;"",IFERROR(INDEX('Data-Input'!$B$164:$W$185,MATCH(W61,'Data-Input'!$A$164:$A$185,0),MATCH($K$1,'Data-Input'!$B$163:$W$163,0)),0),0),IF(AND(W61&lt;&gt;"",$L$1&lt;&gt;""),IFERROR(INDEX('Data-Input'!$B$164:$W$185,MATCH(W61,'Data-Input'!$A$164:$A$185,0),MATCH($L$1,'Data-Input'!$B$163:$W$163,0)),0),0),IF(X61&lt;&gt;"",IFERROR(INDEX('Data-Input'!$B$164:$W$185,MATCH(X61,'Data-Input'!$A$164:$A$185,0),MATCH($K$1,'Data-Input'!$B$163:$W$163,0)),0),0),IF(AND(X61&lt;&gt;"",$L$1&lt;&gt;""),IFERROR(INDEX('Data-Input'!$B$164:$W$185,MATCH(X61,'Data-Input'!$A$164:$A$185,0),MATCH($L$1,'Data-Input'!$B$163:$W$163,0)),0),0))*$M$1)</f>
        <v/>
      </c>
      <c r="Z61">
        <f>IF($A$1="",0,SUMPRODUCT(('Data-Input'!$A$29:$A$128=A61)*('Data-Input'!$B$29:$B$128="Tag")*((('Data-Input'!$C$29:$C$128=$K$1)+('Data-Input'!$C$29:$C$128=$L$1))&gt;0)*('Data-Input'!$D$29:$D$128-'Data-Input'!$E$29:$E$128))+SUMPRODUCT(('Data-Input'!$A$29:$A$128=A61)*('Data-Input'!$B$29:$B$128="Hero")*('Data-Input'!$C$29:$C$128=$A$1)*('Data-Input'!$D$29:$D$128-'Data-Input'!$E$29:$E$128))+SUMPRODUCT(('Data-Input'!$A$29:$A$128=A61)*('Data-Input'!$B$29:$B$128="Role")*((('Data-Input'!$C$29:$C$128=$B$1)+('Data-Input'!$C$29:$C$128=$AH$1))&gt;0)*('Data-Input'!$D$29:$D$128-'Data-Input'!$E$29:$E$128))+SUMPRODUCT(('Data-Input'!$A$29:$A$128=A61)*('Data-Input'!$B$29:$B$128="DamageType")*('Data-Input'!$C$29:$C$128=$E$1)*('Data-Input'!$D$29:$D$128-'Data-Input'!$E$29:$E$128))+SUMPRODUCT(('Data-Input'!$A$29:$A$128=A61)*('Data-Input'!$B$29:$B$128="Resource")*('Data-Input'!$C$29:$C$128=$AB$1)*('Data-Input'!$D$29:$D$128-'Data-Input'!$E$29:$E$128)))</f>
        <v/>
      </c>
      <c r="AE61">
        <f>Heroes!$R61</f>
        <v/>
      </c>
      <c r="AF61">
        <f>IF($A$1="",0,IF(AND(OR(W61="Dash/Blink",W61="High Mobility",W61="Global Dive",W61="Mobility",X61="Dash/Blink",X61="High Mobility",X61="Global Dive",X61="Mobility"),$AA$1="Ranged"),$AC$1,0))</f>
        <v/>
      </c>
      <c r="AG61">
        <f>IF($A$1="",0,IF(AND(AE61="Yes",OR($K$1="Sustain",$K$1="Healing",$L$1="Sustain",$L$1="Healing")),$AD$1,0))</f>
        <v/>
      </c>
    </row>
    <row r="62" ht="15" customHeight="1">
      <c r="A62">
        <f>Heroes!$B62</f>
        <v/>
      </c>
      <c r="B62">
        <f>Heroes!$C62</f>
        <v/>
      </c>
      <c r="C62">
        <f>Heroes!$D62</f>
        <v/>
      </c>
      <c r="D62">
        <f>Heroes!$E62</f>
        <v/>
      </c>
      <c r="E62">
        <f>Heroes!$F62</f>
        <v/>
      </c>
      <c r="F62">
        <f>Heroes!$H62</f>
        <v/>
      </c>
      <c r="G62">
        <f>Heroes!$K62</f>
        <v/>
      </c>
      <c r="H62">
        <f>Heroes!$Q62</f>
        <v/>
      </c>
      <c r="I62">
        <f>IFERROR(INDEX('Data-Input'!$B$19:$G$24,MATCH(B62,'Data-Input'!$A$19:$A$24,0),MATCH($B$1,'Data-Input'!$B$18:$G$18,0)),0)</f>
        <v/>
      </c>
      <c r="J62">
        <f>IF(C62&lt;&gt;"",IFERROR(INDEX('Data-Input'!$B$19:$G$24,MATCH(C62,'Data-Input'!$A$19:$A$24,0),MATCH($B$1,'Data-Input'!$B$18:$G$18,0)),0),I62)</f>
        <v/>
      </c>
      <c r="K62">
        <f>MAX(I62,J62)</f>
        <v/>
      </c>
      <c r="L62">
        <f>((D62+E62)/2-$C$1)*$H$1</f>
        <v/>
      </c>
      <c r="M62">
        <f>F62-$D$1</f>
        <v/>
      </c>
      <c r="N62">
        <f>IF(M62&gt;20,M62*$I$1,0)</f>
        <v/>
      </c>
      <c r="O62">
        <f>IF(G62="Mixed",$Q$1,IF(G62=$E$1,$O$1,$P$1))</f>
        <v/>
      </c>
      <c r="P62">
        <f>(H62-$F$1)*$N$1</f>
        <v/>
      </c>
      <c r="Q62">
        <f>K62*$G$1+L62+N62+O62+P62+Y62+Z62+AF62+AG62</f>
        <v/>
      </c>
      <c r="R62">
        <f>IFERROR(INDEX('Data-Input'!$C$190:$C$1189,MATCH(A62&amp;"|"&amp;$A$1,'Data-Input'!$E$190:$E$1189,0)),Q62)</f>
        <v/>
      </c>
      <c r="S62">
        <f>IF(OR($A$1="",A62=$A$1),-1000000000000000,R62)</f>
        <v/>
      </c>
      <c r="T62">
        <f>S62+ROW()*0.0000001</f>
        <v/>
      </c>
      <c r="U62">
        <f>Heroes!$M62</f>
        <v/>
      </c>
      <c r="V62">
        <f>IF(OR($A$1="",A62=$A$1,U62="",U62&lt;&gt;$J$1),-1000000000000000,R62)+ROW()*0.0000001</f>
        <v/>
      </c>
      <c r="W62">
        <f>Heroes!$I62</f>
        <v/>
      </c>
      <c r="X62">
        <f>Heroes!$J62</f>
        <v/>
      </c>
      <c r="Y62">
        <f>IF($A$1="",0,MAX(IF(W62&lt;&gt;"",IFERROR(INDEX('Data-Input'!$B$164:$W$185,MATCH(W62,'Data-Input'!$A$164:$A$185,0),MATCH($K$1,'Data-Input'!$B$163:$W$163,0)),0),0),IF(AND(W62&lt;&gt;"",$L$1&lt;&gt;""),IFERROR(INDEX('Data-Input'!$B$164:$W$185,MATCH(W62,'Data-Input'!$A$164:$A$185,0),MATCH($L$1,'Data-Input'!$B$163:$W$163,0)),0),0),IF(X62&lt;&gt;"",IFERROR(INDEX('Data-Input'!$B$164:$W$185,MATCH(X62,'Data-Input'!$A$164:$A$185,0),MATCH($K$1,'Data-Input'!$B$163:$W$163,0)),0),0),IF(AND(X62&lt;&gt;"",$L$1&lt;&gt;""),IFERROR(INDEX('Data-Input'!$B$164:$W$185,MATCH(X62,'Data-Input'!$A$164:$A$185,0),MATCH($L$1,'Data-Input'!$B$163:$W$163,0)),0),0))*$M$1)</f>
        <v/>
      </c>
      <c r="Z62">
        <f>IF($A$1="",0,SUMPRODUCT(('Data-Input'!$A$29:$A$128=A62)*('Data-Input'!$B$29:$B$128="Tag")*((('Data-Input'!$C$29:$C$128=$K$1)+('Data-Input'!$C$29:$C$128=$L$1))&gt;0)*('Data-Input'!$D$29:$D$128-'Data-Input'!$E$29:$E$128))+SUMPRODUCT(('Data-Input'!$A$29:$A$128=A62)*('Data-Input'!$B$29:$B$128="Hero")*('Data-Input'!$C$29:$C$128=$A$1)*('Data-Input'!$D$29:$D$128-'Data-Input'!$E$29:$E$128))+SUMPRODUCT(('Data-Input'!$A$29:$A$128=A62)*('Data-Input'!$B$29:$B$128="Role")*((('Data-Input'!$C$29:$C$128=$B$1)+('Data-Input'!$C$29:$C$128=$AH$1))&gt;0)*('Data-Input'!$D$29:$D$128-'Data-Input'!$E$29:$E$128))+SUMPRODUCT(('Data-Input'!$A$29:$A$128=A62)*('Data-Input'!$B$29:$B$128="DamageType")*('Data-Input'!$C$29:$C$128=$E$1)*('Data-Input'!$D$29:$D$128-'Data-Input'!$E$29:$E$128))+SUMPRODUCT(('Data-Input'!$A$29:$A$128=A62)*('Data-Input'!$B$29:$B$128="Resource")*('Data-Input'!$C$29:$C$128=$AB$1)*('Data-Input'!$D$29:$D$128-'Data-Input'!$E$29:$E$128)))</f>
        <v/>
      </c>
      <c r="AE62">
        <f>Heroes!$R62</f>
        <v/>
      </c>
      <c r="AF62">
        <f>IF($A$1="",0,IF(AND(OR(W62="Dash/Blink",W62="High Mobility",W62="Global Dive",W62="Mobility",X62="Dash/Blink",X62="High Mobility",X62="Global Dive",X62="Mobility"),$AA$1="Ranged"),$AC$1,0))</f>
        <v/>
      </c>
      <c r="AG62">
        <f>IF($A$1="",0,IF(AND(AE62="Yes",OR($K$1="Sustain",$K$1="Healing",$L$1="Sustain",$L$1="Healing")),$AD$1,0))</f>
        <v/>
      </c>
    </row>
    <row r="63" ht="15" customHeight="1">
      <c r="A63">
        <f>Heroes!$B63</f>
        <v/>
      </c>
      <c r="B63">
        <f>Heroes!$C63</f>
        <v/>
      </c>
      <c r="C63">
        <f>Heroes!$D63</f>
        <v/>
      </c>
      <c r="D63">
        <f>Heroes!$E63</f>
        <v/>
      </c>
      <c r="E63">
        <f>Heroes!$F63</f>
        <v/>
      </c>
      <c r="F63">
        <f>Heroes!$H63</f>
        <v/>
      </c>
      <c r="G63">
        <f>Heroes!$K63</f>
        <v/>
      </c>
      <c r="H63">
        <f>Heroes!$Q63</f>
        <v/>
      </c>
      <c r="I63">
        <f>IFERROR(INDEX('Data-Input'!$B$19:$G$24,MATCH(B63,'Data-Input'!$A$19:$A$24,0),MATCH($B$1,'Data-Input'!$B$18:$G$18,0)),0)</f>
        <v/>
      </c>
      <c r="J63">
        <f>IF(C63&lt;&gt;"",IFERROR(INDEX('Data-Input'!$B$19:$G$24,MATCH(C63,'Data-Input'!$A$19:$A$24,0),MATCH($B$1,'Data-Input'!$B$18:$G$18,0)),0),I63)</f>
        <v/>
      </c>
      <c r="K63">
        <f>MAX(I63,J63)</f>
        <v/>
      </c>
      <c r="L63">
        <f>((D63+E63)/2-$C$1)*$H$1</f>
        <v/>
      </c>
      <c r="M63">
        <f>F63-$D$1</f>
        <v/>
      </c>
      <c r="N63">
        <f>IF(M63&gt;20,M63*$I$1,0)</f>
        <v/>
      </c>
      <c r="O63">
        <f>IF(G63="Mixed",$Q$1,IF(G63=$E$1,$O$1,$P$1))</f>
        <v/>
      </c>
      <c r="P63">
        <f>(H63-$F$1)*$N$1</f>
        <v/>
      </c>
      <c r="Q63">
        <f>K63*$G$1+L63+N63+O63+P63+Y63+Z63+AF63+AG63</f>
        <v/>
      </c>
      <c r="R63">
        <f>IFERROR(INDEX('Data-Input'!$C$190:$C$1189,MATCH(A63&amp;"|"&amp;$A$1,'Data-Input'!$E$190:$E$1189,0)),Q63)</f>
        <v/>
      </c>
      <c r="S63">
        <f>IF(OR($A$1="",A63=$A$1),-1000000000000000,R63)</f>
        <v/>
      </c>
      <c r="T63">
        <f>S63+ROW()*0.0000001</f>
        <v/>
      </c>
      <c r="U63">
        <f>Heroes!$M63</f>
        <v/>
      </c>
      <c r="V63">
        <f>IF(OR($A$1="",A63=$A$1,U63="",U63&lt;&gt;$J$1),-1000000000000000,R63)+ROW()*0.0000001</f>
        <v/>
      </c>
      <c r="W63">
        <f>Heroes!$I63</f>
        <v/>
      </c>
      <c r="X63">
        <f>Heroes!$J63</f>
        <v/>
      </c>
      <c r="Y63">
        <f>IF($A$1="",0,MAX(IF(W63&lt;&gt;"",IFERROR(INDEX('Data-Input'!$B$164:$W$185,MATCH(W63,'Data-Input'!$A$164:$A$185,0),MATCH($K$1,'Data-Input'!$B$163:$W$163,0)),0),0),IF(AND(W63&lt;&gt;"",$L$1&lt;&gt;""),IFERROR(INDEX('Data-Input'!$B$164:$W$185,MATCH(W63,'Data-Input'!$A$164:$A$185,0),MATCH($L$1,'Data-Input'!$B$163:$W$163,0)),0),0),IF(X63&lt;&gt;"",IFERROR(INDEX('Data-Input'!$B$164:$W$185,MATCH(X63,'Data-Input'!$A$164:$A$185,0),MATCH($K$1,'Data-Input'!$B$163:$W$163,0)),0),0),IF(AND(X63&lt;&gt;"",$L$1&lt;&gt;""),IFERROR(INDEX('Data-Input'!$B$164:$W$185,MATCH(X63,'Data-Input'!$A$164:$A$185,0),MATCH($L$1,'Data-Input'!$B$163:$W$163,0)),0),0))*$M$1)</f>
        <v/>
      </c>
      <c r="Z63">
        <f>IF($A$1="",0,SUMPRODUCT(('Data-Input'!$A$29:$A$128=A63)*('Data-Input'!$B$29:$B$128="Tag")*((('Data-Input'!$C$29:$C$128=$K$1)+('Data-Input'!$C$29:$C$128=$L$1))&gt;0)*('Data-Input'!$D$29:$D$128-'Data-Input'!$E$29:$E$128))+SUMPRODUCT(('Data-Input'!$A$29:$A$128=A63)*('Data-Input'!$B$29:$B$128="Hero")*('Data-Input'!$C$29:$C$128=$A$1)*('Data-Input'!$D$29:$D$128-'Data-Input'!$E$29:$E$128))+SUMPRODUCT(('Data-Input'!$A$29:$A$128=A63)*('Data-Input'!$B$29:$B$128="Role")*((('Data-Input'!$C$29:$C$128=$B$1)+('Data-Input'!$C$29:$C$128=$AH$1))&gt;0)*('Data-Input'!$D$29:$D$128-'Data-Input'!$E$29:$E$128))+SUMPRODUCT(('Data-Input'!$A$29:$A$128=A63)*('Data-Input'!$B$29:$B$128="DamageType")*('Data-Input'!$C$29:$C$128=$E$1)*('Data-Input'!$D$29:$D$128-'Data-Input'!$E$29:$E$128))+SUMPRODUCT(('Data-Input'!$A$29:$A$128=A63)*('Data-Input'!$B$29:$B$128="Resource")*('Data-Input'!$C$29:$C$128=$AB$1)*('Data-Input'!$D$29:$D$128-'Data-Input'!$E$29:$E$128)))</f>
        <v/>
      </c>
      <c r="AE63">
        <f>Heroes!$R63</f>
        <v/>
      </c>
      <c r="AF63">
        <f>IF($A$1="",0,IF(AND(OR(W63="Dash/Blink",W63="High Mobility",W63="Global Dive",W63="Mobility",X63="Dash/Blink",X63="High Mobility",X63="Global Dive",X63="Mobility"),$AA$1="Ranged"),$AC$1,0))</f>
        <v/>
      </c>
      <c r="AG63">
        <f>IF($A$1="",0,IF(AND(AE63="Yes",OR($K$1="Sustain",$K$1="Healing",$L$1="Sustain",$L$1="Healing")),$AD$1,0))</f>
        <v/>
      </c>
    </row>
    <row r="64" ht="15" customHeight="1">
      <c r="A64">
        <f>Heroes!$B64</f>
        <v/>
      </c>
      <c r="B64">
        <f>Heroes!$C64</f>
        <v/>
      </c>
      <c r="C64">
        <f>Heroes!$D64</f>
        <v/>
      </c>
      <c r="D64">
        <f>Heroes!$E64</f>
        <v/>
      </c>
      <c r="E64">
        <f>Heroes!$F64</f>
        <v/>
      </c>
      <c r="F64">
        <f>Heroes!$H64</f>
        <v/>
      </c>
      <c r="G64">
        <f>Heroes!$K64</f>
        <v/>
      </c>
      <c r="H64">
        <f>Heroes!$Q64</f>
        <v/>
      </c>
      <c r="I64">
        <f>IFERROR(INDEX('Data-Input'!$B$19:$G$24,MATCH(B64,'Data-Input'!$A$19:$A$24,0),MATCH($B$1,'Data-Input'!$B$18:$G$18,0)),0)</f>
        <v/>
      </c>
      <c r="J64">
        <f>IF(C64&lt;&gt;"",IFERROR(INDEX('Data-Input'!$B$19:$G$24,MATCH(C64,'Data-Input'!$A$19:$A$24,0),MATCH($B$1,'Data-Input'!$B$18:$G$18,0)),0),I64)</f>
        <v/>
      </c>
      <c r="K64">
        <f>MAX(I64,J64)</f>
        <v/>
      </c>
      <c r="L64">
        <f>((D64+E64)/2-$C$1)*$H$1</f>
        <v/>
      </c>
      <c r="M64">
        <f>F64-$D$1</f>
        <v/>
      </c>
      <c r="N64">
        <f>IF(M64&gt;20,M64*$I$1,0)</f>
        <v/>
      </c>
      <c r="O64">
        <f>IF(G64="Mixed",$Q$1,IF(G64=$E$1,$O$1,$P$1))</f>
        <v/>
      </c>
      <c r="P64">
        <f>(H64-$F$1)*$N$1</f>
        <v/>
      </c>
      <c r="Q64">
        <f>K64*$G$1+L64+N64+O64+P64+Y64+Z64+AF64+AG64</f>
        <v/>
      </c>
      <c r="R64">
        <f>IFERROR(INDEX('Data-Input'!$C$190:$C$1189,MATCH(A64&amp;"|"&amp;$A$1,'Data-Input'!$E$190:$E$1189,0)),Q64)</f>
        <v/>
      </c>
      <c r="S64">
        <f>IF(OR($A$1="",A64=$A$1),-1000000000000000,R64)</f>
        <v/>
      </c>
      <c r="T64">
        <f>S64+ROW()*0.0000001</f>
        <v/>
      </c>
      <c r="U64">
        <f>Heroes!$M64</f>
        <v/>
      </c>
      <c r="V64">
        <f>IF(OR($A$1="",A64=$A$1,U64="",U64&lt;&gt;$J$1),-1000000000000000,R64)+ROW()*0.0000001</f>
        <v/>
      </c>
      <c r="W64">
        <f>Heroes!$I64</f>
        <v/>
      </c>
      <c r="X64">
        <f>Heroes!$J64</f>
        <v/>
      </c>
      <c r="Y64">
        <f>IF($A$1="",0,MAX(IF(W64&lt;&gt;"",IFERROR(INDEX('Data-Input'!$B$164:$W$185,MATCH(W64,'Data-Input'!$A$164:$A$185,0),MATCH($K$1,'Data-Input'!$B$163:$W$163,0)),0),0),IF(AND(W64&lt;&gt;"",$L$1&lt;&gt;""),IFERROR(INDEX('Data-Input'!$B$164:$W$185,MATCH(W64,'Data-Input'!$A$164:$A$185,0),MATCH($L$1,'Data-Input'!$B$163:$W$163,0)),0),0),IF(X64&lt;&gt;"",IFERROR(INDEX('Data-Input'!$B$164:$W$185,MATCH(X64,'Data-Input'!$A$164:$A$185,0),MATCH($K$1,'Data-Input'!$B$163:$W$163,0)),0),0),IF(AND(X64&lt;&gt;"",$L$1&lt;&gt;""),IFERROR(INDEX('Data-Input'!$B$164:$W$185,MATCH(X64,'Data-Input'!$A$164:$A$185,0),MATCH($L$1,'Data-Input'!$B$163:$W$163,0)),0),0))*$M$1)</f>
        <v/>
      </c>
      <c r="Z64">
        <f>IF($A$1="",0,SUMPRODUCT(('Data-Input'!$A$29:$A$128=A64)*('Data-Input'!$B$29:$B$128="Tag")*((('Data-Input'!$C$29:$C$128=$K$1)+('Data-Input'!$C$29:$C$128=$L$1))&gt;0)*('Data-Input'!$D$29:$D$128-'Data-Input'!$E$29:$E$128))+SUMPRODUCT(('Data-Input'!$A$29:$A$128=A64)*('Data-Input'!$B$29:$B$128="Hero")*('Data-Input'!$C$29:$C$128=$A$1)*('Data-Input'!$D$29:$D$128-'Data-Input'!$E$29:$E$128))+SUMPRODUCT(('Data-Input'!$A$29:$A$128=A64)*('Data-Input'!$B$29:$B$128="Role")*((('Data-Input'!$C$29:$C$128=$B$1)+('Data-Input'!$C$29:$C$128=$AH$1))&gt;0)*('Data-Input'!$D$29:$D$128-'Data-Input'!$E$29:$E$128))+SUMPRODUCT(('Data-Input'!$A$29:$A$128=A64)*('Data-Input'!$B$29:$B$128="DamageType")*('Data-Input'!$C$29:$C$128=$E$1)*('Data-Input'!$D$29:$D$128-'Data-Input'!$E$29:$E$128))+SUMPRODUCT(('Data-Input'!$A$29:$A$128=A64)*('Data-Input'!$B$29:$B$128="Resource")*('Data-Input'!$C$29:$C$128=$AB$1)*('Data-Input'!$D$29:$D$128-'Data-Input'!$E$29:$E$128)))</f>
        <v/>
      </c>
      <c r="AE64">
        <f>Heroes!$R64</f>
        <v/>
      </c>
      <c r="AF64">
        <f>IF($A$1="",0,IF(AND(OR(W64="Dash/Blink",W64="High Mobility",W64="Global Dive",W64="Mobility",X64="Dash/Blink",X64="High Mobility",X64="Global Dive",X64="Mobility"),$AA$1="Ranged"),$AC$1,0))</f>
        <v/>
      </c>
      <c r="AG64">
        <f>IF($A$1="",0,IF(AND(AE64="Yes",OR($K$1="Sustain",$K$1="Healing",$L$1="Sustain",$L$1="Healing")),$AD$1,0))</f>
        <v/>
      </c>
    </row>
    <row r="65" ht="15" customHeight="1">
      <c r="A65">
        <f>Heroes!$B65</f>
        <v/>
      </c>
      <c r="B65">
        <f>Heroes!$C65</f>
        <v/>
      </c>
      <c r="C65">
        <f>Heroes!$D65</f>
        <v/>
      </c>
      <c r="D65">
        <f>Heroes!$E65</f>
        <v/>
      </c>
      <c r="E65">
        <f>Heroes!$F65</f>
        <v/>
      </c>
      <c r="F65">
        <f>Heroes!$H65</f>
        <v/>
      </c>
      <c r="G65">
        <f>Heroes!$K65</f>
        <v/>
      </c>
      <c r="H65">
        <f>Heroes!$Q65</f>
        <v/>
      </c>
      <c r="I65">
        <f>IFERROR(INDEX('Data-Input'!$B$19:$G$24,MATCH(B65,'Data-Input'!$A$19:$A$24,0),MATCH($B$1,'Data-Input'!$B$18:$G$18,0)),0)</f>
        <v/>
      </c>
      <c r="J65">
        <f>IF(C65&lt;&gt;"",IFERROR(INDEX('Data-Input'!$B$19:$G$24,MATCH(C65,'Data-Input'!$A$19:$A$24,0),MATCH($B$1,'Data-Input'!$B$18:$G$18,0)),0),I65)</f>
        <v/>
      </c>
      <c r="K65">
        <f>MAX(I65,J65)</f>
        <v/>
      </c>
      <c r="L65">
        <f>((D65+E65)/2-$C$1)*$H$1</f>
        <v/>
      </c>
      <c r="M65">
        <f>F65-$D$1</f>
        <v/>
      </c>
      <c r="N65">
        <f>IF(M65&gt;20,M65*$I$1,0)</f>
        <v/>
      </c>
      <c r="O65">
        <f>IF(G65="Mixed",$Q$1,IF(G65=$E$1,$O$1,$P$1))</f>
        <v/>
      </c>
      <c r="P65">
        <f>(H65-$F$1)*$N$1</f>
        <v/>
      </c>
      <c r="Q65">
        <f>K65*$G$1+L65+N65+O65+P65+Y65+Z65+AF65+AG65</f>
        <v/>
      </c>
      <c r="R65">
        <f>IFERROR(INDEX('Data-Input'!$C$190:$C$1189,MATCH(A65&amp;"|"&amp;$A$1,'Data-Input'!$E$190:$E$1189,0)),Q65)</f>
        <v/>
      </c>
      <c r="S65">
        <f>IF(OR($A$1="",A65=$A$1),-1000000000000000,R65)</f>
        <v/>
      </c>
      <c r="T65">
        <f>S65+ROW()*0.0000001</f>
        <v/>
      </c>
      <c r="U65">
        <f>Heroes!$M65</f>
        <v/>
      </c>
      <c r="V65">
        <f>IF(OR($A$1="",A65=$A$1,U65="",U65&lt;&gt;$J$1),-1000000000000000,R65)+ROW()*0.0000001</f>
        <v/>
      </c>
      <c r="W65">
        <f>Heroes!$I65</f>
        <v/>
      </c>
      <c r="X65">
        <f>Heroes!$J65</f>
        <v/>
      </c>
      <c r="Y65">
        <f>IF($A$1="",0,MAX(IF(W65&lt;&gt;"",IFERROR(INDEX('Data-Input'!$B$164:$W$185,MATCH(W65,'Data-Input'!$A$164:$A$185,0),MATCH($K$1,'Data-Input'!$B$163:$W$163,0)),0),0),IF(AND(W65&lt;&gt;"",$L$1&lt;&gt;""),IFERROR(INDEX('Data-Input'!$B$164:$W$185,MATCH(W65,'Data-Input'!$A$164:$A$185,0),MATCH($L$1,'Data-Input'!$B$163:$W$163,0)),0),0),IF(X65&lt;&gt;"",IFERROR(INDEX('Data-Input'!$B$164:$W$185,MATCH(X65,'Data-Input'!$A$164:$A$185,0),MATCH($K$1,'Data-Input'!$B$163:$W$163,0)),0),0),IF(AND(X65&lt;&gt;"",$L$1&lt;&gt;""),IFERROR(INDEX('Data-Input'!$B$164:$W$185,MATCH(X65,'Data-Input'!$A$164:$A$185,0),MATCH($L$1,'Data-Input'!$B$163:$W$163,0)),0),0))*$M$1)</f>
        <v/>
      </c>
      <c r="Z65">
        <f>IF($A$1="",0,SUMPRODUCT(('Data-Input'!$A$29:$A$128=A65)*('Data-Input'!$B$29:$B$128="Tag")*((('Data-Input'!$C$29:$C$128=$K$1)+('Data-Input'!$C$29:$C$128=$L$1))&gt;0)*('Data-Input'!$D$29:$D$128-'Data-Input'!$E$29:$E$128))+SUMPRODUCT(('Data-Input'!$A$29:$A$128=A65)*('Data-Input'!$B$29:$B$128="Hero")*('Data-Input'!$C$29:$C$128=$A$1)*('Data-Input'!$D$29:$D$128-'Data-Input'!$E$29:$E$128))+SUMPRODUCT(('Data-Input'!$A$29:$A$128=A65)*('Data-Input'!$B$29:$B$128="Role")*((('Data-Input'!$C$29:$C$128=$B$1)+('Data-Input'!$C$29:$C$128=$AH$1))&gt;0)*('Data-Input'!$D$29:$D$128-'Data-Input'!$E$29:$E$128))+SUMPRODUCT(('Data-Input'!$A$29:$A$128=A65)*('Data-Input'!$B$29:$B$128="DamageType")*('Data-Input'!$C$29:$C$128=$E$1)*('Data-Input'!$D$29:$D$128-'Data-Input'!$E$29:$E$128))+SUMPRODUCT(('Data-Input'!$A$29:$A$128=A65)*('Data-Input'!$B$29:$B$128="Resource")*('Data-Input'!$C$29:$C$128=$AB$1)*('Data-Input'!$D$29:$D$128-'Data-Input'!$E$29:$E$128)))</f>
        <v/>
      </c>
      <c r="AE65">
        <f>Heroes!$R65</f>
        <v/>
      </c>
      <c r="AF65">
        <f>IF($A$1="",0,IF(AND(OR(W65="Dash/Blink",W65="High Mobility",W65="Global Dive",W65="Mobility",X65="Dash/Blink",X65="High Mobility",X65="Global Dive",X65="Mobility"),$AA$1="Ranged"),$AC$1,0))</f>
        <v/>
      </c>
      <c r="AG65">
        <f>IF($A$1="",0,IF(AND(AE65="Yes",OR($K$1="Sustain",$K$1="Healing",$L$1="Sustain",$L$1="Healing")),$AD$1,0))</f>
        <v/>
      </c>
    </row>
    <row r="66" ht="15" customHeight="1">
      <c r="A66">
        <f>Heroes!$B66</f>
        <v/>
      </c>
      <c r="B66">
        <f>Heroes!$C66</f>
        <v/>
      </c>
      <c r="C66">
        <f>Heroes!$D66</f>
        <v/>
      </c>
      <c r="D66">
        <f>Heroes!$E66</f>
        <v/>
      </c>
      <c r="E66">
        <f>Heroes!$F66</f>
        <v/>
      </c>
      <c r="F66">
        <f>Heroes!$H66</f>
        <v/>
      </c>
      <c r="G66">
        <f>Heroes!$K66</f>
        <v/>
      </c>
      <c r="H66">
        <f>Heroes!$Q66</f>
        <v/>
      </c>
      <c r="I66">
        <f>IFERROR(INDEX('Data-Input'!$B$19:$G$24,MATCH(B66,'Data-Input'!$A$19:$A$24,0),MATCH($B$1,'Data-Input'!$B$18:$G$18,0)),0)</f>
        <v/>
      </c>
      <c r="J66">
        <f>IF(C66&lt;&gt;"",IFERROR(INDEX('Data-Input'!$B$19:$G$24,MATCH(C66,'Data-Input'!$A$19:$A$24,0),MATCH($B$1,'Data-Input'!$B$18:$G$18,0)),0),I66)</f>
        <v/>
      </c>
      <c r="K66">
        <f>MAX(I66,J66)</f>
        <v/>
      </c>
      <c r="L66">
        <f>((D66+E66)/2-$C$1)*$H$1</f>
        <v/>
      </c>
      <c r="M66">
        <f>F66-$D$1</f>
        <v/>
      </c>
      <c r="N66">
        <f>IF(M66&gt;20,M66*$I$1,0)</f>
        <v/>
      </c>
      <c r="O66">
        <f>IF(G66="Mixed",$Q$1,IF(G66=$E$1,$O$1,$P$1))</f>
        <v/>
      </c>
      <c r="P66">
        <f>(H66-$F$1)*$N$1</f>
        <v/>
      </c>
      <c r="Q66">
        <f>K66*$G$1+L66+N66+O66+P66+Y66+Z66+AF66+AG66</f>
        <v/>
      </c>
      <c r="R66">
        <f>IFERROR(INDEX('Data-Input'!$C$190:$C$1189,MATCH(A66&amp;"|"&amp;$A$1,'Data-Input'!$E$190:$E$1189,0)),Q66)</f>
        <v/>
      </c>
      <c r="S66">
        <f>IF(OR($A$1="",A66=$A$1),-1000000000000000,R66)</f>
        <v/>
      </c>
      <c r="T66">
        <f>S66+ROW()*0.0000001</f>
        <v/>
      </c>
      <c r="U66">
        <f>Heroes!$M66</f>
        <v/>
      </c>
      <c r="V66">
        <f>IF(OR($A$1="",A66=$A$1,U66="",U66&lt;&gt;$J$1),-1000000000000000,R66)+ROW()*0.0000001</f>
        <v/>
      </c>
      <c r="W66">
        <f>Heroes!$I66</f>
        <v/>
      </c>
      <c r="X66">
        <f>Heroes!$J66</f>
        <v/>
      </c>
      <c r="Y66">
        <f>IF($A$1="",0,MAX(IF(W66&lt;&gt;"",IFERROR(INDEX('Data-Input'!$B$164:$W$185,MATCH(W66,'Data-Input'!$A$164:$A$185,0),MATCH($K$1,'Data-Input'!$B$163:$W$163,0)),0),0),IF(AND(W66&lt;&gt;"",$L$1&lt;&gt;""),IFERROR(INDEX('Data-Input'!$B$164:$W$185,MATCH(W66,'Data-Input'!$A$164:$A$185,0),MATCH($L$1,'Data-Input'!$B$163:$W$163,0)),0),0),IF(X66&lt;&gt;"",IFERROR(INDEX('Data-Input'!$B$164:$W$185,MATCH(X66,'Data-Input'!$A$164:$A$185,0),MATCH($K$1,'Data-Input'!$B$163:$W$163,0)),0),0),IF(AND(X66&lt;&gt;"",$L$1&lt;&gt;""),IFERROR(INDEX('Data-Input'!$B$164:$W$185,MATCH(X66,'Data-Input'!$A$164:$A$185,0),MATCH($L$1,'Data-Input'!$B$163:$W$163,0)),0),0))*$M$1)</f>
        <v/>
      </c>
      <c r="Z66">
        <f>IF($A$1="",0,SUMPRODUCT(('Data-Input'!$A$29:$A$128=A66)*('Data-Input'!$B$29:$B$128="Tag")*((('Data-Input'!$C$29:$C$128=$K$1)+('Data-Input'!$C$29:$C$128=$L$1))&gt;0)*('Data-Input'!$D$29:$D$128-'Data-Input'!$E$29:$E$128))+SUMPRODUCT(('Data-Input'!$A$29:$A$128=A66)*('Data-Input'!$B$29:$B$128="Hero")*('Data-Input'!$C$29:$C$128=$A$1)*('Data-Input'!$D$29:$D$128-'Data-Input'!$E$29:$E$128))+SUMPRODUCT(('Data-Input'!$A$29:$A$128=A66)*('Data-Input'!$B$29:$B$128="Role")*((('Data-Input'!$C$29:$C$128=$B$1)+('Data-Input'!$C$29:$C$128=$AH$1))&gt;0)*('Data-Input'!$D$29:$D$128-'Data-Input'!$E$29:$E$128))+SUMPRODUCT(('Data-Input'!$A$29:$A$128=A66)*('Data-Input'!$B$29:$B$128="DamageType")*('Data-Input'!$C$29:$C$128=$E$1)*('Data-Input'!$D$29:$D$128-'Data-Input'!$E$29:$E$128))+SUMPRODUCT(('Data-Input'!$A$29:$A$128=A66)*('Data-Input'!$B$29:$B$128="Resource")*('Data-Input'!$C$29:$C$128=$AB$1)*('Data-Input'!$D$29:$D$128-'Data-Input'!$E$29:$E$128)))</f>
        <v/>
      </c>
      <c r="AE66">
        <f>Heroes!$R66</f>
        <v/>
      </c>
      <c r="AF66">
        <f>IF($A$1="",0,IF(AND(OR(W66="Dash/Blink",W66="High Mobility",W66="Global Dive",W66="Mobility",X66="Dash/Blink",X66="High Mobility",X66="Global Dive",X66="Mobility"),$AA$1="Ranged"),$AC$1,0))</f>
        <v/>
      </c>
      <c r="AG66">
        <f>IF($A$1="",0,IF(AND(AE66="Yes",OR($K$1="Sustain",$K$1="Healing",$L$1="Sustain",$L$1="Healing")),$AD$1,0))</f>
        <v/>
      </c>
    </row>
    <row r="67" ht="15" customHeight="1">
      <c r="A67">
        <f>Heroes!$B67</f>
        <v/>
      </c>
      <c r="B67">
        <f>Heroes!$C67</f>
        <v/>
      </c>
      <c r="C67">
        <f>Heroes!$D67</f>
        <v/>
      </c>
      <c r="D67">
        <f>Heroes!$E67</f>
        <v/>
      </c>
      <c r="E67">
        <f>Heroes!$F67</f>
        <v/>
      </c>
      <c r="F67">
        <f>Heroes!$H67</f>
        <v/>
      </c>
      <c r="G67">
        <f>Heroes!$K67</f>
        <v/>
      </c>
      <c r="H67">
        <f>Heroes!$Q67</f>
        <v/>
      </c>
      <c r="I67">
        <f>IFERROR(INDEX('Data-Input'!$B$19:$G$24,MATCH(B67,'Data-Input'!$A$19:$A$24,0),MATCH($B$1,'Data-Input'!$B$18:$G$18,0)),0)</f>
        <v/>
      </c>
      <c r="J67">
        <f>IF(C67&lt;&gt;"",IFERROR(INDEX('Data-Input'!$B$19:$G$24,MATCH(C67,'Data-Input'!$A$19:$A$24,0),MATCH($B$1,'Data-Input'!$B$18:$G$18,0)),0),I67)</f>
        <v/>
      </c>
      <c r="K67">
        <f>MAX(I67,J67)</f>
        <v/>
      </c>
      <c r="L67">
        <f>((D67+E67)/2-$C$1)*$H$1</f>
        <v/>
      </c>
      <c r="M67">
        <f>F67-$D$1</f>
        <v/>
      </c>
      <c r="N67">
        <f>IF(M67&gt;20,M67*$I$1,0)</f>
        <v/>
      </c>
      <c r="O67">
        <f>IF(G67="Mixed",$Q$1,IF(G67=$E$1,$O$1,$P$1))</f>
        <v/>
      </c>
      <c r="P67">
        <f>(H67-$F$1)*$N$1</f>
        <v/>
      </c>
      <c r="Q67">
        <f>K67*$G$1+L67+N67+O67+P67+Y67+Z67+AF67+AG67</f>
        <v/>
      </c>
      <c r="R67">
        <f>IFERROR(INDEX('Data-Input'!$C$190:$C$1189,MATCH(A67&amp;"|"&amp;$A$1,'Data-Input'!$E$190:$E$1189,0)),Q67)</f>
        <v/>
      </c>
      <c r="S67">
        <f>IF(OR($A$1="",A67=$A$1),-1000000000000000,R67)</f>
        <v/>
      </c>
      <c r="T67">
        <f>S67+ROW()*0.0000001</f>
        <v/>
      </c>
      <c r="U67">
        <f>Heroes!$M67</f>
        <v/>
      </c>
      <c r="V67">
        <f>IF(OR($A$1="",A67=$A$1,U67="",U67&lt;&gt;$J$1),-1000000000000000,R67)+ROW()*0.0000001</f>
        <v/>
      </c>
      <c r="W67">
        <f>Heroes!$I67</f>
        <v/>
      </c>
      <c r="X67">
        <f>Heroes!$J67</f>
        <v/>
      </c>
      <c r="Y67">
        <f>IF($A$1="",0,MAX(IF(W67&lt;&gt;"",IFERROR(INDEX('Data-Input'!$B$164:$W$185,MATCH(W67,'Data-Input'!$A$164:$A$185,0),MATCH($K$1,'Data-Input'!$B$163:$W$163,0)),0),0),IF(AND(W67&lt;&gt;"",$L$1&lt;&gt;""),IFERROR(INDEX('Data-Input'!$B$164:$W$185,MATCH(W67,'Data-Input'!$A$164:$A$185,0),MATCH($L$1,'Data-Input'!$B$163:$W$163,0)),0),0),IF(X67&lt;&gt;"",IFERROR(INDEX('Data-Input'!$B$164:$W$185,MATCH(X67,'Data-Input'!$A$164:$A$185,0),MATCH($K$1,'Data-Input'!$B$163:$W$163,0)),0),0),IF(AND(X67&lt;&gt;"",$L$1&lt;&gt;""),IFERROR(INDEX('Data-Input'!$B$164:$W$185,MATCH(X67,'Data-Input'!$A$164:$A$185,0),MATCH($L$1,'Data-Input'!$B$163:$W$163,0)),0),0))*$M$1)</f>
        <v/>
      </c>
      <c r="Z67">
        <f>IF($A$1="",0,SUMPRODUCT(('Data-Input'!$A$29:$A$128=A67)*('Data-Input'!$B$29:$B$128="Tag")*((('Data-Input'!$C$29:$C$128=$K$1)+('Data-Input'!$C$29:$C$128=$L$1))&gt;0)*('Data-Input'!$D$29:$D$128-'Data-Input'!$E$29:$E$128))+SUMPRODUCT(('Data-Input'!$A$29:$A$128=A67)*('Data-Input'!$B$29:$B$128="Hero")*('Data-Input'!$C$29:$C$128=$A$1)*('Data-Input'!$D$29:$D$128-'Data-Input'!$E$29:$E$128))+SUMPRODUCT(('Data-Input'!$A$29:$A$128=A67)*('Data-Input'!$B$29:$B$128="Role")*((('Data-Input'!$C$29:$C$128=$B$1)+('Data-Input'!$C$29:$C$128=$AH$1))&gt;0)*('Data-Input'!$D$29:$D$128-'Data-Input'!$E$29:$E$128))+SUMPRODUCT(('Data-Input'!$A$29:$A$128=A67)*('Data-Input'!$B$29:$B$128="DamageType")*('Data-Input'!$C$29:$C$128=$E$1)*('Data-Input'!$D$29:$D$128-'Data-Input'!$E$29:$E$128))+SUMPRODUCT(('Data-Input'!$A$29:$A$128=A67)*('Data-Input'!$B$29:$B$128="Resource")*('Data-Input'!$C$29:$C$128=$AB$1)*('Data-Input'!$D$29:$D$128-'Data-Input'!$E$29:$E$128)))</f>
        <v/>
      </c>
      <c r="AE67">
        <f>Heroes!$R67</f>
        <v/>
      </c>
      <c r="AF67">
        <f>IF($A$1="",0,IF(AND(OR(W67="Dash/Blink",W67="High Mobility",W67="Global Dive",W67="Mobility",X67="Dash/Blink",X67="High Mobility",X67="Global Dive",X67="Mobility"),$AA$1="Ranged"),$AC$1,0))</f>
        <v/>
      </c>
      <c r="AG67">
        <f>IF($A$1="",0,IF(AND(AE67="Yes",OR($K$1="Sustain",$K$1="Healing",$L$1="Sustain",$L$1="Healing")),$AD$1,0))</f>
        <v/>
      </c>
    </row>
    <row r="68" ht="15" customHeight="1">
      <c r="A68">
        <f>Heroes!$B68</f>
        <v/>
      </c>
      <c r="B68">
        <f>Heroes!$C68</f>
        <v/>
      </c>
      <c r="C68">
        <f>Heroes!$D68</f>
        <v/>
      </c>
      <c r="D68">
        <f>Heroes!$E68</f>
        <v/>
      </c>
      <c r="E68">
        <f>Heroes!$F68</f>
        <v/>
      </c>
      <c r="F68">
        <f>Heroes!$H68</f>
        <v/>
      </c>
      <c r="G68">
        <f>Heroes!$K68</f>
        <v/>
      </c>
      <c r="H68">
        <f>Heroes!$Q68</f>
        <v/>
      </c>
      <c r="I68">
        <f>IFERROR(INDEX('Data-Input'!$B$19:$G$24,MATCH(B68,'Data-Input'!$A$19:$A$24,0),MATCH($B$1,'Data-Input'!$B$18:$G$18,0)),0)</f>
        <v/>
      </c>
      <c r="J68">
        <f>IF(C68&lt;&gt;"",IFERROR(INDEX('Data-Input'!$B$19:$G$24,MATCH(C68,'Data-Input'!$A$19:$A$24,0),MATCH($B$1,'Data-Input'!$B$18:$G$18,0)),0),I68)</f>
        <v/>
      </c>
      <c r="K68">
        <f>MAX(I68,J68)</f>
        <v/>
      </c>
      <c r="L68">
        <f>((D68+E68)/2-$C$1)*$H$1</f>
        <v/>
      </c>
      <c r="M68">
        <f>F68-$D$1</f>
        <v/>
      </c>
      <c r="N68">
        <f>IF(M68&gt;20,M68*$I$1,0)</f>
        <v/>
      </c>
      <c r="O68">
        <f>IF(G68="Mixed",$Q$1,IF(G68=$E$1,$O$1,$P$1))</f>
        <v/>
      </c>
      <c r="P68">
        <f>(H68-$F$1)*$N$1</f>
        <v/>
      </c>
      <c r="Q68">
        <f>K68*$G$1+L68+N68+O68+P68+Y68+Z68+AF68+AG68</f>
        <v/>
      </c>
      <c r="R68">
        <f>IFERROR(INDEX('Data-Input'!$C$190:$C$1189,MATCH(A68&amp;"|"&amp;$A$1,'Data-Input'!$E$190:$E$1189,0)),Q68)</f>
        <v/>
      </c>
      <c r="S68">
        <f>IF(OR($A$1="",A68=$A$1),-1000000000000000,R68)</f>
        <v/>
      </c>
      <c r="T68">
        <f>S68+ROW()*0.0000001</f>
        <v/>
      </c>
      <c r="U68">
        <f>Heroes!$M68</f>
        <v/>
      </c>
      <c r="V68">
        <f>IF(OR($A$1="",A68=$A$1,U68="",U68&lt;&gt;$J$1),-1000000000000000,R68)+ROW()*0.0000001</f>
        <v/>
      </c>
      <c r="W68">
        <f>Heroes!$I68</f>
        <v/>
      </c>
      <c r="X68">
        <f>Heroes!$J68</f>
        <v/>
      </c>
      <c r="Y68">
        <f>IF($A$1="",0,MAX(IF(W68&lt;&gt;"",IFERROR(INDEX('Data-Input'!$B$164:$W$185,MATCH(W68,'Data-Input'!$A$164:$A$185,0),MATCH($K$1,'Data-Input'!$B$163:$W$163,0)),0),0),IF(AND(W68&lt;&gt;"",$L$1&lt;&gt;""),IFERROR(INDEX('Data-Input'!$B$164:$W$185,MATCH(W68,'Data-Input'!$A$164:$A$185,0),MATCH($L$1,'Data-Input'!$B$163:$W$163,0)),0),0),IF(X68&lt;&gt;"",IFERROR(INDEX('Data-Input'!$B$164:$W$185,MATCH(X68,'Data-Input'!$A$164:$A$185,0),MATCH($K$1,'Data-Input'!$B$163:$W$163,0)),0),0),IF(AND(X68&lt;&gt;"",$L$1&lt;&gt;""),IFERROR(INDEX('Data-Input'!$B$164:$W$185,MATCH(X68,'Data-Input'!$A$164:$A$185,0),MATCH($L$1,'Data-Input'!$B$163:$W$163,0)),0),0))*$M$1)</f>
        <v/>
      </c>
      <c r="Z68">
        <f>IF($A$1="",0,SUMPRODUCT(('Data-Input'!$A$29:$A$128=A68)*('Data-Input'!$B$29:$B$128="Tag")*((('Data-Input'!$C$29:$C$128=$K$1)+('Data-Input'!$C$29:$C$128=$L$1))&gt;0)*('Data-Input'!$D$29:$D$128-'Data-Input'!$E$29:$E$128))+SUMPRODUCT(('Data-Input'!$A$29:$A$128=A68)*('Data-Input'!$B$29:$B$128="Hero")*('Data-Input'!$C$29:$C$128=$A$1)*('Data-Input'!$D$29:$D$128-'Data-Input'!$E$29:$E$128))+SUMPRODUCT(('Data-Input'!$A$29:$A$128=A68)*('Data-Input'!$B$29:$B$128="Role")*((('Data-Input'!$C$29:$C$128=$B$1)+('Data-Input'!$C$29:$C$128=$AH$1))&gt;0)*('Data-Input'!$D$29:$D$128-'Data-Input'!$E$29:$E$128))+SUMPRODUCT(('Data-Input'!$A$29:$A$128=A68)*('Data-Input'!$B$29:$B$128="DamageType")*('Data-Input'!$C$29:$C$128=$E$1)*('Data-Input'!$D$29:$D$128-'Data-Input'!$E$29:$E$128))+SUMPRODUCT(('Data-Input'!$A$29:$A$128=A68)*('Data-Input'!$B$29:$B$128="Resource")*('Data-Input'!$C$29:$C$128=$AB$1)*('Data-Input'!$D$29:$D$128-'Data-Input'!$E$29:$E$128)))</f>
        <v/>
      </c>
      <c r="AE68">
        <f>Heroes!$R68</f>
        <v/>
      </c>
      <c r="AF68">
        <f>IF($A$1="",0,IF(AND(OR(W68="Dash/Blink",W68="High Mobility",W68="Global Dive",W68="Mobility",X68="Dash/Blink",X68="High Mobility",X68="Global Dive",X68="Mobility"),$AA$1="Ranged"),$AC$1,0))</f>
        <v/>
      </c>
      <c r="AG68">
        <f>IF($A$1="",0,IF(AND(AE68="Yes",OR($K$1="Sustain",$K$1="Healing",$L$1="Sustain",$L$1="Healing")),$AD$1,0))</f>
        <v/>
      </c>
    </row>
    <row r="69" ht="15" customHeight="1">
      <c r="A69">
        <f>Heroes!$B69</f>
        <v/>
      </c>
      <c r="B69">
        <f>Heroes!$C69</f>
        <v/>
      </c>
      <c r="C69">
        <f>Heroes!$D69</f>
        <v/>
      </c>
      <c r="D69">
        <f>Heroes!$E69</f>
        <v/>
      </c>
      <c r="E69">
        <f>Heroes!$F69</f>
        <v/>
      </c>
      <c r="F69">
        <f>Heroes!$H69</f>
        <v/>
      </c>
      <c r="G69">
        <f>Heroes!$K69</f>
        <v/>
      </c>
      <c r="H69">
        <f>Heroes!$Q69</f>
        <v/>
      </c>
      <c r="I69">
        <f>IFERROR(INDEX('Data-Input'!$B$19:$G$24,MATCH(B69,'Data-Input'!$A$19:$A$24,0),MATCH($B$1,'Data-Input'!$B$18:$G$18,0)),0)</f>
        <v/>
      </c>
      <c r="J69">
        <f>IF(C69&lt;&gt;"",IFERROR(INDEX('Data-Input'!$B$19:$G$24,MATCH(C69,'Data-Input'!$A$19:$A$24,0),MATCH($B$1,'Data-Input'!$B$18:$G$18,0)),0),I69)</f>
        <v/>
      </c>
      <c r="K69">
        <f>MAX(I69,J69)</f>
        <v/>
      </c>
      <c r="L69">
        <f>((D69+E69)/2-$C$1)*$H$1</f>
        <v/>
      </c>
      <c r="M69">
        <f>F69-$D$1</f>
        <v/>
      </c>
      <c r="N69">
        <f>IF(M69&gt;20,M69*$I$1,0)</f>
        <v/>
      </c>
      <c r="O69">
        <f>IF(G69="Mixed",$Q$1,IF(G69=$E$1,$O$1,$P$1))</f>
        <v/>
      </c>
      <c r="P69">
        <f>(H69-$F$1)*$N$1</f>
        <v/>
      </c>
      <c r="Q69">
        <f>K69*$G$1+L69+N69+O69+P69+Y69+Z69+AF69+AG69</f>
        <v/>
      </c>
      <c r="R69">
        <f>IFERROR(INDEX('Data-Input'!$C$190:$C$1189,MATCH(A69&amp;"|"&amp;$A$1,'Data-Input'!$E$190:$E$1189,0)),Q69)</f>
        <v/>
      </c>
      <c r="S69">
        <f>IF(OR($A$1="",A69=$A$1),-1000000000000000,R69)</f>
        <v/>
      </c>
      <c r="T69">
        <f>S69+ROW()*0.0000001</f>
        <v/>
      </c>
      <c r="U69">
        <f>Heroes!$M69</f>
        <v/>
      </c>
      <c r="V69">
        <f>IF(OR($A$1="",A69=$A$1,U69="",U69&lt;&gt;$J$1),-1000000000000000,R69)+ROW()*0.0000001</f>
        <v/>
      </c>
      <c r="W69">
        <f>Heroes!$I69</f>
        <v/>
      </c>
      <c r="X69">
        <f>Heroes!$J69</f>
        <v/>
      </c>
      <c r="Y69">
        <f>IF($A$1="",0,MAX(IF(W69&lt;&gt;"",IFERROR(INDEX('Data-Input'!$B$164:$W$185,MATCH(W69,'Data-Input'!$A$164:$A$185,0),MATCH($K$1,'Data-Input'!$B$163:$W$163,0)),0),0),IF(AND(W69&lt;&gt;"",$L$1&lt;&gt;""),IFERROR(INDEX('Data-Input'!$B$164:$W$185,MATCH(W69,'Data-Input'!$A$164:$A$185,0),MATCH($L$1,'Data-Input'!$B$163:$W$163,0)),0),0),IF(X69&lt;&gt;"",IFERROR(INDEX('Data-Input'!$B$164:$W$185,MATCH(X69,'Data-Input'!$A$164:$A$185,0),MATCH($K$1,'Data-Input'!$B$163:$W$163,0)),0),0),IF(AND(X69&lt;&gt;"",$L$1&lt;&gt;""),IFERROR(INDEX('Data-Input'!$B$164:$W$185,MATCH(X69,'Data-Input'!$A$164:$A$185,0),MATCH($L$1,'Data-Input'!$B$163:$W$163,0)),0),0))*$M$1)</f>
        <v/>
      </c>
      <c r="Z69">
        <f>IF($A$1="",0,SUMPRODUCT(('Data-Input'!$A$29:$A$128=A69)*('Data-Input'!$B$29:$B$128="Tag")*((('Data-Input'!$C$29:$C$128=$K$1)+('Data-Input'!$C$29:$C$128=$L$1))&gt;0)*('Data-Input'!$D$29:$D$128-'Data-Input'!$E$29:$E$128))+SUMPRODUCT(('Data-Input'!$A$29:$A$128=A69)*('Data-Input'!$B$29:$B$128="Hero")*('Data-Input'!$C$29:$C$128=$A$1)*('Data-Input'!$D$29:$D$128-'Data-Input'!$E$29:$E$128))+SUMPRODUCT(('Data-Input'!$A$29:$A$128=A69)*('Data-Input'!$B$29:$B$128="Role")*((('Data-Input'!$C$29:$C$128=$B$1)+('Data-Input'!$C$29:$C$128=$AH$1))&gt;0)*('Data-Input'!$D$29:$D$128-'Data-Input'!$E$29:$E$128))+SUMPRODUCT(('Data-Input'!$A$29:$A$128=A69)*('Data-Input'!$B$29:$B$128="DamageType")*('Data-Input'!$C$29:$C$128=$E$1)*('Data-Input'!$D$29:$D$128-'Data-Input'!$E$29:$E$128))+SUMPRODUCT(('Data-Input'!$A$29:$A$128=A69)*('Data-Input'!$B$29:$B$128="Resource")*('Data-Input'!$C$29:$C$128=$AB$1)*('Data-Input'!$D$29:$D$128-'Data-Input'!$E$29:$E$128)))</f>
        <v/>
      </c>
      <c r="AE69">
        <f>Heroes!$R69</f>
        <v/>
      </c>
      <c r="AF69">
        <f>IF($A$1="",0,IF(AND(OR(W69="Dash/Blink",W69="High Mobility",W69="Global Dive",W69="Mobility",X69="Dash/Blink",X69="High Mobility",X69="Global Dive",X69="Mobility"),$AA$1="Ranged"),$AC$1,0))</f>
        <v/>
      </c>
      <c r="AG69">
        <f>IF($A$1="",0,IF(AND(AE69="Yes",OR($K$1="Sustain",$K$1="Healing",$L$1="Sustain",$L$1="Healing")),$AD$1,0))</f>
        <v/>
      </c>
    </row>
    <row r="70" ht="15" customHeight="1">
      <c r="A70">
        <f>Heroes!$B70</f>
        <v/>
      </c>
      <c r="B70">
        <f>Heroes!$C70</f>
        <v/>
      </c>
      <c r="C70">
        <f>Heroes!$D70</f>
        <v/>
      </c>
      <c r="D70">
        <f>Heroes!$E70</f>
        <v/>
      </c>
      <c r="E70">
        <f>Heroes!$F70</f>
        <v/>
      </c>
      <c r="F70">
        <f>Heroes!$H70</f>
        <v/>
      </c>
      <c r="G70">
        <f>Heroes!$K70</f>
        <v/>
      </c>
      <c r="H70">
        <f>Heroes!$Q70</f>
        <v/>
      </c>
      <c r="I70">
        <f>IFERROR(INDEX('Data-Input'!$B$19:$G$24,MATCH(B70,'Data-Input'!$A$19:$A$24,0),MATCH($B$1,'Data-Input'!$B$18:$G$18,0)),0)</f>
        <v/>
      </c>
      <c r="J70">
        <f>IF(C70&lt;&gt;"",IFERROR(INDEX('Data-Input'!$B$19:$G$24,MATCH(C70,'Data-Input'!$A$19:$A$24,0),MATCH($B$1,'Data-Input'!$B$18:$G$18,0)),0),I70)</f>
        <v/>
      </c>
      <c r="K70">
        <f>MAX(I70,J70)</f>
        <v/>
      </c>
      <c r="L70">
        <f>((D70+E70)/2-$C$1)*$H$1</f>
        <v/>
      </c>
      <c r="M70">
        <f>F70-$D$1</f>
        <v/>
      </c>
      <c r="N70">
        <f>IF(M70&gt;20,M70*$I$1,0)</f>
        <v/>
      </c>
      <c r="O70">
        <f>IF(G70="Mixed",$Q$1,IF(G70=$E$1,$O$1,$P$1))</f>
        <v/>
      </c>
      <c r="P70">
        <f>(H70-$F$1)*$N$1</f>
        <v/>
      </c>
      <c r="Q70">
        <f>K70*$G$1+L70+N70+O70+P70+Y70+Z70+AF70+AG70</f>
        <v/>
      </c>
      <c r="R70">
        <f>IFERROR(INDEX('Data-Input'!$C$190:$C$1189,MATCH(A70&amp;"|"&amp;$A$1,'Data-Input'!$E$190:$E$1189,0)),Q70)</f>
        <v/>
      </c>
      <c r="S70">
        <f>IF(OR($A$1="",A70=$A$1),-1000000000000000,R70)</f>
        <v/>
      </c>
      <c r="T70">
        <f>S70+ROW()*0.0000001</f>
        <v/>
      </c>
      <c r="U70">
        <f>Heroes!$M70</f>
        <v/>
      </c>
      <c r="V70">
        <f>IF(OR($A$1="",A70=$A$1,U70="",U70&lt;&gt;$J$1),-1000000000000000,R70)+ROW()*0.0000001</f>
        <v/>
      </c>
      <c r="W70">
        <f>Heroes!$I70</f>
        <v/>
      </c>
      <c r="X70">
        <f>Heroes!$J70</f>
        <v/>
      </c>
      <c r="Y70">
        <f>IF($A$1="",0,MAX(IF(W70&lt;&gt;"",IFERROR(INDEX('Data-Input'!$B$164:$W$185,MATCH(W70,'Data-Input'!$A$164:$A$185,0),MATCH($K$1,'Data-Input'!$B$163:$W$163,0)),0),0),IF(AND(W70&lt;&gt;"",$L$1&lt;&gt;""),IFERROR(INDEX('Data-Input'!$B$164:$W$185,MATCH(W70,'Data-Input'!$A$164:$A$185,0),MATCH($L$1,'Data-Input'!$B$163:$W$163,0)),0),0),IF(X70&lt;&gt;"",IFERROR(INDEX('Data-Input'!$B$164:$W$185,MATCH(X70,'Data-Input'!$A$164:$A$185,0),MATCH($K$1,'Data-Input'!$B$163:$W$163,0)),0),0),IF(AND(X70&lt;&gt;"",$L$1&lt;&gt;""),IFERROR(INDEX('Data-Input'!$B$164:$W$185,MATCH(X70,'Data-Input'!$A$164:$A$185,0),MATCH($L$1,'Data-Input'!$B$163:$W$163,0)),0),0))*$M$1)</f>
        <v/>
      </c>
      <c r="Z70">
        <f>IF($A$1="",0,SUMPRODUCT(('Data-Input'!$A$29:$A$128=A70)*('Data-Input'!$B$29:$B$128="Tag")*((('Data-Input'!$C$29:$C$128=$K$1)+('Data-Input'!$C$29:$C$128=$L$1))&gt;0)*('Data-Input'!$D$29:$D$128-'Data-Input'!$E$29:$E$128))+SUMPRODUCT(('Data-Input'!$A$29:$A$128=A70)*('Data-Input'!$B$29:$B$128="Hero")*('Data-Input'!$C$29:$C$128=$A$1)*('Data-Input'!$D$29:$D$128-'Data-Input'!$E$29:$E$128))+SUMPRODUCT(('Data-Input'!$A$29:$A$128=A70)*('Data-Input'!$B$29:$B$128="Role")*((('Data-Input'!$C$29:$C$128=$B$1)+('Data-Input'!$C$29:$C$128=$AH$1))&gt;0)*('Data-Input'!$D$29:$D$128-'Data-Input'!$E$29:$E$128))+SUMPRODUCT(('Data-Input'!$A$29:$A$128=A70)*('Data-Input'!$B$29:$B$128="DamageType")*('Data-Input'!$C$29:$C$128=$E$1)*('Data-Input'!$D$29:$D$128-'Data-Input'!$E$29:$E$128))+SUMPRODUCT(('Data-Input'!$A$29:$A$128=A70)*('Data-Input'!$B$29:$B$128="Resource")*('Data-Input'!$C$29:$C$128=$AB$1)*('Data-Input'!$D$29:$D$128-'Data-Input'!$E$29:$E$128)))</f>
        <v/>
      </c>
      <c r="AE70">
        <f>Heroes!$R70</f>
        <v/>
      </c>
      <c r="AF70">
        <f>IF($A$1="",0,IF(AND(OR(W70="Dash/Blink",W70="High Mobility",W70="Global Dive",W70="Mobility",X70="Dash/Blink",X70="High Mobility",X70="Global Dive",X70="Mobility"),$AA$1="Ranged"),$AC$1,0))</f>
        <v/>
      </c>
      <c r="AG70">
        <f>IF($A$1="",0,IF(AND(AE70="Yes",OR($K$1="Sustain",$K$1="Healing",$L$1="Sustain",$L$1="Healing")),$AD$1,0))</f>
        <v/>
      </c>
    </row>
    <row r="71" ht="15" customHeight="1">
      <c r="A71">
        <f>Heroes!$B71</f>
        <v/>
      </c>
      <c r="B71">
        <f>Heroes!$C71</f>
        <v/>
      </c>
      <c r="C71">
        <f>Heroes!$D71</f>
        <v/>
      </c>
      <c r="D71">
        <f>Heroes!$E71</f>
        <v/>
      </c>
      <c r="E71">
        <f>Heroes!$F71</f>
        <v/>
      </c>
      <c r="F71">
        <f>Heroes!$H71</f>
        <v/>
      </c>
      <c r="G71">
        <f>Heroes!$K71</f>
        <v/>
      </c>
      <c r="H71">
        <f>Heroes!$Q71</f>
        <v/>
      </c>
      <c r="I71">
        <f>IFERROR(INDEX('Data-Input'!$B$19:$G$24,MATCH(B71,'Data-Input'!$A$19:$A$24,0),MATCH($B$1,'Data-Input'!$B$18:$G$18,0)),0)</f>
        <v/>
      </c>
      <c r="J71">
        <f>IF(C71&lt;&gt;"",IFERROR(INDEX('Data-Input'!$B$19:$G$24,MATCH(C71,'Data-Input'!$A$19:$A$24,0),MATCH($B$1,'Data-Input'!$B$18:$G$18,0)),0),I71)</f>
        <v/>
      </c>
      <c r="K71">
        <f>MAX(I71,J71)</f>
        <v/>
      </c>
      <c r="L71">
        <f>((D71+E71)/2-$C$1)*$H$1</f>
        <v/>
      </c>
      <c r="M71">
        <f>F71-$D$1</f>
        <v/>
      </c>
      <c r="N71">
        <f>IF(M71&gt;20,M71*$I$1,0)</f>
        <v/>
      </c>
      <c r="O71">
        <f>IF(G71="Mixed",$Q$1,IF(G71=$E$1,$O$1,$P$1))</f>
        <v/>
      </c>
      <c r="P71">
        <f>(H71-$F$1)*$N$1</f>
        <v/>
      </c>
      <c r="Q71">
        <f>K71*$G$1+L71+N71+O71+P71+Y71+Z71+AF71+AG71</f>
        <v/>
      </c>
      <c r="R71">
        <f>IFERROR(INDEX('Data-Input'!$C$190:$C$1189,MATCH(A71&amp;"|"&amp;$A$1,'Data-Input'!$E$190:$E$1189,0)),Q71)</f>
        <v/>
      </c>
      <c r="S71">
        <f>IF(OR($A$1="",A71=$A$1),-1000000000000000,R71)</f>
        <v/>
      </c>
      <c r="T71">
        <f>S71+ROW()*0.0000001</f>
        <v/>
      </c>
      <c r="U71">
        <f>Heroes!$M71</f>
        <v/>
      </c>
      <c r="V71">
        <f>IF(OR($A$1="",A71=$A$1,U71="",U71&lt;&gt;$J$1),-1000000000000000,R71)+ROW()*0.0000001</f>
        <v/>
      </c>
      <c r="W71">
        <f>Heroes!$I71</f>
        <v/>
      </c>
      <c r="X71">
        <f>Heroes!$J71</f>
        <v/>
      </c>
      <c r="Y71">
        <f>IF($A$1="",0,MAX(IF(W71&lt;&gt;"",IFERROR(INDEX('Data-Input'!$B$164:$W$185,MATCH(W71,'Data-Input'!$A$164:$A$185,0),MATCH($K$1,'Data-Input'!$B$163:$W$163,0)),0),0),IF(AND(W71&lt;&gt;"",$L$1&lt;&gt;""),IFERROR(INDEX('Data-Input'!$B$164:$W$185,MATCH(W71,'Data-Input'!$A$164:$A$185,0),MATCH($L$1,'Data-Input'!$B$163:$W$163,0)),0),0),IF(X71&lt;&gt;"",IFERROR(INDEX('Data-Input'!$B$164:$W$185,MATCH(X71,'Data-Input'!$A$164:$A$185,0),MATCH($K$1,'Data-Input'!$B$163:$W$163,0)),0),0),IF(AND(X71&lt;&gt;"",$L$1&lt;&gt;""),IFERROR(INDEX('Data-Input'!$B$164:$W$185,MATCH(X71,'Data-Input'!$A$164:$A$185,0),MATCH($L$1,'Data-Input'!$B$163:$W$163,0)),0),0))*$M$1)</f>
        <v/>
      </c>
      <c r="Z71">
        <f>IF($A$1="",0,SUMPRODUCT(('Data-Input'!$A$29:$A$128=A71)*('Data-Input'!$B$29:$B$128="Tag")*((('Data-Input'!$C$29:$C$128=$K$1)+('Data-Input'!$C$29:$C$128=$L$1))&gt;0)*('Data-Input'!$D$29:$D$128-'Data-Input'!$E$29:$E$128))+SUMPRODUCT(('Data-Input'!$A$29:$A$128=A71)*('Data-Input'!$B$29:$B$128="Hero")*('Data-Input'!$C$29:$C$128=$A$1)*('Data-Input'!$D$29:$D$128-'Data-Input'!$E$29:$E$128))+SUMPRODUCT(('Data-Input'!$A$29:$A$128=A71)*('Data-Input'!$B$29:$B$128="Role")*((('Data-Input'!$C$29:$C$128=$B$1)+('Data-Input'!$C$29:$C$128=$AH$1))&gt;0)*('Data-Input'!$D$29:$D$128-'Data-Input'!$E$29:$E$128))+SUMPRODUCT(('Data-Input'!$A$29:$A$128=A71)*('Data-Input'!$B$29:$B$128="DamageType")*('Data-Input'!$C$29:$C$128=$E$1)*('Data-Input'!$D$29:$D$128-'Data-Input'!$E$29:$E$128))+SUMPRODUCT(('Data-Input'!$A$29:$A$128=A71)*('Data-Input'!$B$29:$B$128="Resource")*('Data-Input'!$C$29:$C$128=$AB$1)*('Data-Input'!$D$29:$D$128-'Data-Input'!$E$29:$E$128)))</f>
        <v/>
      </c>
      <c r="AE71">
        <f>Heroes!$R71</f>
        <v/>
      </c>
      <c r="AF71">
        <f>IF($A$1="",0,IF(AND(OR(W71="Dash/Blink",W71="High Mobility",W71="Global Dive",W71="Mobility",X71="Dash/Blink",X71="High Mobility",X71="Global Dive",X71="Mobility"),$AA$1="Ranged"),$AC$1,0))</f>
        <v/>
      </c>
      <c r="AG71">
        <f>IF($A$1="",0,IF(AND(AE71="Yes",OR($K$1="Sustain",$K$1="Healing",$L$1="Sustain",$L$1="Healing")),$AD$1,0))</f>
        <v/>
      </c>
    </row>
    <row r="72" ht="15" customHeight="1">
      <c r="A72">
        <f>Heroes!$B72</f>
        <v/>
      </c>
      <c r="B72">
        <f>Heroes!$C72</f>
        <v/>
      </c>
      <c r="C72">
        <f>Heroes!$D72</f>
        <v/>
      </c>
      <c r="D72">
        <f>Heroes!$E72</f>
        <v/>
      </c>
      <c r="E72">
        <f>Heroes!$F72</f>
        <v/>
      </c>
      <c r="F72">
        <f>Heroes!$H72</f>
        <v/>
      </c>
      <c r="G72">
        <f>Heroes!$K72</f>
        <v/>
      </c>
      <c r="H72">
        <f>Heroes!$Q72</f>
        <v/>
      </c>
      <c r="I72">
        <f>IFERROR(INDEX('Data-Input'!$B$19:$G$24,MATCH(B72,'Data-Input'!$A$19:$A$24,0),MATCH($B$1,'Data-Input'!$B$18:$G$18,0)),0)</f>
        <v/>
      </c>
      <c r="J72">
        <f>IF(C72&lt;&gt;"",IFERROR(INDEX('Data-Input'!$B$19:$G$24,MATCH(C72,'Data-Input'!$A$19:$A$24,0),MATCH($B$1,'Data-Input'!$B$18:$G$18,0)),0),I72)</f>
        <v/>
      </c>
      <c r="K72">
        <f>MAX(I72,J72)</f>
        <v/>
      </c>
      <c r="L72">
        <f>((D72+E72)/2-$C$1)*$H$1</f>
        <v/>
      </c>
      <c r="M72">
        <f>F72-$D$1</f>
        <v/>
      </c>
      <c r="N72">
        <f>IF(M72&gt;20,M72*$I$1,0)</f>
        <v/>
      </c>
      <c r="O72">
        <f>IF(G72="Mixed",$Q$1,IF(G72=$E$1,$O$1,$P$1))</f>
        <v/>
      </c>
      <c r="P72">
        <f>(H72-$F$1)*$N$1</f>
        <v/>
      </c>
      <c r="Q72">
        <f>K72*$G$1+L72+N72+O72+P72+Y72+Z72+AF72+AG72</f>
        <v/>
      </c>
      <c r="R72">
        <f>IFERROR(INDEX('Data-Input'!$C$190:$C$1189,MATCH(A72&amp;"|"&amp;$A$1,'Data-Input'!$E$190:$E$1189,0)),Q72)</f>
        <v/>
      </c>
      <c r="S72">
        <f>IF(OR($A$1="",A72=$A$1),-1000000000000000,R72)</f>
        <v/>
      </c>
      <c r="T72">
        <f>S72+ROW()*0.0000001</f>
        <v/>
      </c>
      <c r="U72">
        <f>Heroes!$M72</f>
        <v/>
      </c>
      <c r="V72">
        <f>IF(OR($A$1="",A72=$A$1,U72="",U72&lt;&gt;$J$1),-1000000000000000,R72)+ROW()*0.0000001</f>
        <v/>
      </c>
      <c r="W72">
        <f>Heroes!$I72</f>
        <v/>
      </c>
      <c r="X72">
        <f>Heroes!$J72</f>
        <v/>
      </c>
      <c r="Y72">
        <f>IF($A$1="",0,MAX(IF(W72&lt;&gt;"",IFERROR(INDEX('Data-Input'!$B$164:$W$185,MATCH(W72,'Data-Input'!$A$164:$A$185,0),MATCH($K$1,'Data-Input'!$B$163:$W$163,0)),0),0),IF(AND(W72&lt;&gt;"",$L$1&lt;&gt;""),IFERROR(INDEX('Data-Input'!$B$164:$W$185,MATCH(W72,'Data-Input'!$A$164:$A$185,0),MATCH($L$1,'Data-Input'!$B$163:$W$163,0)),0),0),IF(X72&lt;&gt;"",IFERROR(INDEX('Data-Input'!$B$164:$W$185,MATCH(X72,'Data-Input'!$A$164:$A$185,0),MATCH($K$1,'Data-Input'!$B$163:$W$163,0)),0),0),IF(AND(X72&lt;&gt;"",$L$1&lt;&gt;""),IFERROR(INDEX('Data-Input'!$B$164:$W$185,MATCH(X72,'Data-Input'!$A$164:$A$185,0),MATCH($L$1,'Data-Input'!$B$163:$W$163,0)),0),0))*$M$1)</f>
        <v/>
      </c>
      <c r="Z72">
        <f>IF($A$1="",0,SUMPRODUCT(('Data-Input'!$A$29:$A$128=A72)*('Data-Input'!$B$29:$B$128="Tag")*((('Data-Input'!$C$29:$C$128=$K$1)+('Data-Input'!$C$29:$C$128=$L$1))&gt;0)*('Data-Input'!$D$29:$D$128-'Data-Input'!$E$29:$E$128))+SUMPRODUCT(('Data-Input'!$A$29:$A$128=A72)*('Data-Input'!$B$29:$B$128="Hero")*('Data-Input'!$C$29:$C$128=$A$1)*('Data-Input'!$D$29:$D$128-'Data-Input'!$E$29:$E$128))+SUMPRODUCT(('Data-Input'!$A$29:$A$128=A72)*('Data-Input'!$B$29:$B$128="Role")*((('Data-Input'!$C$29:$C$128=$B$1)+('Data-Input'!$C$29:$C$128=$AH$1))&gt;0)*('Data-Input'!$D$29:$D$128-'Data-Input'!$E$29:$E$128))+SUMPRODUCT(('Data-Input'!$A$29:$A$128=A72)*('Data-Input'!$B$29:$B$128="DamageType")*('Data-Input'!$C$29:$C$128=$E$1)*('Data-Input'!$D$29:$D$128-'Data-Input'!$E$29:$E$128))+SUMPRODUCT(('Data-Input'!$A$29:$A$128=A72)*('Data-Input'!$B$29:$B$128="Resource")*('Data-Input'!$C$29:$C$128=$AB$1)*('Data-Input'!$D$29:$D$128-'Data-Input'!$E$29:$E$128)))</f>
        <v/>
      </c>
      <c r="AE72">
        <f>Heroes!$R72</f>
        <v/>
      </c>
      <c r="AF72">
        <f>IF($A$1="",0,IF(AND(OR(W72="Dash/Blink",W72="High Mobility",W72="Global Dive",W72="Mobility",X72="Dash/Blink",X72="High Mobility",X72="Global Dive",X72="Mobility"),$AA$1="Ranged"),$AC$1,0))</f>
        <v/>
      </c>
      <c r="AG72">
        <f>IF($A$1="",0,IF(AND(AE72="Yes",OR($K$1="Sustain",$K$1="Healing",$L$1="Sustain",$L$1="Healing")),$AD$1,0))</f>
        <v/>
      </c>
    </row>
    <row r="73" ht="15" customHeight="1">
      <c r="A73">
        <f>Heroes!$B73</f>
        <v/>
      </c>
      <c r="B73">
        <f>Heroes!$C73</f>
        <v/>
      </c>
      <c r="C73">
        <f>Heroes!$D73</f>
        <v/>
      </c>
      <c r="D73">
        <f>Heroes!$E73</f>
        <v/>
      </c>
      <c r="E73">
        <f>Heroes!$F73</f>
        <v/>
      </c>
      <c r="F73">
        <f>Heroes!$H73</f>
        <v/>
      </c>
      <c r="G73">
        <f>Heroes!$K73</f>
        <v/>
      </c>
      <c r="H73">
        <f>Heroes!$Q73</f>
        <v/>
      </c>
      <c r="I73">
        <f>IFERROR(INDEX('Data-Input'!$B$19:$G$24,MATCH(B73,'Data-Input'!$A$19:$A$24,0),MATCH($B$1,'Data-Input'!$B$18:$G$18,0)),0)</f>
        <v/>
      </c>
      <c r="J73">
        <f>IF(C73&lt;&gt;"",IFERROR(INDEX('Data-Input'!$B$19:$G$24,MATCH(C73,'Data-Input'!$A$19:$A$24,0),MATCH($B$1,'Data-Input'!$B$18:$G$18,0)),0),I73)</f>
        <v/>
      </c>
      <c r="K73">
        <f>MAX(I73,J73)</f>
        <v/>
      </c>
      <c r="L73">
        <f>((D73+E73)/2-$C$1)*$H$1</f>
        <v/>
      </c>
      <c r="M73">
        <f>F73-$D$1</f>
        <v/>
      </c>
      <c r="N73">
        <f>IF(M73&gt;20,M73*$I$1,0)</f>
        <v/>
      </c>
      <c r="O73">
        <f>IF(G73="Mixed",$Q$1,IF(G73=$E$1,$O$1,$P$1))</f>
        <v/>
      </c>
      <c r="P73">
        <f>(H73-$F$1)*$N$1</f>
        <v/>
      </c>
      <c r="Q73">
        <f>K73*$G$1+L73+N73+O73+P73+Y73+Z73+AF73+AG73</f>
        <v/>
      </c>
      <c r="R73">
        <f>IFERROR(INDEX('Data-Input'!$C$190:$C$1189,MATCH(A73&amp;"|"&amp;$A$1,'Data-Input'!$E$190:$E$1189,0)),Q73)</f>
        <v/>
      </c>
      <c r="S73">
        <f>IF(OR($A$1="",A73=$A$1),-1000000000000000,R73)</f>
        <v/>
      </c>
      <c r="T73">
        <f>S73+ROW()*0.0000001</f>
        <v/>
      </c>
      <c r="U73">
        <f>Heroes!$M73</f>
        <v/>
      </c>
      <c r="V73">
        <f>IF(OR($A$1="",A73=$A$1,U73="",U73&lt;&gt;$J$1),-1000000000000000,R73)+ROW()*0.0000001</f>
        <v/>
      </c>
      <c r="W73">
        <f>Heroes!$I73</f>
        <v/>
      </c>
      <c r="X73">
        <f>Heroes!$J73</f>
        <v/>
      </c>
      <c r="Y73">
        <f>IF($A$1="",0,MAX(IF(W73&lt;&gt;"",IFERROR(INDEX('Data-Input'!$B$164:$W$185,MATCH(W73,'Data-Input'!$A$164:$A$185,0),MATCH($K$1,'Data-Input'!$B$163:$W$163,0)),0),0),IF(AND(W73&lt;&gt;"",$L$1&lt;&gt;""),IFERROR(INDEX('Data-Input'!$B$164:$W$185,MATCH(W73,'Data-Input'!$A$164:$A$185,0),MATCH($L$1,'Data-Input'!$B$163:$W$163,0)),0),0),IF(X73&lt;&gt;"",IFERROR(INDEX('Data-Input'!$B$164:$W$185,MATCH(X73,'Data-Input'!$A$164:$A$185,0),MATCH($K$1,'Data-Input'!$B$163:$W$163,0)),0),0),IF(AND(X73&lt;&gt;"",$L$1&lt;&gt;""),IFERROR(INDEX('Data-Input'!$B$164:$W$185,MATCH(X73,'Data-Input'!$A$164:$A$185,0),MATCH($L$1,'Data-Input'!$B$163:$W$163,0)),0),0))*$M$1)</f>
        <v/>
      </c>
      <c r="Z73">
        <f>IF($A$1="",0,SUMPRODUCT(('Data-Input'!$A$29:$A$128=A73)*('Data-Input'!$B$29:$B$128="Tag")*((('Data-Input'!$C$29:$C$128=$K$1)+('Data-Input'!$C$29:$C$128=$L$1))&gt;0)*('Data-Input'!$D$29:$D$128-'Data-Input'!$E$29:$E$128))+SUMPRODUCT(('Data-Input'!$A$29:$A$128=A73)*('Data-Input'!$B$29:$B$128="Hero")*('Data-Input'!$C$29:$C$128=$A$1)*('Data-Input'!$D$29:$D$128-'Data-Input'!$E$29:$E$128))+SUMPRODUCT(('Data-Input'!$A$29:$A$128=A73)*('Data-Input'!$B$29:$B$128="Role")*((('Data-Input'!$C$29:$C$128=$B$1)+('Data-Input'!$C$29:$C$128=$AH$1))&gt;0)*('Data-Input'!$D$29:$D$128-'Data-Input'!$E$29:$E$128))+SUMPRODUCT(('Data-Input'!$A$29:$A$128=A73)*('Data-Input'!$B$29:$B$128="DamageType")*('Data-Input'!$C$29:$C$128=$E$1)*('Data-Input'!$D$29:$D$128-'Data-Input'!$E$29:$E$128))+SUMPRODUCT(('Data-Input'!$A$29:$A$128=A73)*('Data-Input'!$B$29:$B$128="Resource")*('Data-Input'!$C$29:$C$128=$AB$1)*('Data-Input'!$D$29:$D$128-'Data-Input'!$E$29:$E$128)))</f>
        <v/>
      </c>
      <c r="AE73">
        <f>Heroes!$R73</f>
        <v/>
      </c>
      <c r="AF73">
        <f>IF($A$1="",0,IF(AND(OR(W73="Dash/Blink",W73="High Mobility",W73="Global Dive",W73="Mobility",X73="Dash/Blink",X73="High Mobility",X73="Global Dive",X73="Mobility"),$AA$1="Ranged"),$AC$1,0))</f>
        <v/>
      </c>
      <c r="AG73">
        <f>IF($A$1="",0,IF(AND(AE73="Yes",OR($K$1="Sustain",$K$1="Healing",$L$1="Sustain",$L$1="Healing")),$AD$1,0))</f>
        <v/>
      </c>
    </row>
    <row r="74" ht="15" customHeight="1">
      <c r="A74">
        <f>Heroes!$B74</f>
        <v/>
      </c>
      <c r="B74">
        <f>Heroes!$C74</f>
        <v/>
      </c>
      <c r="C74">
        <f>Heroes!$D74</f>
        <v/>
      </c>
      <c r="D74">
        <f>Heroes!$E74</f>
        <v/>
      </c>
      <c r="E74">
        <f>Heroes!$F74</f>
        <v/>
      </c>
      <c r="F74">
        <f>Heroes!$H74</f>
        <v/>
      </c>
      <c r="G74">
        <f>Heroes!$K74</f>
        <v/>
      </c>
      <c r="H74">
        <f>Heroes!$Q74</f>
        <v/>
      </c>
      <c r="I74">
        <f>IFERROR(INDEX('Data-Input'!$B$19:$G$24,MATCH(B74,'Data-Input'!$A$19:$A$24,0),MATCH($B$1,'Data-Input'!$B$18:$G$18,0)),0)</f>
        <v/>
      </c>
      <c r="J74">
        <f>IF(C74&lt;&gt;"",IFERROR(INDEX('Data-Input'!$B$19:$G$24,MATCH(C74,'Data-Input'!$A$19:$A$24,0),MATCH($B$1,'Data-Input'!$B$18:$G$18,0)),0),I74)</f>
        <v/>
      </c>
      <c r="K74">
        <f>MAX(I74,J74)</f>
        <v/>
      </c>
      <c r="L74">
        <f>((D74+E74)/2-$C$1)*$H$1</f>
        <v/>
      </c>
      <c r="M74">
        <f>F74-$D$1</f>
        <v/>
      </c>
      <c r="N74">
        <f>IF(M74&gt;20,M74*$I$1,0)</f>
        <v/>
      </c>
      <c r="O74">
        <f>IF(G74="Mixed",$Q$1,IF(G74=$E$1,$O$1,$P$1))</f>
        <v/>
      </c>
      <c r="P74">
        <f>(H74-$F$1)*$N$1</f>
        <v/>
      </c>
      <c r="Q74">
        <f>K74*$G$1+L74+N74+O74+P74+Y74+Z74+AF74+AG74</f>
        <v/>
      </c>
      <c r="R74">
        <f>IFERROR(INDEX('Data-Input'!$C$190:$C$1189,MATCH(A74&amp;"|"&amp;$A$1,'Data-Input'!$E$190:$E$1189,0)),Q74)</f>
        <v/>
      </c>
      <c r="S74">
        <f>IF(OR($A$1="",A74=$A$1),-1000000000000000,R74)</f>
        <v/>
      </c>
      <c r="T74">
        <f>S74+ROW()*0.0000001</f>
        <v/>
      </c>
      <c r="U74">
        <f>Heroes!$M74</f>
        <v/>
      </c>
      <c r="V74">
        <f>IF(OR($A$1="",A74=$A$1,U74="",U74&lt;&gt;$J$1),-1000000000000000,R74)+ROW()*0.0000001</f>
        <v/>
      </c>
      <c r="W74">
        <f>Heroes!$I74</f>
        <v/>
      </c>
      <c r="X74">
        <f>Heroes!$J74</f>
        <v/>
      </c>
      <c r="Y74">
        <f>IF($A$1="",0,MAX(IF(W74&lt;&gt;"",IFERROR(INDEX('Data-Input'!$B$164:$W$185,MATCH(W74,'Data-Input'!$A$164:$A$185,0),MATCH($K$1,'Data-Input'!$B$163:$W$163,0)),0),0),IF(AND(W74&lt;&gt;"",$L$1&lt;&gt;""),IFERROR(INDEX('Data-Input'!$B$164:$W$185,MATCH(W74,'Data-Input'!$A$164:$A$185,0),MATCH($L$1,'Data-Input'!$B$163:$W$163,0)),0),0),IF(X74&lt;&gt;"",IFERROR(INDEX('Data-Input'!$B$164:$W$185,MATCH(X74,'Data-Input'!$A$164:$A$185,0),MATCH($K$1,'Data-Input'!$B$163:$W$163,0)),0),0),IF(AND(X74&lt;&gt;"",$L$1&lt;&gt;""),IFERROR(INDEX('Data-Input'!$B$164:$W$185,MATCH(X74,'Data-Input'!$A$164:$A$185,0),MATCH($L$1,'Data-Input'!$B$163:$W$163,0)),0),0))*$M$1)</f>
        <v/>
      </c>
      <c r="Z74">
        <f>IF($A$1="",0,SUMPRODUCT(('Data-Input'!$A$29:$A$128=A74)*('Data-Input'!$B$29:$B$128="Tag")*((('Data-Input'!$C$29:$C$128=$K$1)+('Data-Input'!$C$29:$C$128=$L$1))&gt;0)*('Data-Input'!$D$29:$D$128-'Data-Input'!$E$29:$E$128))+SUMPRODUCT(('Data-Input'!$A$29:$A$128=A74)*('Data-Input'!$B$29:$B$128="Hero")*('Data-Input'!$C$29:$C$128=$A$1)*('Data-Input'!$D$29:$D$128-'Data-Input'!$E$29:$E$128))+SUMPRODUCT(('Data-Input'!$A$29:$A$128=A74)*('Data-Input'!$B$29:$B$128="Role")*((('Data-Input'!$C$29:$C$128=$B$1)+('Data-Input'!$C$29:$C$128=$AH$1))&gt;0)*('Data-Input'!$D$29:$D$128-'Data-Input'!$E$29:$E$128))+SUMPRODUCT(('Data-Input'!$A$29:$A$128=A74)*('Data-Input'!$B$29:$B$128="DamageType")*('Data-Input'!$C$29:$C$128=$E$1)*('Data-Input'!$D$29:$D$128-'Data-Input'!$E$29:$E$128))+SUMPRODUCT(('Data-Input'!$A$29:$A$128=A74)*('Data-Input'!$B$29:$B$128="Resource")*('Data-Input'!$C$29:$C$128=$AB$1)*('Data-Input'!$D$29:$D$128-'Data-Input'!$E$29:$E$128)))</f>
        <v/>
      </c>
      <c r="AE74">
        <f>Heroes!$R74</f>
        <v/>
      </c>
      <c r="AF74">
        <f>IF($A$1="",0,IF(AND(OR(W74="Dash/Blink",W74="High Mobility",W74="Global Dive",W74="Mobility",X74="Dash/Blink",X74="High Mobility",X74="Global Dive",X74="Mobility"),$AA$1="Ranged"),$AC$1,0))</f>
        <v/>
      </c>
      <c r="AG74">
        <f>IF($A$1="",0,IF(AND(AE74="Yes",OR($K$1="Sustain",$K$1="Healing",$L$1="Sustain",$L$1="Healing")),$AD$1,0))</f>
        <v/>
      </c>
    </row>
    <row r="75" ht="15" customHeight="1">
      <c r="A75">
        <f>Heroes!$B75</f>
        <v/>
      </c>
      <c r="B75">
        <f>Heroes!$C75</f>
        <v/>
      </c>
      <c r="C75">
        <f>Heroes!$D75</f>
        <v/>
      </c>
      <c r="D75">
        <f>Heroes!$E75</f>
        <v/>
      </c>
      <c r="E75">
        <f>Heroes!$F75</f>
        <v/>
      </c>
      <c r="F75">
        <f>Heroes!$H75</f>
        <v/>
      </c>
      <c r="G75">
        <f>Heroes!$K75</f>
        <v/>
      </c>
      <c r="H75">
        <f>Heroes!$Q75</f>
        <v/>
      </c>
      <c r="I75">
        <f>IFERROR(INDEX('Data-Input'!$B$19:$G$24,MATCH(B75,'Data-Input'!$A$19:$A$24,0),MATCH($B$1,'Data-Input'!$B$18:$G$18,0)),0)</f>
        <v/>
      </c>
      <c r="J75">
        <f>IF(C75&lt;&gt;"",IFERROR(INDEX('Data-Input'!$B$19:$G$24,MATCH(C75,'Data-Input'!$A$19:$A$24,0),MATCH($B$1,'Data-Input'!$B$18:$G$18,0)),0),I75)</f>
        <v/>
      </c>
      <c r="K75">
        <f>MAX(I75,J75)</f>
        <v/>
      </c>
      <c r="L75">
        <f>((D75+E75)/2-$C$1)*$H$1</f>
        <v/>
      </c>
      <c r="M75">
        <f>F75-$D$1</f>
        <v/>
      </c>
      <c r="N75">
        <f>IF(M75&gt;20,M75*$I$1,0)</f>
        <v/>
      </c>
      <c r="O75">
        <f>IF(G75="Mixed",$Q$1,IF(G75=$E$1,$O$1,$P$1))</f>
        <v/>
      </c>
      <c r="P75">
        <f>(H75-$F$1)*$N$1</f>
        <v/>
      </c>
      <c r="Q75">
        <f>K75*$G$1+L75+N75+O75+P75+Y75+Z75+AF75+AG75</f>
        <v/>
      </c>
      <c r="R75">
        <f>IFERROR(INDEX('Data-Input'!$C$190:$C$1189,MATCH(A75&amp;"|"&amp;$A$1,'Data-Input'!$E$190:$E$1189,0)),Q75)</f>
        <v/>
      </c>
      <c r="S75">
        <f>IF(OR($A$1="",A75=$A$1),-1000000000000000,R75)</f>
        <v/>
      </c>
      <c r="T75">
        <f>S75+ROW()*0.0000001</f>
        <v/>
      </c>
      <c r="U75">
        <f>Heroes!$M75</f>
        <v/>
      </c>
      <c r="V75">
        <f>IF(OR($A$1="",A75=$A$1,U75="",U75&lt;&gt;$J$1),-1000000000000000,R75)+ROW()*0.0000001</f>
        <v/>
      </c>
      <c r="W75">
        <f>Heroes!$I75</f>
        <v/>
      </c>
      <c r="X75">
        <f>Heroes!$J75</f>
        <v/>
      </c>
      <c r="Y75">
        <f>IF($A$1="",0,MAX(IF(W75&lt;&gt;"",IFERROR(INDEX('Data-Input'!$B$164:$W$185,MATCH(W75,'Data-Input'!$A$164:$A$185,0),MATCH($K$1,'Data-Input'!$B$163:$W$163,0)),0),0),IF(AND(W75&lt;&gt;"",$L$1&lt;&gt;""),IFERROR(INDEX('Data-Input'!$B$164:$W$185,MATCH(W75,'Data-Input'!$A$164:$A$185,0),MATCH($L$1,'Data-Input'!$B$163:$W$163,0)),0),0),IF(X75&lt;&gt;"",IFERROR(INDEX('Data-Input'!$B$164:$W$185,MATCH(X75,'Data-Input'!$A$164:$A$185,0),MATCH($K$1,'Data-Input'!$B$163:$W$163,0)),0),0),IF(AND(X75&lt;&gt;"",$L$1&lt;&gt;""),IFERROR(INDEX('Data-Input'!$B$164:$W$185,MATCH(X75,'Data-Input'!$A$164:$A$185,0),MATCH($L$1,'Data-Input'!$B$163:$W$163,0)),0),0))*$M$1)</f>
        <v/>
      </c>
      <c r="Z75">
        <f>IF($A$1="",0,SUMPRODUCT(('Data-Input'!$A$29:$A$128=A75)*('Data-Input'!$B$29:$B$128="Tag")*((('Data-Input'!$C$29:$C$128=$K$1)+('Data-Input'!$C$29:$C$128=$L$1))&gt;0)*('Data-Input'!$D$29:$D$128-'Data-Input'!$E$29:$E$128))+SUMPRODUCT(('Data-Input'!$A$29:$A$128=A75)*('Data-Input'!$B$29:$B$128="Hero")*('Data-Input'!$C$29:$C$128=$A$1)*('Data-Input'!$D$29:$D$128-'Data-Input'!$E$29:$E$128))+SUMPRODUCT(('Data-Input'!$A$29:$A$128=A75)*('Data-Input'!$B$29:$B$128="Role")*((('Data-Input'!$C$29:$C$128=$B$1)+('Data-Input'!$C$29:$C$128=$AH$1))&gt;0)*('Data-Input'!$D$29:$D$128-'Data-Input'!$E$29:$E$128))+SUMPRODUCT(('Data-Input'!$A$29:$A$128=A75)*('Data-Input'!$B$29:$B$128="DamageType")*('Data-Input'!$C$29:$C$128=$E$1)*('Data-Input'!$D$29:$D$128-'Data-Input'!$E$29:$E$128))+SUMPRODUCT(('Data-Input'!$A$29:$A$128=A75)*('Data-Input'!$B$29:$B$128="Resource")*('Data-Input'!$C$29:$C$128=$AB$1)*('Data-Input'!$D$29:$D$128-'Data-Input'!$E$29:$E$128)))</f>
        <v/>
      </c>
      <c r="AE75">
        <f>Heroes!$R75</f>
        <v/>
      </c>
      <c r="AF75">
        <f>IF($A$1="",0,IF(AND(OR(W75="Dash/Blink",W75="High Mobility",W75="Global Dive",W75="Mobility",X75="Dash/Blink",X75="High Mobility",X75="Global Dive",X75="Mobility"),$AA$1="Ranged"),$AC$1,0))</f>
        <v/>
      </c>
      <c r="AG75">
        <f>IF($A$1="",0,IF(AND(AE75="Yes",OR($K$1="Sustain",$K$1="Healing",$L$1="Sustain",$L$1="Healing")),$AD$1,0))</f>
        <v/>
      </c>
    </row>
    <row r="76" ht="15" customHeight="1">
      <c r="A76">
        <f>Heroes!$B76</f>
        <v/>
      </c>
      <c r="B76">
        <f>Heroes!$C76</f>
        <v/>
      </c>
      <c r="C76">
        <f>Heroes!$D76</f>
        <v/>
      </c>
      <c r="D76">
        <f>Heroes!$E76</f>
        <v/>
      </c>
      <c r="E76">
        <f>Heroes!$F76</f>
        <v/>
      </c>
      <c r="F76">
        <f>Heroes!$H76</f>
        <v/>
      </c>
      <c r="G76">
        <f>Heroes!$K76</f>
        <v/>
      </c>
      <c r="H76">
        <f>Heroes!$Q76</f>
        <v/>
      </c>
      <c r="I76">
        <f>IFERROR(INDEX('Data-Input'!$B$19:$G$24,MATCH(B76,'Data-Input'!$A$19:$A$24,0),MATCH($B$1,'Data-Input'!$B$18:$G$18,0)),0)</f>
        <v/>
      </c>
      <c r="J76">
        <f>IF(C76&lt;&gt;"",IFERROR(INDEX('Data-Input'!$B$19:$G$24,MATCH(C76,'Data-Input'!$A$19:$A$24,0),MATCH($B$1,'Data-Input'!$B$18:$G$18,0)),0),I76)</f>
        <v/>
      </c>
      <c r="K76">
        <f>MAX(I76,J76)</f>
        <v/>
      </c>
      <c r="L76">
        <f>((D76+E76)/2-$C$1)*$H$1</f>
        <v/>
      </c>
      <c r="M76">
        <f>F76-$D$1</f>
        <v/>
      </c>
      <c r="N76">
        <f>IF(M76&gt;20,M76*$I$1,0)</f>
        <v/>
      </c>
      <c r="O76">
        <f>IF(G76="Mixed",$Q$1,IF(G76=$E$1,$O$1,$P$1))</f>
        <v/>
      </c>
      <c r="P76">
        <f>(H76-$F$1)*$N$1</f>
        <v/>
      </c>
      <c r="Q76">
        <f>K76*$G$1+L76+N76+O76+P76+Y76+Z76+AF76+AG76</f>
        <v/>
      </c>
      <c r="R76">
        <f>IFERROR(INDEX('Data-Input'!$C$190:$C$1189,MATCH(A76&amp;"|"&amp;$A$1,'Data-Input'!$E$190:$E$1189,0)),Q76)</f>
        <v/>
      </c>
      <c r="S76">
        <f>IF(OR($A$1="",A76=$A$1),-1000000000000000,R76)</f>
        <v/>
      </c>
      <c r="T76">
        <f>S76+ROW()*0.0000001</f>
        <v/>
      </c>
      <c r="U76">
        <f>Heroes!$M76</f>
        <v/>
      </c>
      <c r="V76">
        <f>IF(OR($A$1="",A76=$A$1,U76="",U76&lt;&gt;$J$1),-1000000000000000,R76)+ROW()*0.0000001</f>
        <v/>
      </c>
      <c r="W76">
        <f>Heroes!$I76</f>
        <v/>
      </c>
      <c r="X76">
        <f>Heroes!$J76</f>
        <v/>
      </c>
      <c r="Y76">
        <f>IF($A$1="",0,MAX(IF(W76&lt;&gt;"",IFERROR(INDEX('Data-Input'!$B$164:$W$185,MATCH(W76,'Data-Input'!$A$164:$A$185,0),MATCH($K$1,'Data-Input'!$B$163:$W$163,0)),0),0),IF(AND(W76&lt;&gt;"",$L$1&lt;&gt;""),IFERROR(INDEX('Data-Input'!$B$164:$W$185,MATCH(W76,'Data-Input'!$A$164:$A$185,0),MATCH($L$1,'Data-Input'!$B$163:$W$163,0)),0),0),IF(X76&lt;&gt;"",IFERROR(INDEX('Data-Input'!$B$164:$W$185,MATCH(X76,'Data-Input'!$A$164:$A$185,0),MATCH($K$1,'Data-Input'!$B$163:$W$163,0)),0),0),IF(AND(X76&lt;&gt;"",$L$1&lt;&gt;""),IFERROR(INDEX('Data-Input'!$B$164:$W$185,MATCH(X76,'Data-Input'!$A$164:$A$185,0),MATCH($L$1,'Data-Input'!$B$163:$W$163,0)),0),0))*$M$1)</f>
        <v/>
      </c>
      <c r="Z76">
        <f>IF($A$1="",0,SUMPRODUCT(('Data-Input'!$A$29:$A$128=A76)*('Data-Input'!$B$29:$B$128="Tag")*((('Data-Input'!$C$29:$C$128=$K$1)+('Data-Input'!$C$29:$C$128=$L$1))&gt;0)*('Data-Input'!$D$29:$D$128-'Data-Input'!$E$29:$E$128))+SUMPRODUCT(('Data-Input'!$A$29:$A$128=A76)*('Data-Input'!$B$29:$B$128="Hero")*('Data-Input'!$C$29:$C$128=$A$1)*('Data-Input'!$D$29:$D$128-'Data-Input'!$E$29:$E$128))+SUMPRODUCT(('Data-Input'!$A$29:$A$128=A76)*('Data-Input'!$B$29:$B$128="Role")*((('Data-Input'!$C$29:$C$128=$B$1)+('Data-Input'!$C$29:$C$128=$AH$1))&gt;0)*('Data-Input'!$D$29:$D$128-'Data-Input'!$E$29:$E$128))+SUMPRODUCT(('Data-Input'!$A$29:$A$128=A76)*('Data-Input'!$B$29:$B$128="DamageType")*('Data-Input'!$C$29:$C$128=$E$1)*('Data-Input'!$D$29:$D$128-'Data-Input'!$E$29:$E$128))+SUMPRODUCT(('Data-Input'!$A$29:$A$128=A76)*('Data-Input'!$B$29:$B$128="Resource")*('Data-Input'!$C$29:$C$128=$AB$1)*('Data-Input'!$D$29:$D$128-'Data-Input'!$E$29:$E$128)))</f>
        <v/>
      </c>
      <c r="AE76">
        <f>Heroes!$R76</f>
        <v/>
      </c>
      <c r="AF76">
        <f>IF($A$1="",0,IF(AND(OR(W76="Dash/Blink",W76="High Mobility",W76="Global Dive",W76="Mobility",X76="Dash/Blink",X76="High Mobility",X76="Global Dive",X76="Mobility"),$AA$1="Ranged"),$AC$1,0))</f>
        <v/>
      </c>
      <c r="AG76">
        <f>IF($A$1="",0,IF(AND(AE76="Yes",OR($K$1="Sustain",$K$1="Healing",$L$1="Sustain",$L$1="Healing")),$AD$1,0))</f>
        <v/>
      </c>
    </row>
    <row r="77" ht="15" customHeight="1">
      <c r="A77">
        <f>Heroes!$B77</f>
        <v/>
      </c>
      <c r="B77">
        <f>Heroes!$C77</f>
        <v/>
      </c>
      <c r="C77">
        <f>Heroes!$D77</f>
        <v/>
      </c>
      <c r="D77">
        <f>Heroes!$E77</f>
        <v/>
      </c>
      <c r="E77">
        <f>Heroes!$F77</f>
        <v/>
      </c>
      <c r="F77">
        <f>Heroes!$H77</f>
        <v/>
      </c>
      <c r="G77">
        <f>Heroes!$K77</f>
        <v/>
      </c>
      <c r="H77">
        <f>Heroes!$Q77</f>
        <v/>
      </c>
      <c r="I77">
        <f>IFERROR(INDEX('Data-Input'!$B$19:$G$24,MATCH(B77,'Data-Input'!$A$19:$A$24,0),MATCH($B$1,'Data-Input'!$B$18:$G$18,0)),0)</f>
        <v/>
      </c>
      <c r="J77">
        <f>IF(C77&lt;&gt;"",IFERROR(INDEX('Data-Input'!$B$19:$G$24,MATCH(C77,'Data-Input'!$A$19:$A$24,0),MATCH($B$1,'Data-Input'!$B$18:$G$18,0)),0),I77)</f>
        <v/>
      </c>
      <c r="K77">
        <f>MAX(I77,J77)</f>
        <v/>
      </c>
      <c r="L77">
        <f>((D77+E77)/2-$C$1)*$H$1</f>
        <v/>
      </c>
      <c r="M77">
        <f>F77-$D$1</f>
        <v/>
      </c>
      <c r="N77">
        <f>IF(M77&gt;20,M77*$I$1,0)</f>
        <v/>
      </c>
      <c r="O77">
        <f>IF(G77="Mixed",$Q$1,IF(G77=$E$1,$O$1,$P$1))</f>
        <v/>
      </c>
      <c r="P77">
        <f>(H77-$F$1)*$N$1</f>
        <v/>
      </c>
      <c r="Q77">
        <f>K77*$G$1+L77+N77+O77+P77+Y77+Z77+AF77+AG77</f>
        <v/>
      </c>
      <c r="R77">
        <f>IFERROR(INDEX('Data-Input'!$C$190:$C$1189,MATCH(A77&amp;"|"&amp;$A$1,'Data-Input'!$E$190:$E$1189,0)),Q77)</f>
        <v/>
      </c>
      <c r="S77">
        <f>IF(OR($A$1="",A77=$A$1),-1000000000000000,R77)</f>
        <v/>
      </c>
      <c r="T77">
        <f>S77+ROW()*0.0000001</f>
        <v/>
      </c>
      <c r="U77">
        <f>Heroes!$M77</f>
        <v/>
      </c>
      <c r="V77">
        <f>IF(OR($A$1="",A77=$A$1,U77="",U77&lt;&gt;$J$1),-1000000000000000,R77)+ROW()*0.0000001</f>
        <v/>
      </c>
      <c r="W77">
        <f>Heroes!$I77</f>
        <v/>
      </c>
      <c r="X77">
        <f>Heroes!$J77</f>
        <v/>
      </c>
      <c r="Y77">
        <f>IF($A$1="",0,MAX(IF(W77&lt;&gt;"",IFERROR(INDEX('Data-Input'!$B$164:$W$185,MATCH(W77,'Data-Input'!$A$164:$A$185,0),MATCH($K$1,'Data-Input'!$B$163:$W$163,0)),0),0),IF(AND(W77&lt;&gt;"",$L$1&lt;&gt;""),IFERROR(INDEX('Data-Input'!$B$164:$W$185,MATCH(W77,'Data-Input'!$A$164:$A$185,0),MATCH($L$1,'Data-Input'!$B$163:$W$163,0)),0),0),IF(X77&lt;&gt;"",IFERROR(INDEX('Data-Input'!$B$164:$W$185,MATCH(X77,'Data-Input'!$A$164:$A$185,0),MATCH($K$1,'Data-Input'!$B$163:$W$163,0)),0),0),IF(AND(X77&lt;&gt;"",$L$1&lt;&gt;""),IFERROR(INDEX('Data-Input'!$B$164:$W$185,MATCH(X77,'Data-Input'!$A$164:$A$185,0),MATCH($L$1,'Data-Input'!$B$163:$W$163,0)),0),0))*$M$1)</f>
        <v/>
      </c>
      <c r="Z77">
        <f>IF($A$1="",0,SUMPRODUCT(('Data-Input'!$A$29:$A$128=A77)*('Data-Input'!$B$29:$B$128="Tag")*((('Data-Input'!$C$29:$C$128=$K$1)+('Data-Input'!$C$29:$C$128=$L$1))&gt;0)*('Data-Input'!$D$29:$D$128-'Data-Input'!$E$29:$E$128))+SUMPRODUCT(('Data-Input'!$A$29:$A$128=A77)*('Data-Input'!$B$29:$B$128="Hero")*('Data-Input'!$C$29:$C$128=$A$1)*('Data-Input'!$D$29:$D$128-'Data-Input'!$E$29:$E$128))+SUMPRODUCT(('Data-Input'!$A$29:$A$128=A77)*('Data-Input'!$B$29:$B$128="Role")*((('Data-Input'!$C$29:$C$128=$B$1)+('Data-Input'!$C$29:$C$128=$AH$1))&gt;0)*('Data-Input'!$D$29:$D$128-'Data-Input'!$E$29:$E$128))+SUMPRODUCT(('Data-Input'!$A$29:$A$128=A77)*('Data-Input'!$B$29:$B$128="DamageType")*('Data-Input'!$C$29:$C$128=$E$1)*('Data-Input'!$D$29:$D$128-'Data-Input'!$E$29:$E$128))+SUMPRODUCT(('Data-Input'!$A$29:$A$128=A77)*('Data-Input'!$B$29:$B$128="Resource")*('Data-Input'!$C$29:$C$128=$AB$1)*('Data-Input'!$D$29:$D$128-'Data-Input'!$E$29:$E$128)))</f>
        <v/>
      </c>
      <c r="AE77">
        <f>Heroes!$R77</f>
        <v/>
      </c>
      <c r="AF77">
        <f>IF($A$1="",0,IF(AND(OR(W77="Dash/Blink",W77="High Mobility",W77="Global Dive",W77="Mobility",X77="Dash/Blink",X77="High Mobility",X77="Global Dive",X77="Mobility"),$AA$1="Ranged"),$AC$1,0))</f>
        <v/>
      </c>
      <c r="AG77">
        <f>IF($A$1="",0,IF(AND(AE77="Yes",OR($K$1="Sustain",$K$1="Healing",$L$1="Sustain",$L$1="Healing")),$AD$1,0))</f>
        <v/>
      </c>
    </row>
    <row r="78" ht="15" customHeight="1">
      <c r="A78">
        <f>Heroes!$B78</f>
        <v/>
      </c>
      <c r="B78">
        <f>Heroes!$C78</f>
        <v/>
      </c>
      <c r="C78">
        <f>Heroes!$D78</f>
        <v/>
      </c>
      <c r="D78">
        <f>Heroes!$E78</f>
        <v/>
      </c>
      <c r="E78">
        <f>Heroes!$F78</f>
        <v/>
      </c>
      <c r="F78">
        <f>Heroes!$H78</f>
        <v/>
      </c>
      <c r="G78">
        <f>Heroes!$K78</f>
        <v/>
      </c>
      <c r="H78">
        <f>Heroes!$Q78</f>
        <v/>
      </c>
      <c r="I78">
        <f>IFERROR(INDEX('Data-Input'!$B$19:$G$24,MATCH(B78,'Data-Input'!$A$19:$A$24,0),MATCH($B$1,'Data-Input'!$B$18:$G$18,0)),0)</f>
        <v/>
      </c>
      <c r="J78">
        <f>IF(C78&lt;&gt;"",IFERROR(INDEX('Data-Input'!$B$19:$G$24,MATCH(C78,'Data-Input'!$A$19:$A$24,0),MATCH($B$1,'Data-Input'!$B$18:$G$18,0)),0),I78)</f>
        <v/>
      </c>
      <c r="K78">
        <f>MAX(I78,J78)</f>
        <v/>
      </c>
      <c r="L78">
        <f>((D78+E78)/2-$C$1)*$H$1</f>
        <v/>
      </c>
      <c r="M78">
        <f>F78-$D$1</f>
        <v/>
      </c>
      <c r="N78">
        <f>IF(M78&gt;20,M78*$I$1,0)</f>
        <v/>
      </c>
      <c r="O78">
        <f>IF(G78="Mixed",$Q$1,IF(G78=$E$1,$O$1,$P$1))</f>
        <v/>
      </c>
      <c r="P78">
        <f>(H78-$F$1)*$N$1</f>
        <v/>
      </c>
      <c r="Q78">
        <f>K78*$G$1+L78+N78+O78+P78+Y78+Z78+AF78+AG78</f>
        <v/>
      </c>
      <c r="R78">
        <f>IFERROR(INDEX('Data-Input'!$C$190:$C$1189,MATCH(A78&amp;"|"&amp;$A$1,'Data-Input'!$E$190:$E$1189,0)),Q78)</f>
        <v/>
      </c>
      <c r="S78">
        <f>IF(OR($A$1="",A78=$A$1),-1000000000000000,R78)</f>
        <v/>
      </c>
      <c r="T78">
        <f>S78+ROW()*0.0000001</f>
        <v/>
      </c>
      <c r="U78">
        <f>Heroes!$M78</f>
        <v/>
      </c>
      <c r="V78">
        <f>IF(OR($A$1="",A78=$A$1,U78="",U78&lt;&gt;$J$1),-1000000000000000,R78)+ROW()*0.0000001</f>
        <v/>
      </c>
      <c r="W78">
        <f>Heroes!$I78</f>
        <v/>
      </c>
      <c r="X78">
        <f>Heroes!$J78</f>
        <v/>
      </c>
      <c r="Y78">
        <f>IF($A$1="",0,MAX(IF(W78&lt;&gt;"",IFERROR(INDEX('Data-Input'!$B$164:$W$185,MATCH(W78,'Data-Input'!$A$164:$A$185,0),MATCH($K$1,'Data-Input'!$B$163:$W$163,0)),0),0),IF(AND(W78&lt;&gt;"",$L$1&lt;&gt;""),IFERROR(INDEX('Data-Input'!$B$164:$W$185,MATCH(W78,'Data-Input'!$A$164:$A$185,0),MATCH($L$1,'Data-Input'!$B$163:$W$163,0)),0),0),IF(X78&lt;&gt;"",IFERROR(INDEX('Data-Input'!$B$164:$W$185,MATCH(X78,'Data-Input'!$A$164:$A$185,0),MATCH($K$1,'Data-Input'!$B$163:$W$163,0)),0),0),IF(AND(X78&lt;&gt;"",$L$1&lt;&gt;""),IFERROR(INDEX('Data-Input'!$B$164:$W$185,MATCH(X78,'Data-Input'!$A$164:$A$185,0),MATCH($L$1,'Data-Input'!$B$163:$W$163,0)),0),0))*$M$1)</f>
        <v/>
      </c>
      <c r="Z78">
        <f>IF($A$1="",0,SUMPRODUCT(('Data-Input'!$A$29:$A$128=A78)*('Data-Input'!$B$29:$B$128="Tag")*((('Data-Input'!$C$29:$C$128=$K$1)+('Data-Input'!$C$29:$C$128=$L$1))&gt;0)*('Data-Input'!$D$29:$D$128-'Data-Input'!$E$29:$E$128))+SUMPRODUCT(('Data-Input'!$A$29:$A$128=A78)*('Data-Input'!$B$29:$B$128="Hero")*('Data-Input'!$C$29:$C$128=$A$1)*('Data-Input'!$D$29:$D$128-'Data-Input'!$E$29:$E$128))+SUMPRODUCT(('Data-Input'!$A$29:$A$128=A78)*('Data-Input'!$B$29:$B$128="Role")*((('Data-Input'!$C$29:$C$128=$B$1)+('Data-Input'!$C$29:$C$128=$AH$1))&gt;0)*('Data-Input'!$D$29:$D$128-'Data-Input'!$E$29:$E$128))+SUMPRODUCT(('Data-Input'!$A$29:$A$128=A78)*('Data-Input'!$B$29:$B$128="DamageType")*('Data-Input'!$C$29:$C$128=$E$1)*('Data-Input'!$D$29:$D$128-'Data-Input'!$E$29:$E$128))+SUMPRODUCT(('Data-Input'!$A$29:$A$128=A78)*('Data-Input'!$B$29:$B$128="Resource")*('Data-Input'!$C$29:$C$128=$AB$1)*('Data-Input'!$D$29:$D$128-'Data-Input'!$E$29:$E$128)))</f>
        <v/>
      </c>
      <c r="AE78">
        <f>Heroes!$R78</f>
        <v/>
      </c>
      <c r="AF78">
        <f>IF($A$1="",0,IF(AND(OR(W78="Dash/Blink",W78="High Mobility",W78="Global Dive",W78="Mobility",X78="Dash/Blink",X78="High Mobility",X78="Global Dive",X78="Mobility"),$AA$1="Ranged"),$AC$1,0))</f>
        <v/>
      </c>
      <c r="AG78">
        <f>IF($A$1="",0,IF(AND(AE78="Yes",OR($K$1="Sustain",$K$1="Healing",$L$1="Sustain",$L$1="Healing")),$AD$1,0))</f>
        <v/>
      </c>
    </row>
    <row r="79" ht="15" customHeight="1">
      <c r="A79">
        <f>Heroes!$B79</f>
        <v/>
      </c>
      <c r="B79">
        <f>Heroes!$C79</f>
        <v/>
      </c>
      <c r="C79">
        <f>Heroes!$D79</f>
        <v/>
      </c>
      <c r="D79">
        <f>Heroes!$E79</f>
        <v/>
      </c>
      <c r="E79">
        <f>Heroes!$F79</f>
        <v/>
      </c>
      <c r="F79">
        <f>Heroes!$H79</f>
        <v/>
      </c>
      <c r="G79">
        <f>Heroes!$K79</f>
        <v/>
      </c>
      <c r="H79">
        <f>Heroes!$Q79</f>
        <v/>
      </c>
      <c r="I79">
        <f>IFERROR(INDEX('Data-Input'!$B$19:$G$24,MATCH(B79,'Data-Input'!$A$19:$A$24,0),MATCH($B$1,'Data-Input'!$B$18:$G$18,0)),0)</f>
        <v/>
      </c>
      <c r="J79">
        <f>IF(C79&lt;&gt;"",IFERROR(INDEX('Data-Input'!$B$19:$G$24,MATCH(C79,'Data-Input'!$A$19:$A$24,0),MATCH($B$1,'Data-Input'!$B$18:$G$18,0)),0),I79)</f>
        <v/>
      </c>
      <c r="K79">
        <f>MAX(I79,J79)</f>
        <v/>
      </c>
      <c r="L79">
        <f>((D79+E79)/2-$C$1)*$H$1</f>
        <v/>
      </c>
      <c r="M79">
        <f>F79-$D$1</f>
        <v/>
      </c>
      <c r="N79">
        <f>IF(M79&gt;20,M79*$I$1,0)</f>
        <v/>
      </c>
      <c r="O79">
        <f>IF(G79="Mixed",$Q$1,IF(G79=$E$1,$O$1,$P$1))</f>
        <v/>
      </c>
      <c r="P79">
        <f>(H79-$F$1)*$N$1</f>
        <v/>
      </c>
      <c r="Q79">
        <f>K79*$G$1+L79+N79+O79+P79+Y79+Z79+AF79+AG79</f>
        <v/>
      </c>
      <c r="R79">
        <f>IFERROR(INDEX('Data-Input'!$C$190:$C$1189,MATCH(A79&amp;"|"&amp;$A$1,'Data-Input'!$E$190:$E$1189,0)),Q79)</f>
        <v/>
      </c>
      <c r="S79">
        <f>IF(OR($A$1="",A79=$A$1),-1000000000000000,R79)</f>
        <v/>
      </c>
      <c r="T79">
        <f>S79+ROW()*0.0000001</f>
        <v/>
      </c>
      <c r="U79">
        <f>Heroes!$M79</f>
        <v/>
      </c>
      <c r="V79">
        <f>IF(OR($A$1="",A79=$A$1,U79="",U79&lt;&gt;$J$1),-1000000000000000,R79)+ROW()*0.0000001</f>
        <v/>
      </c>
      <c r="W79">
        <f>Heroes!$I79</f>
        <v/>
      </c>
      <c r="X79">
        <f>Heroes!$J79</f>
        <v/>
      </c>
      <c r="Y79">
        <f>IF($A$1="",0,MAX(IF(W79&lt;&gt;"",IFERROR(INDEX('Data-Input'!$B$164:$W$185,MATCH(W79,'Data-Input'!$A$164:$A$185,0),MATCH($K$1,'Data-Input'!$B$163:$W$163,0)),0),0),IF(AND(W79&lt;&gt;"",$L$1&lt;&gt;""),IFERROR(INDEX('Data-Input'!$B$164:$W$185,MATCH(W79,'Data-Input'!$A$164:$A$185,0),MATCH($L$1,'Data-Input'!$B$163:$W$163,0)),0),0),IF(X79&lt;&gt;"",IFERROR(INDEX('Data-Input'!$B$164:$W$185,MATCH(X79,'Data-Input'!$A$164:$A$185,0),MATCH($K$1,'Data-Input'!$B$163:$W$163,0)),0),0),IF(AND(X79&lt;&gt;"",$L$1&lt;&gt;""),IFERROR(INDEX('Data-Input'!$B$164:$W$185,MATCH(X79,'Data-Input'!$A$164:$A$185,0),MATCH($L$1,'Data-Input'!$B$163:$W$163,0)),0),0))*$M$1)</f>
        <v/>
      </c>
      <c r="Z79">
        <f>IF($A$1="",0,SUMPRODUCT(('Data-Input'!$A$29:$A$128=A79)*('Data-Input'!$B$29:$B$128="Tag")*((('Data-Input'!$C$29:$C$128=$K$1)+('Data-Input'!$C$29:$C$128=$L$1))&gt;0)*('Data-Input'!$D$29:$D$128-'Data-Input'!$E$29:$E$128))+SUMPRODUCT(('Data-Input'!$A$29:$A$128=A79)*('Data-Input'!$B$29:$B$128="Hero")*('Data-Input'!$C$29:$C$128=$A$1)*('Data-Input'!$D$29:$D$128-'Data-Input'!$E$29:$E$128))+SUMPRODUCT(('Data-Input'!$A$29:$A$128=A79)*('Data-Input'!$B$29:$B$128="Role")*((('Data-Input'!$C$29:$C$128=$B$1)+('Data-Input'!$C$29:$C$128=$AH$1))&gt;0)*('Data-Input'!$D$29:$D$128-'Data-Input'!$E$29:$E$128))+SUMPRODUCT(('Data-Input'!$A$29:$A$128=A79)*('Data-Input'!$B$29:$B$128="DamageType")*('Data-Input'!$C$29:$C$128=$E$1)*('Data-Input'!$D$29:$D$128-'Data-Input'!$E$29:$E$128))+SUMPRODUCT(('Data-Input'!$A$29:$A$128=A79)*('Data-Input'!$B$29:$B$128="Resource")*('Data-Input'!$C$29:$C$128=$AB$1)*('Data-Input'!$D$29:$D$128-'Data-Input'!$E$29:$E$128)))</f>
        <v/>
      </c>
      <c r="AE79">
        <f>Heroes!$R79</f>
        <v/>
      </c>
      <c r="AF79">
        <f>IF($A$1="",0,IF(AND(OR(W79="Dash/Blink",W79="High Mobility",W79="Global Dive",W79="Mobility",X79="Dash/Blink",X79="High Mobility",X79="Global Dive",X79="Mobility"),$AA$1="Ranged"),$AC$1,0))</f>
        <v/>
      </c>
      <c r="AG79">
        <f>IF($A$1="",0,IF(AND(AE79="Yes",OR($K$1="Sustain",$K$1="Healing",$L$1="Sustain",$L$1="Healing")),$AD$1,0))</f>
        <v/>
      </c>
    </row>
    <row r="80" ht="15" customHeight="1">
      <c r="A80">
        <f>Heroes!$B80</f>
        <v/>
      </c>
      <c r="B80">
        <f>Heroes!$C80</f>
        <v/>
      </c>
      <c r="C80">
        <f>Heroes!$D80</f>
        <v/>
      </c>
      <c r="D80">
        <f>Heroes!$E80</f>
        <v/>
      </c>
      <c r="E80">
        <f>Heroes!$F80</f>
        <v/>
      </c>
      <c r="F80">
        <f>Heroes!$H80</f>
        <v/>
      </c>
      <c r="G80">
        <f>Heroes!$K80</f>
        <v/>
      </c>
      <c r="H80">
        <f>Heroes!$Q80</f>
        <v/>
      </c>
      <c r="I80">
        <f>IFERROR(INDEX('Data-Input'!$B$19:$G$24,MATCH(B80,'Data-Input'!$A$19:$A$24,0),MATCH($B$1,'Data-Input'!$B$18:$G$18,0)),0)</f>
        <v/>
      </c>
      <c r="J80">
        <f>IF(C80&lt;&gt;"",IFERROR(INDEX('Data-Input'!$B$19:$G$24,MATCH(C80,'Data-Input'!$A$19:$A$24,0),MATCH($B$1,'Data-Input'!$B$18:$G$18,0)),0),I80)</f>
        <v/>
      </c>
      <c r="K80">
        <f>MAX(I80,J80)</f>
        <v/>
      </c>
      <c r="L80">
        <f>((D80+E80)/2-$C$1)*$H$1</f>
        <v/>
      </c>
      <c r="M80">
        <f>F80-$D$1</f>
        <v/>
      </c>
      <c r="N80">
        <f>IF(M80&gt;20,M80*$I$1,0)</f>
        <v/>
      </c>
      <c r="O80">
        <f>IF(G80="Mixed",$Q$1,IF(G80=$E$1,$O$1,$P$1))</f>
        <v/>
      </c>
      <c r="P80">
        <f>(H80-$F$1)*$N$1</f>
        <v/>
      </c>
      <c r="Q80">
        <f>K80*$G$1+L80+N80+O80+P80+Y80+Z80+AF80+AG80</f>
        <v/>
      </c>
      <c r="R80">
        <f>IFERROR(INDEX('Data-Input'!$C$190:$C$1189,MATCH(A80&amp;"|"&amp;$A$1,'Data-Input'!$E$190:$E$1189,0)),Q80)</f>
        <v/>
      </c>
      <c r="S80">
        <f>IF(OR($A$1="",A80=$A$1),-1000000000000000,R80)</f>
        <v/>
      </c>
      <c r="T80">
        <f>S80+ROW()*0.0000001</f>
        <v/>
      </c>
      <c r="U80">
        <f>Heroes!$M80</f>
        <v/>
      </c>
      <c r="V80">
        <f>IF(OR($A$1="",A80=$A$1,U80="",U80&lt;&gt;$J$1),-1000000000000000,R80)+ROW()*0.0000001</f>
        <v/>
      </c>
      <c r="W80">
        <f>Heroes!$I80</f>
        <v/>
      </c>
      <c r="X80">
        <f>Heroes!$J80</f>
        <v/>
      </c>
      <c r="Y80">
        <f>IF($A$1="",0,MAX(IF(W80&lt;&gt;"",IFERROR(INDEX('Data-Input'!$B$164:$W$185,MATCH(W80,'Data-Input'!$A$164:$A$185,0),MATCH($K$1,'Data-Input'!$B$163:$W$163,0)),0),0),IF(AND(W80&lt;&gt;"",$L$1&lt;&gt;""),IFERROR(INDEX('Data-Input'!$B$164:$W$185,MATCH(W80,'Data-Input'!$A$164:$A$185,0),MATCH($L$1,'Data-Input'!$B$163:$W$163,0)),0),0),IF(X80&lt;&gt;"",IFERROR(INDEX('Data-Input'!$B$164:$W$185,MATCH(X80,'Data-Input'!$A$164:$A$185,0),MATCH($K$1,'Data-Input'!$B$163:$W$163,0)),0),0),IF(AND(X80&lt;&gt;"",$L$1&lt;&gt;""),IFERROR(INDEX('Data-Input'!$B$164:$W$185,MATCH(X80,'Data-Input'!$A$164:$A$185,0),MATCH($L$1,'Data-Input'!$B$163:$W$163,0)),0),0))*$M$1)</f>
        <v/>
      </c>
      <c r="Z80">
        <f>IF($A$1="",0,SUMPRODUCT(('Data-Input'!$A$29:$A$128=A80)*('Data-Input'!$B$29:$B$128="Tag")*((('Data-Input'!$C$29:$C$128=$K$1)+('Data-Input'!$C$29:$C$128=$L$1))&gt;0)*('Data-Input'!$D$29:$D$128-'Data-Input'!$E$29:$E$128))+SUMPRODUCT(('Data-Input'!$A$29:$A$128=A80)*('Data-Input'!$B$29:$B$128="Hero")*('Data-Input'!$C$29:$C$128=$A$1)*('Data-Input'!$D$29:$D$128-'Data-Input'!$E$29:$E$128))+SUMPRODUCT(('Data-Input'!$A$29:$A$128=A80)*('Data-Input'!$B$29:$B$128="Role")*((('Data-Input'!$C$29:$C$128=$B$1)+('Data-Input'!$C$29:$C$128=$AH$1))&gt;0)*('Data-Input'!$D$29:$D$128-'Data-Input'!$E$29:$E$128))+SUMPRODUCT(('Data-Input'!$A$29:$A$128=A80)*('Data-Input'!$B$29:$B$128="DamageType")*('Data-Input'!$C$29:$C$128=$E$1)*('Data-Input'!$D$29:$D$128-'Data-Input'!$E$29:$E$128))+SUMPRODUCT(('Data-Input'!$A$29:$A$128=A80)*('Data-Input'!$B$29:$B$128="Resource")*('Data-Input'!$C$29:$C$128=$AB$1)*('Data-Input'!$D$29:$D$128-'Data-Input'!$E$29:$E$128)))</f>
        <v/>
      </c>
      <c r="AE80">
        <f>Heroes!$R80</f>
        <v/>
      </c>
      <c r="AF80">
        <f>IF($A$1="",0,IF(AND(OR(W80="Dash/Blink",W80="High Mobility",W80="Global Dive",W80="Mobility",X80="Dash/Blink",X80="High Mobility",X80="Global Dive",X80="Mobility"),$AA$1="Ranged"),$AC$1,0))</f>
        <v/>
      </c>
      <c r="AG80">
        <f>IF($A$1="",0,IF(AND(AE80="Yes",OR($K$1="Sustain",$K$1="Healing",$L$1="Sustain",$L$1="Healing")),$AD$1,0))</f>
        <v/>
      </c>
    </row>
    <row r="81" ht="15" customHeight="1">
      <c r="A81">
        <f>Heroes!$B81</f>
        <v/>
      </c>
      <c r="B81">
        <f>Heroes!$C81</f>
        <v/>
      </c>
      <c r="C81">
        <f>Heroes!$D81</f>
        <v/>
      </c>
      <c r="D81">
        <f>Heroes!$E81</f>
        <v/>
      </c>
      <c r="E81">
        <f>Heroes!$F81</f>
        <v/>
      </c>
      <c r="F81">
        <f>Heroes!$H81</f>
        <v/>
      </c>
      <c r="G81">
        <f>Heroes!$K81</f>
        <v/>
      </c>
      <c r="H81">
        <f>Heroes!$Q81</f>
        <v/>
      </c>
      <c r="I81">
        <f>IFERROR(INDEX('Data-Input'!$B$19:$G$24,MATCH(B81,'Data-Input'!$A$19:$A$24,0),MATCH($B$1,'Data-Input'!$B$18:$G$18,0)),0)</f>
        <v/>
      </c>
      <c r="J81">
        <f>IF(C81&lt;&gt;"",IFERROR(INDEX('Data-Input'!$B$19:$G$24,MATCH(C81,'Data-Input'!$A$19:$A$24,0),MATCH($B$1,'Data-Input'!$B$18:$G$18,0)),0),I81)</f>
        <v/>
      </c>
      <c r="K81">
        <f>MAX(I81,J81)</f>
        <v/>
      </c>
      <c r="L81">
        <f>((D81+E81)/2-$C$1)*$H$1</f>
        <v/>
      </c>
      <c r="M81">
        <f>F81-$D$1</f>
        <v/>
      </c>
      <c r="N81">
        <f>IF(M81&gt;20,M81*$I$1,0)</f>
        <v/>
      </c>
      <c r="O81">
        <f>IF(G81="Mixed",$Q$1,IF(G81=$E$1,$O$1,$P$1))</f>
        <v/>
      </c>
      <c r="P81">
        <f>(H81-$F$1)*$N$1</f>
        <v/>
      </c>
      <c r="Q81">
        <f>K81*$G$1+L81+N81+O81+P81+Y81+Z81+AF81+AG81</f>
        <v/>
      </c>
      <c r="R81">
        <f>IFERROR(INDEX('Data-Input'!$C$190:$C$1189,MATCH(A81&amp;"|"&amp;$A$1,'Data-Input'!$E$190:$E$1189,0)),Q81)</f>
        <v/>
      </c>
      <c r="S81">
        <f>IF(OR($A$1="",A81=$A$1),-1000000000000000,R81)</f>
        <v/>
      </c>
      <c r="T81">
        <f>S81+ROW()*0.0000001</f>
        <v/>
      </c>
      <c r="U81">
        <f>Heroes!$M81</f>
        <v/>
      </c>
      <c r="V81">
        <f>IF(OR($A$1="",A81=$A$1,U81="",U81&lt;&gt;$J$1),-1000000000000000,R81)+ROW()*0.0000001</f>
        <v/>
      </c>
      <c r="W81">
        <f>Heroes!$I81</f>
        <v/>
      </c>
      <c r="X81">
        <f>Heroes!$J81</f>
        <v/>
      </c>
      <c r="Y81">
        <f>IF($A$1="",0,MAX(IF(W81&lt;&gt;"",IFERROR(INDEX('Data-Input'!$B$164:$W$185,MATCH(W81,'Data-Input'!$A$164:$A$185,0),MATCH($K$1,'Data-Input'!$B$163:$W$163,0)),0),0),IF(AND(W81&lt;&gt;"",$L$1&lt;&gt;""),IFERROR(INDEX('Data-Input'!$B$164:$W$185,MATCH(W81,'Data-Input'!$A$164:$A$185,0),MATCH($L$1,'Data-Input'!$B$163:$W$163,0)),0),0),IF(X81&lt;&gt;"",IFERROR(INDEX('Data-Input'!$B$164:$W$185,MATCH(X81,'Data-Input'!$A$164:$A$185,0),MATCH($K$1,'Data-Input'!$B$163:$W$163,0)),0),0),IF(AND(X81&lt;&gt;"",$L$1&lt;&gt;""),IFERROR(INDEX('Data-Input'!$B$164:$W$185,MATCH(X81,'Data-Input'!$A$164:$A$185,0),MATCH($L$1,'Data-Input'!$B$163:$W$163,0)),0),0))*$M$1)</f>
        <v/>
      </c>
      <c r="Z81">
        <f>IF($A$1="",0,SUMPRODUCT(('Data-Input'!$A$29:$A$128=A81)*('Data-Input'!$B$29:$B$128="Tag")*((('Data-Input'!$C$29:$C$128=$K$1)+('Data-Input'!$C$29:$C$128=$L$1))&gt;0)*('Data-Input'!$D$29:$D$128-'Data-Input'!$E$29:$E$128))+SUMPRODUCT(('Data-Input'!$A$29:$A$128=A81)*('Data-Input'!$B$29:$B$128="Hero")*('Data-Input'!$C$29:$C$128=$A$1)*('Data-Input'!$D$29:$D$128-'Data-Input'!$E$29:$E$128))+SUMPRODUCT(('Data-Input'!$A$29:$A$128=A81)*('Data-Input'!$B$29:$B$128="Role")*((('Data-Input'!$C$29:$C$128=$B$1)+('Data-Input'!$C$29:$C$128=$AH$1))&gt;0)*('Data-Input'!$D$29:$D$128-'Data-Input'!$E$29:$E$128))+SUMPRODUCT(('Data-Input'!$A$29:$A$128=A81)*('Data-Input'!$B$29:$B$128="DamageType")*('Data-Input'!$C$29:$C$128=$E$1)*('Data-Input'!$D$29:$D$128-'Data-Input'!$E$29:$E$128))+SUMPRODUCT(('Data-Input'!$A$29:$A$128=A81)*('Data-Input'!$B$29:$B$128="Resource")*('Data-Input'!$C$29:$C$128=$AB$1)*('Data-Input'!$D$29:$D$128-'Data-Input'!$E$29:$E$128)))</f>
        <v/>
      </c>
      <c r="AE81">
        <f>Heroes!$R81</f>
        <v/>
      </c>
      <c r="AF81">
        <f>IF($A$1="",0,IF(AND(OR(W81="Dash/Blink",W81="High Mobility",W81="Global Dive",W81="Mobility",X81="Dash/Blink",X81="High Mobility",X81="Global Dive",X81="Mobility"),$AA$1="Ranged"),$AC$1,0))</f>
        <v/>
      </c>
      <c r="AG81">
        <f>IF($A$1="",0,IF(AND(AE81="Yes",OR($K$1="Sustain",$K$1="Healing",$L$1="Sustain",$L$1="Healing")),$AD$1,0))</f>
        <v/>
      </c>
    </row>
    <row r="82" ht="15" customHeight="1">
      <c r="A82">
        <f>Heroes!$B82</f>
        <v/>
      </c>
      <c r="B82">
        <f>Heroes!$C82</f>
        <v/>
      </c>
      <c r="C82">
        <f>Heroes!$D82</f>
        <v/>
      </c>
      <c r="D82">
        <f>Heroes!$E82</f>
        <v/>
      </c>
      <c r="E82">
        <f>Heroes!$F82</f>
        <v/>
      </c>
      <c r="F82">
        <f>Heroes!$H82</f>
        <v/>
      </c>
      <c r="G82">
        <f>Heroes!$K82</f>
        <v/>
      </c>
      <c r="H82">
        <f>Heroes!$Q82</f>
        <v/>
      </c>
      <c r="I82">
        <f>IFERROR(INDEX('Data-Input'!$B$19:$G$24,MATCH(B82,'Data-Input'!$A$19:$A$24,0),MATCH($B$1,'Data-Input'!$B$18:$G$18,0)),0)</f>
        <v/>
      </c>
      <c r="J82">
        <f>IF(C82&lt;&gt;"",IFERROR(INDEX('Data-Input'!$B$19:$G$24,MATCH(C82,'Data-Input'!$A$19:$A$24,0),MATCH($B$1,'Data-Input'!$B$18:$G$18,0)),0),I82)</f>
        <v/>
      </c>
      <c r="K82">
        <f>MAX(I82,J82)</f>
        <v/>
      </c>
      <c r="L82">
        <f>((D82+E82)/2-$C$1)*$H$1</f>
        <v/>
      </c>
      <c r="M82">
        <f>F82-$D$1</f>
        <v/>
      </c>
      <c r="N82">
        <f>IF(M82&gt;20,M82*$I$1,0)</f>
        <v/>
      </c>
      <c r="O82">
        <f>IF(G82="Mixed",$Q$1,IF(G82=$E$1,$O$1,$P$1))</f>
        <v/>
      </c>
      <c r="P82">
        <f>(H82-$F$1)*$N$1</f>
        <v/>
      </c>
      <c r="Q82">
        <f>K82*$G$1+L82+N82+O82+P82+Y82+Z82+AF82+AG82</f>
        <v/>
      </c>
      <c r="R82">
        <f>IFERROR(INDEX('Data-Input'!$C$190:$C$1189,MATCH(A82&amp;"|"&amp;$A$1,'Data-Input'!$E$190:$E$1189,0)),Q82)</f>
        <v/>
      </c>
      <c r="S82">
        <f>IF(OR($A$1="",A82=$A$1),-1000000000000000,R82)</f>
        <v/>
      </c>
      <c r="T82">
        <f>S82+ROW()*0.0000001</f>
        <v/>
      </c>
      <c r="U82">
        <f>Heroes!$M82</f>
        <v/>
      </c>
      <c r="V82">
        <f>IF(OR($A$1="",A82=$A$1,U82="",U82&lt;&gt;$J$1),-1000000000000000,R82)+ROW()*0.0000001</f>
        <v/>
      </c>
      <c r="W82">
        <f>Heroes!$I82</f>
        <v/>
      </c>
      <c r="X82">
        <f>Heroes!$J82</f>
        <v/>
      </c>
      <c r="Y82">
        <f>IF($A$1="",0,MAX(IF(W82&lt;&gt;"",IFERROR(INDEX('Data-Input'!$B$164:$W$185,MATCH(W82,'Data-Input'!$A$164:$A$185,0),MATCH($K$1,'Data-Input'!$B$163:$W$163,0)),0),0),IF(AND(W82&lt;&gt;"",$L$1&lt;&gt;""),IFERROR(INDEX('Data-Input'!$B$164:$W$185,MATCH(W82,'Data-Input'!$A$164:$A$185,0),MATCH($L$1,'Data-Input'!$B$163:$W$163,0)),0),0),IF(X82&lt;&gt;"",IFERROR(INDEX('Data-Input'!$B$164:$W$185,MATCH(X82,'Data-Input'!$A$164:$A$185,0),MATCH($K$1,'Data-Input'!$B$163:$W$163,0)),0),0),IF(AND(X82&lt;&gt;"",$L$1&lt;&gt;""),IFERROR(INDEX('Data-Input'!$B$164:$W$185,MATCH(X82,'Data-Input'!$A$164:$A$185,0),MATCH($L$1,'Data-Input'!$B$163:$W$163,0)),0),0))*$M$1)</f>
        <v/>
      </c>
      <c r="Z82">
        <f>IF($A$1="",0,SUMPRODUCT(('Data-Input'!$A$29:$A$128=A82)*('Data-Input'!$B$29:$B$128="Tag")*((('Data-Input'!$C$29:$C$128=$K$1)+('Data-Input'!$C$29:$C$128=$L$1))&gt;0)*('Data-Input'!$D$29:$D$128-'Data-Input'!$E$29:$E$128))+SUMPRODUCT(('Data-Input'!$A$29:$A$128=A82)*('Data-Input'!$B$29:$B$128="Hero")*('Data-Input'!$C$29:$C$128=$A$1)*('Data-Input'!$D$29:$D$128-'Data-Input'!$E$29:$E$128))+SUMPRODUCT(('Data-Input'!$A$29:$A$128=A82)*('Data-Input'!$B$29:$B$128="Role")*((('Data-Input'!$C$29:$C$128=$B$1)+('Data-Input'!$C$29:$C$128=$AH$1))&gt;0)*('Data-Input'!$D$29:$D$128-'Data-Input'!$E$29:$E$128))+SUMPRODUCT(('Data-Input'!$A$29:$A$128=A82)*('Data-Input'!$B$29:$B$128="DamageType")*('Data-Input'!$C$29:$C$128=$E$1)*('Data-Input'!$D$29:$D$128-'Data-Input'!$E$29:$E$128))+SUMPRODUCT(('Data-Input'!$A$29:$A$128=A82)*('Data-Input'!$B$29:$B$128="Resource")*('Data-Input'!$C$29:$C$128=$AB$1)*('Data-Input'!$D$29:$D$128-'Data-Input'!$E$29:$E$128)))</f>
        <v/>
      </c>
      <c r="AE82">
        <f>Heroes!$R82</f>
        <v/>
      </c>
      <c r="AF82">
        <f>IF($A$1="",0,IF(AND(OR(W82="Dash/Blink",W82="High Mobility",W82="Global Dive",W82="Mobility",X82="Dash/Blink",X82="High Mobility",X82="Global Dive",X82="Mobility"),$AA$1="Ranged"),$AC$1,0))</f>
        <v/>
      </c>
      <c r="AG82">
        <f>IF($A$1="",0,IF(AND(AE82="Yes",OR($K$1="Sustain",$K$1="Healing",$L$1="Sustain",$L$1="Healing")),$AD$1,0))</f>
        <v/>
      </c>
    </row>
    <row r="83" ht="15" customHeight="1">
      <c r="A83">
        <f>Heroes!$B83</f>
        <v/>
      </c>
      <c r="B83">
        <f>Heroes!$C83</f>
        <v/>
      </c>
      <c r="C83">
        <f>Heroes!$D83</f>
        <v/>
      </c>
      <c r="D83">
        <f>Heroes!$E83</f>
        <v/>
      </c>
      <c r="E83">
        <f>Heroes!$F83</f>
        <v/>
      </c>
      <c r="F83">
        <f>Heroes!$H83</f>
        <v/>
      </c>
      <c r="G83">
        <f>Heroes!$K83</f>
        <v/>
      </c>
      <c r="H83">
        <f>Heroes!$Q83</f>
        <v/>
      </c>
      <c r="I83">
        <f>IFERROR(INDEX('Data-Input'!$B$19:$G$24,MATCH(B83,'Data-Input'!$A$19:$A$24,0),MATCH($B$1,'Data-Input'!$B$18:$G$18,0)),0)</f>
        <v/>
      </c>
      <c r="J83">
        <f>IF(C83&lt;&gt;"",IFERROR(INDEX('Data-Input'!$B$19:$G$24,MATCH(C83,'Data-Input'!$A$19:$A$24,0),MATCH($B$1,'Data-Input'!$B$18:$G$18,0)),0),I83)</f>
        <v/>
      </c>
      <c r="K83">
        <f>MAX(I83,J83)</f>
        <v/>
      </c>
      <c r="L83">
        <f>((D83+E83)/2-$C$1)*$H$1</f>
        <v/>
      </c>
      <c r="M83">
        <f>F83-$D$1</f>
        <v/>
      </c>
      <c r="N83">
        <f>IF(M83&gt;20,M83*$I$1,0)</f>
        <v/>
      </c>
      <c r="O83">
        <f>IF(G83="Mixed",$Q$1,IF(G83=$E$1,$O$1,$P$1))</f>
        <v/>
      </c>
      <c r="P83">
        <f>(H83-$F$1)*$N$1</f>
        <v/>
      </c>
      <c r="Q83">
        <f>K83*$G$1+L83+N83+O83+P83+Y83+Z83+AF83+AG83</f>
        <v/>
      </c>
      <c r="R83">
        <f>IFERROR(INDEX('Data-Input'!$C$190:$C$1189,MATCH(A83&amp;"|"&amp;$A$1,'Data-Input'!$E$190:$E$1189,0)),Q83)</f>
        <v/>
      </c>
      <c r="S83">
        <f>IF(OR($A$1="",A83=$A$1),-1000000000000000,R83)</f>
        <v/>
      </c>
      <c r="T83">
        <f>S83+ROW()*0.0000001</f>
        <v/>
      </c>
      <c r="U83">
        <f>Heroes!$M83</f>
        <v/>
      </c>
      <c r="V83">
        <f>IF(OR($A$1="",A83=$A$1,U83="",U83&lt;&gt;$J$1),-1000000000000000,R83)+ROW()*0.0000001</f>
        <v/>
      </c>
      <c r="W83">
        <f>Heroes!$I83</f>
        <v/>
      </c>
      <c r="X83">
        <f>Heroes!$J83</f>
        <v/>
      </c>
      <c r="Y83">
        <f>IF($A$1="",0,MAX(IF(W83&lt;&gt;"",IFERROR(INDEX('Data-Input'!$B$164:$W$185,MATCH(W83,'Data-Input'!$A$164:$A$185,0),MATCH($K$1,'Data-Input'!$B$163:$W$163,0)),0),0),IF(AND(W83&lt;&gt;"",$L$1&lt;&gt;""),IFERROR(INDEX('Data-Input'!$B$164:$W$185,MATCH(W83,'Data-Input'!$A$164:$A$185,0),MATCH($L$1,'Data-Input'!$B$163:$W$163,0)),0),0),IF(X83&lt;&gt;"",IFERROR(INDEX('Data-Input'!$B$164:$W$185,MATCH(X83,'Data-Input'!$A$164:$A$185,0),MATCH($K$1,'Data-Input'!$B$163:$W$163,0)),0),0),IF(AND(X83&lt;&gt;"",$L$1&lt;&gt;""),IFERROR(INDEX('Data-Input'!$B$164:$W$185,MATCH(X83,'Data-Input'!$A$164:$A$185,0),MATCH($L$1,'Data-Input'!$B$163:$W$163,0)),0),0))*$M$1)</f>
        <v/>
      </c>
      <c r="Z83">
        <f>IF($A$1="",0,SUMPRODUCT(('Data-Input'!$A$29:$A$128=A83)*('Data-Input'!$B$29:$B$128="Tag")*((('Data-Input'!$C$29:$C$128=$K$1)+('Data-Input'!$C$29:$C$128=$L$1))&gt;0)*('Data-Input'!$D$29:$D$128-'Data-Input'!$E$29:$E$128))+SUMPRODUCT(('Data-Input'!$A$29:$A$128=A83)*('Data-Input'!$B$29:$B$128="Hero")*('Data-Input'!$C$29:$C$128=$A$1)*('Data-Input'!$D$29:$D$128-'Data-Input'!$E$29:$E$128))+SUMPRODUCT(('Data-Input'!$A$29:$A$128=A83)*('Data-Input'!$B$29:$B$128="Role")*((('Data-Input'!$C$29:$C$128=$B$1)+('Data-Input'!$C$29:$C$128=$AH$1))&gt;0)*('Data-Input'!$D$29:$D$128-'Data-Input'!$E$29:$E$128))+SUMPRODUCT(('Data-Input'!$A$29:$A$128=A83)*('Data-Input'!$B$29:$B$128="DamageType")*('Data-Input'!$C$29:$C$128=$E$1)*('Data-Input'!$D$29:$D$128-'Data-Input'!$E$29:$E$128))+SUMPRODUCT(('Data-Input'!$A$29:$A$128=A83)*('Data-Input'!$B$29:$B$128="Resource")*('Data-Input'!$C$29:$C$128=$AB$1)*('Data-Input'!$D$29:$D$128-'Data-Input'!$E$29:$E$128)))</f>
        <v/>
      </c>
      <c r="AE83">
        <f>Heroes!$R83</f>
        <v/>
      </c>
      <c r="AF83">
        <f>IF($A$1="",0,IF(AND(OR(W83="Dash/Blink",W83="High Mobility",W83="Global Dive",W83="Mobility",X83="Dash/Blink",X83="High Mobility",X83="Global Dive",X83="Mobility"),$AA$1="Ranged"),$AC$1,0))</f>
        <v/>
      </c>
      <c r="AG83">
        <f>IF($A$1="",0,IF(AND(AE83="Yes",OR($K$1="Sustain",$K$1="Healing",$L$1="Sustain",$L$1="Healing")),$AD$1,0))</f>
        <v/>
      </c>
    </row>
    <row r="84" ht="15" customHeight="1">
      <c r="A84">
        <f>Heroes!$B84</f>
        <v/>
      </c>
      <c r="B84">
        <f>Heroes!$C84</f>
        <v/>
      </c>
      <c r="C84">
        <f>Heroes!$D84</f>
        <v/>
      </c>
      <c r="D84">
        <f>Heroes!$E84</f>
        <v/>
      </c>
      <c r="E84">
        <f>Heroes!$F84</f>
        <v/>
      </c>
      <c r="F84">
        <f>Heroes!$H84</f>
        <v/>
      </c>
      <c r="G84">
        <f>Heroes!$K84</f>
        <v/>
      </c>
      <c r="H84">
        <f>Heroes!$Q84</f>
        <v/>
      </c>
      <c r="I84">
        <f>IFERROR(INDEX('Data-Input'!$B$19:$G$24,MATCH(B84,'Data-Input'!$A$19:$A$24,0),MATCH($B$1,'Data-Input'!$B$18:$G$18,0)),0)</f>
        <v/>
      </c>
      <c r="J84">
        <f>IF(C84&lt;&gt;"",IFERROR(INDEX('Data-Input'!$B$19:$G$24,MATCH(C84,'Data-Input'!$A$19:$A$24,0),MATCH($B$1,'Data-Input'!$B$18:$G$18,0)),0),I84)</f>
        <v/>
      </c>
      <c r="K84">
        <f>MAX(I84,J84)</f>
        <v/>
      </c>
      <c r="L84">
        <f>((D84+E84)/2-$C$1)*$H$1</f>
        <v/>
      </c>
      <c r="M84">
        <f>F84-$D$1</f>
        <v/>
      </c>
      <c r="N84">
        <f>IF(M84&gt;20,M84*$I$1,0)</f>
        <v/>
      </c>
      <c r="O84">
        <f>IF(G84="Mixed",$Q$1,IF(G84=$E$1,$O$1,$P$1))</f>
        <v/>
      </c>
      <c r="P84">
        <f>(H84-$F$1)*$N$1</f>
        <v/>
      </c>
      <c r="Q84">
        <f>K84*$G$1+L84+N84+O84+P84+Y84+Z84+AF84+AG84</f>
        <v/>
      </c>
      <c r="R84">
        <f>IFERROR(INDEX('Data-Input'!$C$190:$C$1189,MATCH(A84&amp;"|"&amp;$A$1,'Data-Input'!$E$190:$E$1189,0)),Q84)</f>
        <v/>
      </c>
      <c r="S84">
        <f>IF(OR($A$1="",A84=$A$1),-1000000000000000,R84)</f>
        <v/>
      </c>
      <c r="T84">
        <f>S84+ROW()*0.0000001</f>
        <v/>
      </c>
      <c r="U84">
        <f>Heroes!$M84</f>
        <v/>
      </c>
      <c r="V84">
        <f>IF(OR($A$1="",A84=$A$1,U84="",U84&lt;&gt;$J$1),-1000000000000000,R84)+ROW()*0.0000001</f>
        <v/>
      </c>
      <c r="W84">
        <f>Heroes!$I84</f>
        <v/>
      </c>
      <c r="X84">
        <f>Heroes!$J84</f>
        <v/>
      </c>
      <c r="Y84">
        <f>IF($A$1="",0,MAX(IF(W84&lt;&gt;"",IFERROR(INDEX('Data-Input'!$B$164:$W$185,MATCH(W84,'Data-Input'!$A$164:$A$185,0),MATCH($K$1,'Data-Input'!$B$163:$W$163,0)),0),0),IF(AND(W84&lt;&gt;"",$L$1&lt;&gt;""),IFERROR(INDEX('Data-Input'!$B$164:$W$185,MATCH(W84,'Data-Input'!$A$164:$A$185,0),MATCH($L$1,'Data-Input'!$B$163:$W$163,0)),0),0),IF(X84&lt;&gt;"",IFERROR(INDEX('Data-Input'!$B$164:$W$185,MATCH(X84,'Data-Input'!$A$164:$A$185,0),MATCH($K$1,'Data-Input'!$B$163:$W$163,0)),0),0),IF(AND(X84&lt;&gt;"",$L$1&lt;&gt;""),IFERROR(INDEX('Data-Input'!$B$164:$W$185,MATCH(X84,'Data-Input'!$A$164:$A$185,0),MATCH($L$1,'Data-Input'!$B$163:$W$163,0)),0),0))*$M$1)</f>
        <v/>
      </c>
      <c r="Z84">
        <f>IF($A$1="",0,SUMPRODUCT(('Data-Input'!$A$29:$A$128=A84)*('Data-Input'!$B$29:$B$128="Tag")*((('Data-Input'!$C$29:$C$128=$K$1)+('Data-Input'!$C$29:$C$128=$L$1))&gt;0)*('Data-Input'!$D$29:$D$128-'Data-Input'!$E$29:$E$128))+SUMPRODUCT(('Data-Input'!$A$29:$A$128=A84)*('Data-Input'!$B$29:$B$128="Hero")*('Data-Input'!$C$29:$C$128=$A$1)*('Data-Input'!$D$29:$D$128-'Data-Input'!$E$29:$E$128))+SUMPRODUCT(('Data-Input'!$A$29:$A$128=A84)*('Data-Input'!$B$29:$B$128="Role")*((('Data-Input'!$C$29:$C$128=$B$1)+('Data-Input'!$C$29:$C$128=$AH$1))&gt;0)*('Data-Input'!$D$29:$D$128-'Data-Input'!$E$29:$E$128))+SUMPRODUCT(('Data-Input'!$A$29:$A$128=A84)*('Data-Input'!$B$29:$B$128="DamageType")*('Data-Input'!$C$29:$C$128=$E$1)*('Data-Input'!$D$29:$D$128-'Data-Input'!$E$29:$E$128))+SUMPRODUCT(('Data-Input'!$A$29:$A$128=A84)*('Data-Input'!$B$29:$B$128="Resource")*('Data-Input'!$C$29:$C$128=$AB$1)*('Data-Input'!$D$29:$D$128-'Data-Input'!$E$29:$E$128)))</f>
        <v/>
      </c>
      <c r="AE84">
        <f>Heroes!$R84</f>
        <v/>
      </c>
      <c r="AF84">
        <f>IF($A$1="",0,IF(AND(OR(W84="Dash/Blink",W84="High Mobility",W84="Global Dive",W84="Mobility",X84="Dash/Blink",X84="High Mobility",X84="Global Dive",X84="Mobility"),$AA$1="Ranged"),$AC$1,0))</f>
        <v/>
      </c>
      <c r="AG84">
        <f>IF($A$1="",0,IF(AND(AE84="Yes",OR($K$1="Sustain",$K$1="Healing",$L$1="Sustain",$L$1="Healing")),$AD$1,0))</f>
        <v/>
      </c>
    </row>
    <row r="85" ht="15" customHeight="1">
      <c r="A85">
        <f>Heroes!$B85</f>
        <v/>
      </c>
      <c r="B85">
        <f>Heroes!$C85</f>
        <v/>
      </c>
      <c r="C85">
        <f>Heroes!$D85</f>
        <v/>
      </c>
      <c r="D85">
        <f>Heroes!$E85</f>
        <v/>
      </c>
      <c r="E85">
        <f>Heroes!$F85</f>
        <v/>
      </c>
      <c r="F85">
        <f>Heroes!$H85</f>
        <v/>
      </c>
      <c r="G85">
        <f>Heroes!$K85</f>
        <v/>
      </c>
      <c r="H85">
        <f>Heroes!$Q85</f>
        <v/>
      </c>
      <c r="I85">
        <f>IFERROR(INDEX('Data-Input'!$B$19:$G$24,MATCH(B85,'Data-Input'!$A$19:$A$24,0),MATCH($B$1,'Data-Input'!$B$18:$G$18,0)),0)</f>
        <v/>
      </c>
      <c r="J85">
        <f>IF(C85&lt;&gt;"",IFERROR(INDEX('Data-Input'!$B$19:$G$24,MATCH(C85,'Data-Input'!$A$19:$A$24,0),MATCH($B$1,'Data-Input'!$B$18:$G$18,0)),0),I85)</f>
        <v/>
      </c>
      <c r="K85">
        <f>MAX(I85,J85)</f>
        <v/>
      </c>
      <c r="L85">
        <f>((D85+E85)/2-$C$1)*$H$1</f>
        <v/>
      </c>
      <c r="M85">
        <f>F85-$D$1</f>
        <v/>
      </c>
      <c r="N85">
        <f>IF(M85&gt;20,M85*$I$1,0)</f>
        <v/>
      </c>
      <c r="O85">
        <f>IF(G85="Mixed",$Q$1,IF(G85=$E$1,$O$1,$P$1))</f>
        <v/>
      </c>
      <c r="P85">
        <f>(H85-$F$1)*$N$1</f>
        <v/>
      </c>
      <c r="Q85">
        <f>K85*$G$1+L85+N85+O85+P85+Y85+Z85+AF85+AG85</f>
        <v/>
      </c>
      <c r="R85">
        <f>IFERROR(INDEX('Data-Input'!$C$190:$C$1189,MATCH(A85&amp;"|"&amp;$A$1,'Data-Input'!$E$190:$E$1189,0)),Q85)</f>
        <v/>
      </c>
      <c r="S85">
        <f>IF(OR($A$1="",A85=$A$1),-1000000000000000,R85)</f>
        <v/>
      </c>
      <c r="T85">
        <f>S85+ROW()*0.0000001</f>
        <v/>
      </c>
      <c r="U85">
        <f>Heroes!$M85</f>
        <v/>
      </c>
      <c r="V85">
        <f>IF(OR($A$1="",A85=$A$1,U85="",U85&lt;&gt;$J$1),-1000000000000000,R85)+ROW()*0.0000001</f>
        <v/>
      </c>
      <c r="W85">
        <f>Heroes!$I85</f>
        <v/>
      </c>
      <c r="X85">
        <f>Heroes!$J85</f>
        <v/>
      </c>
      <c r="Y85">
        <f>IF($A$1="",0,MAX(IF(W85&lt;&gt;"",IFERROR(INDEX('Data-Input'!$B$164:$W$185,MATCH(W85,'Data-Input'!$A$164:$A$185,0),MATCH($K$1,'Data-Input'!$B$163:$W$163,0)),0),0),IF(AND(W85&lt;&gt;"",$L$1&lt;&gt;""),IFERROR(INDEX('Data-Input'!$B$164:$W$185,MATCH(W85,'Data-Input'!$A$164:$A$185,0),MATCH($L$1,'Data-Input'!$B$163:$W$163,0)),0),0),IF(X85&lt;&gt;"",IFERROR(INDEX('Data-Input'!$B$164:$W$185,MATCH(X85,'Data-Input'!$A$164:$A$185,0),MATCH($K$1,'Data-Input'!$B$163:$W$163,0)),0),0),IF(AND(X85&lt;&gt;"",$L$1&lt;&gt;""),IFERROR(INDEX('Data-Input'!$B$164:$W$185,MATCH(X85,'Data-Input'!$A$164:$A$185,0),MATCH($L$1,'Data-Input'!$B$163:$W$163,0)),0),0))*$M$1)</f>
        <v/>
      </c>
      <c r="Z85">
        <f>IF($A$1="",0,SUMPRODUCT(('Data-Input'!$A$29:$A$128=A85)*('Data-Input'!$B$29:$B$128="Tag")*((('Data-Input'!$C$29:$C$128=$K$1)+('Data-Input'!$C$29:$C$128=$L$1))&gt;0)*('Data-Input'!$D$29:$D$128-'Data-Input'!$E$29:$E$128))+SUMPRODUCT(('Data-Input'!$A$29:$A$128=A85)*('Data-Input'!$B$29:$B$128="Hero")*('Data-Input'!$C$29:$C$128=$A$1)*('Data-Input'!$D$29:$D$128-'Data-Input'!$E$29:$E$128))+SUMPRODUCT(('Data-Input'!$A$29:$A$128=A85)*('Data-Input'!$B$29:$B$128="Role")*((('Data-Input'!$C$29:$C$128=$B$1)+('Data-Input'!$C$29:$C$128=$AH$1))&gt;0)*('Data-Input'!$D$29:$D$128-'Data-Input'!$E$29:$E$128))+SUMPRODUCT(('Data-Input'!$A$29:$A$128=A85)*('Data-Input'!$B$29:$B$128="DamageType")*('Data-Input'!$C$29:$C$128=$E$1)*('Data-Input'!$D$29:$D$128-'Data-Input'!$E$29:$E$128))+SUMPRODUCT(('Data-Input'!$A$29:$A$128=A85)*('Data-Input'!$B$29:$B$128="Resource")*('Data-Input'!$C$29:$C$128=$AB$1)*('Data-Input'!$D$29:$D$128-'Data-Input'!$E$29:$E$128)))</f>
        <v/>
      </c>
      <c r="AE85">
        <f>Heroes!$R85</f>
        <v/>
      </c>
      <c r="AF85">
        <f>IF($A$1="",0,IF(AND(OR(W85="Dash/Blink",W85="High Mobility",W85="Global Dive",W85="Mobility",X85="Dash/Blink",X85="High Mobility",X85="Global Dive",X85="Mobility"),$AA$1="Ranged"),$AC$1,0))</f>
        <v/>
      </c>
      <c r="AG85">
        <f>IF($A$1="",0,IF(AND(AE85="Yes",OR($K$1="Sustain",$K$1="Healing",$L$1="Sustain",$L$1="Healing")),$AD$1,0))</f>
        <v/>
      </c>
    </row>
    <row r="86" ht="15" customHeight="1">
      <c r="A86">
        <f>Heroes!$B86</f>
        <v/>
      </c>
      <c r="B86">
        <f>Heroes!$C86</f>
        <v/>
      </c>
      <c r="C86">
        <f>Heroes!$D86</f>
        <v/>
      </c>
      <c r="D86">
        <f>Heroes!$E86</f>
        <v/>
      </c>
      <c r="E86">
        <f>Heroes!$F86</f>
        <v/>
      </c>
      <c r="F86">
        <f>Heroes!$H86</f>
        <v/>
      </c>
      <c r="G86">
        <f>Heroes!$K86</f>
        <v/>
      </c>
      <c r="H86">
        <f>Heroes!$Q86</f>
        <v/>
      </c>
      <c r="I86">
        <f>IFERROR(INDEX('Data-Input'!$B$19:$G$24,MATCH(B86,'Data-Input'!$A$19:$A$24,0),MATCH($B$1,'Data-Input'!$B$18:$G$18,0)),0)</f>
        <v/>
      </c>
      <c r="J86">
        <f>IF(C86&lt;&gt;"",IFERROR(INDEX('Data-Input'!$B$19:$G$24,MATCH(C86,'Data-Input'!$A$19:$A$24,0),MATCH($B$1,'Data-Input'!$B$18:$G$18,0)),0),I86)</f>
        <v/>
      </c>
      <c r="K86">
        <f>MAX(I86,J86)</f>
        <v/>
      </c>
      <c r="L86">
        <f>((D86+E86)/2-$C$1)*$H$1</f>
        <v/>
      </c>
      <c r="M86">
        <f>F86-$D$1</f>
        <v/>
      </c>
      <c r="N86">
        <f>IF(M86&gt;20,M86*$I$1,0)</f>
        <v/>
      </c>
      <c r="O86">
        <f>IF(G86="Mixed",$Q$1,IF(G86=$E$1,$O$1,$P$1))</f>
        <v/>
      </c>
      <c r="P86">
        <f>(H86-$F$1)*$N$1</f>
        <v/>
      </c>
      <c r="Q86">
        <f>K86*$G$1+L86+N86+O86+P86+Y86+Z86+AF86+AG86</f>
        <v/>
      </c>
      <c r="R86">
        <f>IFERROR(INDEX('Data-Input'!$C$190:$C$1189,MATCH(A86&amp;"|"&amp;$A$1,'Data-Input'!$E$190:$E$1189,0)),Q86)</f>
        <v/>
      </c>
      <c r="S86">
        <f>IF(OR($A$1="",A86=$A$1),-1000000000000000,R86)</f>
        <v/>
      </c>
      <c r="T86">
        <f>S86+ROW()*0.0000001</f>
        <v/>
      </c>
      <c r="U86">
        <f>Heroes!$M86</f>
        <v/>
      </c>
      <c r="V86">
        <f>IF(OR($A$1="",A86=$A$1,U86="",U86&lt;&gt;$J$1),-1000000000000000,R86)+ROW()*0.0000001</f>
        <v/>
      </c>
      <c r="W86">
        <f>Heroes!$I86</f>
        <v/>
      </c>
      <c r="X86">
        <f>Heroes!$J86</f>
        <v/>
      </c>
      <c r="Y86">
        <f>IF($A$1="",0,MAX(IF(W86&lt;&gt;"",IFERROR(INDEX('Data-Input'!$B$164:$W$185,MATCH(W86,'Data-Input'!$A$164:$A$185,0),MATCH($K$1,'Data-Input'!$B$163:$W$163,0)),0),0),IF(AND(W86&lt;&gt;"",$L$1&lt;&gt;""),IFERROR(INDEX('Data-Input'!$B$164:$W$185,MATCH(W86,'Data-Input'!$A$164:$A$185,0),MATCH($L$1,'Data-Input'!$B$163:$W$163,0)),0),0),IF(X86&lt;&gt;"",IFERROR(INDEX('Data-Input'!$B$164:$W$185,MATCH(X86,'Data-Input'!$A$164:$A$185,0),MATCH($K$1,'Data-Input'!$B$163:$W$163,0)),0),0),IF(AND(X86&lt;&gt;"",$L$1&lt;&gt;""),IFERROR(INDEX('Data-Input'!$B$164:$W$185,MATCH(X86,'Data-Input'!$A$164:$A$185,0),MATCH($L$1,'Data-Input'!$B$163:$W$163,0)),0),0))*$M$1)</f>
        <v/>
      </c>
      <c r="Z86">
        <f>IF($A$1="",0,SUMPRODUCT(('Data-Input'!$A$29:$A$128=A86)*('Data-Input'!$B$29:$B$128="Tag")*((('Data-Input'!$C$29:$C$128=$K$1)+('Data-Input'!$C$29:$C$128=$L$1))&gt;0)*('Data-Input'!$D$29:$D$128-'Data-Input'!$E$29:$E$128))+SUMPRODUCT(('Data-Input'!$A$29:$A$128=A86)*('Data-Input'!$B$29:$B$128="Hero")*('Data-Input'!$C$29:$C$128=$A$1)*('Data-Input'!$D$29:$D$128-'Data-Input'!$E$29:$E$128))+SUMPRODUCT(('Data-Input'!$A$29:$A$128=A86)*('Data-Input'!$B$29:$B$128="Role")*((('Data-Input'!$C$29:$C$128=$B$1)+('Data-Input'!$C$29:$C$128=$AH$1))&gt;0)*('Data-Input'!$D$29:$D$128-'Data-Input'!$E$29:$E$128))+SUMPRODUCT(('Data-Input'!$A$29:$A$128=A86)*('Data-Input'!$B$29:$B$128="DamageType")*('Data-Input'!$C$29:$C$128=$E$1)*('Data-Input'!$D$29:$D$128-'Data-Input'!$E$29:$E$128))+SUMPRODUCT(('Data-Input'!$A$29:$A$128=A86)*('Data-Input'!$B$29:$B$128="Resource")*('Data-Input'!$C$29:$C$128=$AB$1)*('Data-Input'!$D$29:$D$128-'Data-Input'!$E$29:$E$128)))</f>
        <v/>
      </c>
      <c r="AE86">
        <f>Heroes!$R86</f>
        <v/>
      </c>
      <c r="AF86">
        <f>IF($A$1="",0,IF(AND(OR(W86="Dash/Blink",W86="High Mobility",W86="Global Dive",W86="Mobility",X86="Dash/Blink",X86="High Mobility",X86="Global Dive",X86="Mobility"),$AA$1="Ranged"),$AC$1,0))</f>
        <v/>
      </c>
      <c r="AG86">
        <f>IF($A$1="",0,IF(AND(AE86="Yes",OR($K$1="Sustain",$K$1="Healing",$L$1="Sustain",$L$1="Healing")),$AD$1,0))</f>
        <v/>
      </c>
    </row>
    <row r="87" ht="15" customHeight="1">
      <c r="A87">
        <f>Heroes!$B87</f>
        <v/>
      </c>
      <c r="B87">
        <f>Heroes!$C87</f>
        <v/>
      </c>
      <c r="C87">
        <f>Heroes!$D87</f>
        <v/>
      </c>
      <c r="D87">
        <f>Heroes!$E87</f>
        <v/>
      </c>
      <c r="E87">
        <f>Heroes!$F87</f>
        <v/>
      </c>
      <c r="F87">
        <f>Heroes!$H87</f>
        <v/>
      </c>
      <c r="G87">
        <f>Heroes!$K87</f>
        <v/>
      </c>
      <c r="H87">
        <f>Heroes!$Q87</f>
        <v/>
      </c>
      <c r="I87">
        <f>IFERROR(INDEX('Data-Input'!$B$19:$G$24,MATCH(B87,'Data-Input'!$A$19:$A$24,0),MATCH($B$1,'Data-Input'!$B$18:$G$18,0)),0)</f>
        <v/>
      </c>
      <c r="J87">
        <f>IF(C87&lt;&gt;"",IFERROR(INDEX('Data-Input'!$B$19:$G$24,MATCH(C87,'Data-Input'!$A$19:$A$24,0),MATCH($B$1,'Data-Input'!$B$18:$G$18,0)),0),I87)</f>
        <v/>
      </c>
      <c r="K87">
        <f>MAX(I87,J87)</f>
        <v/>
      </c>
      <c r="L87">
        <f>((D87+E87)/2-$C$1)*$H$1</f>
        <v/>
      </c>
      <c r="M87">
        <f>F87-$D$1</f>
        <v/>
      </c>
      <c r="N87">
        <f>IF(M87&gt;20,M87*$I$1,0)</f>
        <v/>
      </c>
      <c r="O87">
        <f>IF(G87="Mixed",$Q$1,IF(G87=$E$1,$O$1,$P$1))</f>
        <v/>
      </c>
      <c r="P87">
        <f>(H87-$F$1)*$N$1</f>
        <v/>
      </c>
      <c r="Q87">
        <f>K87*$G$1+L87+N87+O87+P87+Y87+Z87+AF87+AG87</f>
        <v/>
      </c>
      <c r="R87">
        <f>IFERROR(INDEX('Data-Input'!$C$190:$C$1189,MATCH(A87&amp;"|"&amp;$A$1,'Data-Input'!$E$190:$E$1189,0)),Q87)</f>
        <v/>
      </c>
      <c r="S87">
        <f>IF(OR($A$1="",A87=$A$1),-1000000000000000,R87)</f>
        <v/>
      </c>
      <c r="T87">
        <f>S87+ROW()*0.0000001</f>
        <v/>
      </c>
      <c r="U87">
        <f>Heroes!$M87</f>
        <v/>
      </c>
      <c r="V87">
        <f>IF(OR($A$1="",A87=$A$1,U87="",U87&lt;&gt;$J$1),-1000000000000000,R87)+ROW()*0.0000001</f>
        <v/>
      </c>
      <c r="W87">
        <f>Heroes!$I87</f>
        <v/>
      </c>
      <c r="X87">
        <f>Heroes!$J87</f>
        <v/>
      </c>
      <c r="Y87">
        <f>IF($A$1="",0,MAX(IF(W87&lt;&gt;"",IFERROR(INDEX('Data-Input'!$B$164:$W$185,MATCH(W87,'Data-Input'!$A$164:$A$185,0),MATCH($K$1,'Data-Input'!$B$163:$W$163,0)),0),0),IF(AND(W87&lt;&gt;"",$L$1&lt;&gt;""),IFERROR(INDEX('Data-Input'!$B$164:$W$185,MATCH(W87,'Data-Input'!$A$164:$A$185,0),MATCH($L$1,'Data-Input'!$B$163:$W$163,0)),0),0),IF(X87&lt;&gt;"",IFERROR(INDEX('Data-Input'!$B$164:$W$185,MATCH(X87,'Data-Input'!$A$164:$A$185,0),MATCH($K$1,'Data-Input'!$B$163:$W$163,0)),0),0),IF(AND(X87&lt;&gt;"",$L$1&lt;&gt;""),IFERROR(INDEX('Data-Input'!$B$164:$W$185,MATCH(X87,'Data-Input'!$A$164:$A$185,0),MATCH($L$1,'Data-Input'!$B$163:$W$163,0)),0),0))*$M$1)</f>
        <v/>
      </c>
      <c r="Z87">
        <f>IF($A$1="",0,SUMPRODUCT(('Data-Input'!$A$29:$A$128=A87)*('Data-Input'!$B$29:$B$128="Tag")*((('Data-Input'!$C$29:$C$128=$K$1)+('Data-Input'!$C$29:$C$128=$L$1))&gt;0)*('Data-Input'!$D$29:$D$128-'Data-Input'!$E$29:$E$128))+SUMPRODUCT(('Data-Input'!$A$29:$A$128=A87)*('Data-Input'!$B$29:$B$128="Hero")*('Data-Input'!$C$29:$C$128=$A$1)*('Data-Input'!$D$29:$D$128-'Data-Input'!$E$29:$E$128))+SUMPRODUCT(('Data-Input'!$A$29:$A$128=A87)*('Data-Input'!$B$29:$B$128="Role")*((('Data-Input'!$C$29:$C$128=$B$1)+('Data-Input'!$C$29:$C$128=$AH$1))&gt;0)*('Data-Input'!$D$29:$D$128-'Data-Input'!$E$29:$E$128))+SUMPRODUCT(('Data-Input'!$A$29:$A$128=A87)*('Data-Input'!$B$29:$B$128="DamageType")*('Data-Input'!$C$29:$C$128=$E$1)*('Data-Input'!$D$29:$D$128-'Data-Input'!$E$29:$E$128))+SUMPRODUCT(('Data-Input'!$A$29:$A$128=A87)*('Data-Input'!$B$29:$B$128="Resource")*('Data-Input'!$C$29:$C$128=$AB$1)*('Data-Input'!$D$29:$D$128-'Data-Input'!$E$29:$E$128)))</f>
        <v/>
      </c>
      <c r="AE87">
        <f>Heroes!$R87</f>
        <v/>
      </c>
      <c r="AF87">
        <f>IF($A$1="",0,IF(AND(OR(W87="Dash/Blink",W87="High Mobility",W87="Global Dive",W87="Mobility",X87="Dash/Blink",X87="High Mobility",X87="Global Dive",X87="Mobility"),$AA$1="Ranged"),$AC$1,0))</f>
        <v/>
      </c>
      <c r="AG87">
        <f>IF($A$1="",0,IF(AND(AE87="Yes",OR($K$1="Sustain",$K$1="Healing",$L$1="Sustain",$L$1="Healing")),$AD$1,0))</f>
        <v/>
      </c>
    </row>
    <row r="88" ht="15" customHeight="1">
      <c r="A88">
        <f>Heroes!$B88</f>
        <v/>
      </c>
      <c r="B88">
        <f>Heroes!$C88</f>
        <v/>
      </c>
      <c r="C88">
        <f>Heroes!$D88</f>
        <v/>
      </c>
      <c r="D88">
        <f>Heroes!$E88</f>
        <v/>
      </c>
      <c r="E88">
        <f>Heroes!$F88</f>
        <v/>
      </c>
      <c r="F88">
        <f>Heroes!$H88</f>
        <v/>
      </c>
      <c r="G88">
        <f>Heroes!$K88</f>
        <v/>
      </c>
      <c r="H88">
        <f>Heroes!$Q88</f>
        <v/>
      </c>
      <c r="I88">
        <f>IFERROR(INDEX('Data-Input'!$B$19:$G$24,MATCH(B88,'Data-Input'!$A$19:$A$24,0),MATCH($B$1,'Data-Input'!$B$18:$G$18,0)),0)</f>
        <v/>
      </c>
      <c r="J88">
        <f>IF(C88&lt;&gt;"",IFERROR(INDEX('Data-Input'!$B$19:$G$24,MATCH(C88,'Data-Input'!$A$19:$A$24,0),MATCH($B$1,'Data-Input'!$B$18:$G$18,0)),0),I88)</f>
        <v/>
      </c>
      <c r="K88">
        <f>MAX(I88,J88)</f>
        <v/>
      </c>
      <c r="L88">
        <f>((D88+E88)/2-$C$1)*$H$1</f>
        <v/>
      </c>
      <c r="M88">
        <f>F88-$D$1</f>
        <v/>
      </c>
      <c r="N88">
        <f>IF(M88&gt;20,M88*$I$1,0)</f>
        <v/>
      </c>
      <c r="O88">
        <f>IF(G88="Mixed",$Q$1,IF(G88=$E$1,$O$1,$P$1))</f>
        <v/>
      </c>
      <c r="P88">
        <f>(H88-$F$1)*$N$1</f>
        <v/>
      </c>
      <c r="Q88">
        <f>K88*$G$1+L88+N88+O88+P88+Y88+Z88+AF88+AG88</f>
        <v/>
      </c>
      <c r="R88">
        <f>IFERROR(INDEX('Data-Input'!$C$190:$C$1189,MATCH(A88&amp;"|"&amp;$A$1,'Data-Input'!$E$190:$E$1189,0)),Q88)</f>
        <v/>
      </c>
      <c r="S88">
        <f>IF(OR($A$1="",A88=$A$1),-1000000000000000,R88)</f>
        <v/>
      </c>
      <c r="T88">
        <f>S88+ROW()*0.0000001</f>
        <v/>
      </c>
      <c r="U88">
        <f>Heroes!$M88</f>
        <v/>
      </c>
      <c r="V88">
        <f>IF(OR($A$1="",A88=$A$1,U88="",U88&lt;&gt;$J$1),-1000000000000000,R88)+ROW()*0.0000001</f>
        <v/>
      </c>
      <c r="W88">
        <f>Heroes!$I88</f>
        <v/>
      </c>
      <c r="X88">
        <f>Heroes!$J88</f>
        <v/>
      </c>
      <c r="Y88">
        <f>IF($A$1="",0,MAX(IF(W88&lt;&gt;"",IFERROR(INDEX('Data-Input'!$B$164:$W$185,MATCH(W88,'Data-Input'!$A$164:$A$185,0),MATCH($K$1,'Data-Input'!$B$163:$W$163,0)),0),0),IF(AND(W88&lt;&gt;"",$L$1&lt;&gt;""),IFERROR(INDEX('Data-Input'!$B$164:$W$185,MATCH(W88,'Data-Input'!$A$164:$A$185,0),MATCH($L$1,'Data-Input'!$B$163:$W$163,0)),0),0),IF(X88&lt;&gt;"",IFERROR(INDEX('Data-Input'!$B$164:$W$185,MATCH(X88,'Data-Input'!$A$164:$A$185,0),MATCH($K$1,'Data-Input'!$B$163:$W$163,0)),0),0),IF(AND(X88&lt;&gt;"",$L$1&lt;&gt;""),IFERROR(INDEX('Data-Input'!$B$164:$W$185,MATCH(X88,'Data-Input'!$A$164:$A$185,0),MATCH($L$1,'Data-Input'!$B$163:$W$163,0)),0),0))*$M$1)</f>
        <v/>
      </c>
      <c r="Z88">
        <f>IF($A$1="",0,SUMPRODUCT(('Data-Input'!$A$29:$A$128=A88)*('Data-Input'!$B$29:$B$128="Tag")*((('Data-Input'!$C$29:$C$128=$K$1)+('Data-Input'!$C$29:$C$128=$L$1))&gt;0)*('Data-Input'!$D$29:$D$128-'Data-Input'!$E$29:$E$128))+SUMPRODUCT(('Data-Input'!$A$29:$A$128=A88)*('Data-Input'!$B$29:$B$128="Hero")*('Data-Input'!$C$29:$C$128=$A$1)*('Data-Input'!$D$29:$D$128-'Data-Input'!$E$29:$E$128))+SUMPRODUCT(('Data-Input'!$A$29:$A$128=A88)*('Data-Input'!$B$29:$B$128="Role")*((('Data-Input'!$C$29:$C$128=$B$1)+('Data-Input'!$C$29:$C$128=$AH$1))&gt;0)*('Data-Input'!$D$29:$D$128-'Data-Input'!$E$29:$E$128))+SUMPRODUCT(('Data-Input'!$A$29:$A$128=A88)*('Data-Input'!$B$29:$B$128="DamageType")*('Data-Input'!$C$29:$C$128=$E$1)*('Data-Input'!$D$29:$D$128-'Data-Input'!$E$29:$E$128))+SUMPRODUCT(('Data-Input'!$A$29:$A$128=A88)*('Data-Input'!$B$29:$B$128="Resource")*('Data-Input'!$C$29:$C$128=$AB$1)*('Data-Input'!$D$29:$D$128-'Data-Input'!$E$29:$E$128)))</f>
        <v/>
      </c>
      <c r="AE88">
        <f>Heroes!$R88</f>
        <v/>
      </c>
      <c r="AF88">
        <f>IF($A$1="",0,IF(AND(OR(W88="Dash/Blink",W88="High Mobility",W88="Global Dive",W88="Mobility",X88="Dash/Blink",X88="High Mobility",X88="Global Dive",X88="Mobility"),$AA$1="Ranged"),$AC$1,0))</f>
        <v/>
      </c>
      <c r="AG88">
        <f>IF($A$1="",0,IF(AND(AE88="Yes",OR($K$1="Sustain",$K$1="Healing",$L$1="Sustain",$L$1="Healing")),$AD$1,0))</f>
        <v/>
      </c>
    </row>
    <row r="89" ht="15" customHeight="1">
      <c r="A89">
        <f>Heroes!$B89</f>
        <v/>
      </c>
      <c r="B89">
        <f>Heroes!$C89</f>
        <v/>
      </c>
      <c r="C89">
        <f>Heroes!$D89</f>
        <v/>
      </c>
      <c r="D89">
        <f>Heroes!$E89</f>
        <v/>
      </c>
      <c r="E89">
        <f>Heroes!$F89</f>
        <v/>
      </c>
      <c r="F89">
        <f>Heroes!$H89</f>
        <v/>
      </c>
      <c r="G89">
        <f>Heroes!$K89</f>
        <v/>
      </c>
      <c r="H89">
        <f>Heroes!$Q89</f>
        <v/>
      </c>
      <c r="I89">
        <f>IFERROR(INDEX('Data-Input'!$B$19:$G$24,MATCH(B89,'Data-Input'!$A$19:$A$24,0),MATCH($B$1,'Data-Input'!$B$18:$G$18,0)),0)</f>
        <v/>
      </c>
      <c r="J89">
        <f>IF(C89&lt;&gt;"",IFERROR(INDEX('Data-Input'!$B$19:$G$24,MATCH(C89,'Data-Input'!$A$19:$A$24,0),MATCH($B$1,'Data-Input'!$B$18:$G$18,0)),0),I89)</f>
        <v/>
      </c>
      <c r="K89">
        <f>MAX(I89,J89)</f>
        <v/>
      </c>
      <c r="L89">
        <f>((D89+E89)/2-$C$1)*$H$1</f>
        <v/>
      </c>
      <c r="M89">
        <f>F89-$D$1</f>
        <v/>
      </c>
      <c r="N89">
        <f>IF(M89&gt;20,M89*$I$1,0)</f>
        <v/>
      </c>
      <c r="O89">
        <f>IF(G89="Mixed",$Q$1,IF(G89=$E$1,$O$1,$P$1))</f>
        <v/>
      </c>
      <c r="P89">
        <f>(H89-$F$1)*$N$1</f>
        <v/>
      </c>
      <c r="Q89">
        <f>K89*$G$1+L89+N89+O89+P89+Y89+Z89+AF89+AG89</f>
        <v/>
      </c>
      <c r="R89">
        <f>IFERROR(INDEX('Data-Input'!$C$190:$C$1189,MATCH(A89&amp;"|"&amp;$A$1,'Data-Input'!$E$190:$E$1189,0)),Q89)</f>
        <v/>
      </c>
      <c r="S89">
        <f>IF(OR($A$1="",A89=$A$1),-1000000000000000,R89)</f>
        <v/>
      </c>
      <c r="T89">
        <f>S89+ROW()*0.0000001</f>
        <v/>
      </c>
      <c r="U89">
        <f>Heroes!$M89</f>
        <v/>
      </c>
      <c r="V89">
        <f>IF(OR($A$1="",A89=$A$1,U89="",U89&lt;&gt;$J$1),-1000000000000000,R89)+ROW()*0.0000001</f>
        <v/>
      </c>
      <c r="W89">
        <f>Heroes!$I89</f>
        <v/>
      </c>
      <c r="X89">
        <f>Heroes!$J89</f>
        <v/>
      </c>
      <c r="Y89">
        <f>IF($A$1="",0,MAX(IF(W89&lt;&gt;"",IFERROR(INDEX('Data-Input'!$B$164:$W$185,MATCH(W89,'Data-Input'!$A$164:$A$185,0),MATCH($K$1,'Data-Input'!$B$163:$W$163,0)),0),0),IF(AND(W89&lt;&gt;"",$L$1&lt;&gt;""),IFERROR(INDEX('Data-Input'!$B$164:$W$185,MATCH(W89,'Data-Input'!$A$164:$A$185,0),MATCH($L$1,'Data-Input'!$B$163:$W$163,0)),0),0),IF(X89&lt;&gt;"",IFERROR(INDEX('Data-Input'!$B$164:$W$185,MATCH(X89,'Data-Input'!$A$164:$A$185,0),MATCH($K$1,'Data-Input'!$B$163:$W$163,0)),0),0),IF(AND(X89&lt;&gt;"",$L$1&lt;&gt;""),IFERROR(INDEX('Data-Input'!$B$164:$W$185,MATCH(X89,'Data-Input'!$A$164:$A$185,0),MATCH($L$1,'Data-Input'!$B$163:$W$163,0)),0),0))*$M$1)</f>
        <v/>
      </c>
      <c r="Z89">
        <f>IF($A$1="",0,SUMPRODUCT(('Data-Input'!$A$29:$A$128=A89)*('Data-Input'!$B$29:$B$128="Tag")*((('Data-Input'!$C$29:$C$128=$K$1)+('Data-Input'!$C$29:$C$128=$L$1))&gt;0)*('Data-Input'!$D$29:$D$128-'Data-Input'!$E$29:$E$128))+SUMPRODUCT(('Data-Input'!$A$29:$A$128=A89)*('Data-Input'!$B$29:$B$128="Hero")*('Data-Input'!$C$29:$C$128=$A$1)*('Data-Input'!$D$29:$D$128-'Data-Input'!$E$29:$E$128))+SUMPRODUCT(('Data-Input'!$A$29:$A$128=A89)*('Data-Input'!$B$29:$B$128="Role")*((('Data-Input'!$C$29:$C$128=$B$1)+('Data-Input'!$C$29:$C$128=$AH$1))&gt;0)*('Data-Input'!$D$29:$D$128-'Data-Input'!$E$29:$E$128))+SUMPRODUCT(('Data-Input'!$A$29:$A$128=A89)*('Data-Input'!$B$29:$B$128="DamageType")*('Data-Input'!$C$29:$C$128=$E$1)*('Data-Input'!$D$29:$D$128-'Data-Input'!$E$29:$E$128))+SUMPRODUCT(('Data-Input'!$A$29:$A$128=A89)*('Data-Input'!$B$29:$B$128="Resource")*('Data-Input'!$C$29:$C$128=$AB$1)*('Data-Input'!$D$29:$D$128-'Data-Input'!$E$29:$E$128)))</f>
        <v/>
      </c>
      <c r="AE89">
        <f>Heroes!$R89</f>
        <v/>
      </c>
      <c r="AF89">
        <f>IF($A$1="",0,IF(AND(OR(W89="Dash/Blink",W89="High Mobility",W89="Global Dive",W89="Mobility",X89="Dash/Blink",X89="High Mobility",X89="Global Dive",X89="Mobility"),$AA$1="Ranged"),$AC$1,0))</f>
        <v/>
      </c>
      <c r="AG89">
        <f>IF($A$1="",0,IF(AND(AE89="Yes",OR($K$1="Sustain",$K$1="Healing",$L$1="Sustain",$L$1="Healing")),$AD$1,0))</f>
        <v/>
      </c>
    </row>
    <row r="90" ht="15" customHeight="1">
      <c r="A90">
        <f>Heroes!$B90</f>
        <v/>
      </c>
      <c r="B90">
        <f>Heroes!$C90</f>
        <v/>
      </c>
      <c r="C90">
        <f>Heroes!$D90</f>
        <v/>
      </c>
      <c r="D90">
        <f>Heroes!$E90</f>
        <v/>
      </c>
      <c r="E90">
        <f>Heroes!$F90</f>
        <v/>
      </c>
      <c r="F90">
        <f>Heroes!$H90</f>
        <v/>
      </c>
      <c r="G90">
        <f>Heroes!$K90</f>
        <v/>
      </c>
      <c r="H90">
        <f>Heroes!$Q90</f>
        <v/>
      </c>
      <c r="I90">
        <f>IFERROR(INDEX('Data-Input'!$B$19:$G$24,MATCH(B90,'Data-Input'!$A$19:$A$24,0),MATCH($B$1,'Data-Input'!$B$18:$G$18,0)),0)</f>
        <v/>
      </c>
      <c r="J90">
        <f>IF(C90&lt;&gt;"",IFERROR(INDEX('Data-Input'!$B$19:$G$24,MATCH(C90,'Data-Input'!$A$19:$A$24,0),MATCH($B$1,'Data-Input'!$B$18:$G$18,0)),0),I90)</f>
        <v/>
      </c>
      <c r="K90">
        <f>MAX(I90,J90)</f>
        <v/>
      </c>
      <c r="L90">
        <f>((D90+E90)/2-$C$1)*$H$1</f>
        <v/>
      </c>
      <c r="M90">
        <f>F90-$D$1</f>
        <v/>
      </c>
      <c r="N90">
        <f>IF(M90&gt;20,M90*$I$1,0)</f>
        <v/>
      </c>
      <c r="O90">
        <f>IF(G90="Mixed",$Q$1,IF(G90=$E$1,$O$1,$P$1))</f>
        <v/>
      </c>
      <c r="P90">
        <f>(H90-$F$1)*$N$1</f>
        <v/>
      </c>
      <c r="Q90">
        <f>K90*$G$1+L90+N90+O90+P90+Y90+Z90+AF90+AG90</f>
        <v/>
      </c>
      <c r="R90">
        <f>IFERROR(INDEX('Data-Input'!$C$190:$C$1189,MATCH(A90&amp;"|"&amp;$A$1,'Data-Input'!$E$190:$E$1189,0)),Q90)</f>
        <v/>
      </c>
      <c r="S90">
        <f>IF(OR($A$1="",A90=$A$1),-1000000000000000,R90)</f>
        <v/>
      </c>
      <c r="T90">
        <f>S90+ROW()*0.0000001</f>
        <v/>
      </c>
      <c r="U90">
        <f>Heroes!$M90</f>
        <v/>
      </c>
      <c r="V90">
        <f>IF(OR($A$1="",A90=$A$1,U90="",U90&lt;&gt;$J$1),-1000000000000000,R90)+ROW()*0.0000001</f>
        <v/>
      </c>
      <c r="W90">
        <f>Heroes!$I90</f>
        <v/>
      </c>
      <c r="X90">
        <f>Heroes!$J90</f>
        <v/>
      </c>
      <c r="Y90">
        <f>IF($A$1="",0,MAX(IF(W90&lt;&gt;"",IFERROR(INDEX('Data-Input'!$B$164:$W$185,MATCH(W90,'Data-Input'!$A$164:$A$185,0),MATCH($K$1,'Data-Input'!$B$163:$W$163,0)),0),0),IF(AND(W90&lt;&gt;"",$L$1&lt;&gt;""),IFERROR(INDEX('Data-Input'!$B$164:$W$185,MATCH(W90,'Data-Input'!$A$164:$A$185,0),MATCH($L$1,'Data-Input'!$B$163:$W$163,0)),0),0),IF(X90&lt;&gt;"",IFERROR(INDEX('Data-Input'!$B$164:$W$185,MATCH(X90,'Data-Input'!$A$164:$A$185,0),MATCH($K$1,'Data-Input'!$B$163:$W$163,0)),0),0),IF(AND(X90&lt;&gt;"",$L$1&lt;&gt;""),IFERROR(INDEX('Data-Input'!$B$164:$W$185,MATCH(X90,'Data-Input'!$A$164:$A$185,0),MATCH($L$1,'Data-Input'!$B$163:$W$163,0)),0),0))*$M$1)</f>
        <v/>
      </c>
      <c r="Z90">
        <f>IF($A$1="",0,SUMPRODUCT(('Data-Input'!$A$29:$A$128=A90)*('Data-Input'!$B$29:$B$128="Tag")*((('Data-Input'!$C$29:$C$128=$K$1)+('Data-Input'!$C$29:$C$128=$L$1))&gt;0)*('Data-Input'!$D$29:$D$128-'Data-Input'!$E$29:$E$128))+SUMPRODUCT(('Data-Input'!$A$29:$A$128=A90)*('Data-Input'!$B$29:$B$128="Hero")*('Data-Input'!$C$29:$C$128=$A$1)*('Data-Input'!$D$29:$D$128-'Data-Input'!$E$29:$E$128))+SUMPRODUCT(('Data-Input'!$A$29:$A$128=A90)*('Data-Input'!$B$29:$B$128="Role")*((('Data-Input'!$C$29:$C$128=$B$1)+('Data-Input'!$C$29:$C$128=$AH$1))&gt;0)*('Data-Input'!$D$29:$D$128-'Data-Input'!$E$29:$E$128))+SUMPRODUCT(('Data-Input'!$A$29:$A$128=A90)*('Data-Input'!$B$29:$B$128="DamageType")*('Data-Input'!$C$29:$C$128=$E$1)*('Data-Input'!$D$29:$D$128-'Data-Input'!$E$29:$E$128))+SUMPRODUCT(('Data-Input'!$A$29:$A$128=A90)*('Data-Input'!$B$29:$B$128="Resource")*('Data-Input'!$C$29:$C$128=$AB$1)*('Data-Input'!$D$29:$D$128-'Data-Input'!$E$29:$E$128)))</f>
        <v/>
      </c>
      <c r="AE90">
        <f>Heroes!$R90</f>
        <v/>
      </c>
      <c r="AF90">
        <f>IF($A$1="",0,IF(AND(OR(W90="Dash/Blink",W90="High Mobility",W90="Global Dive",W90="Mobility",X90="Dash/Blink",X90="High Mobility",X90="Global Dive",X90="Mobility"),$AA$1="Ranged"),$AC$1,0))</f>
        <v/>
      </c>
      <c r="AG90">
        <f>IF($A$1="",0,IF(AND(AE90="Yes",OR($K$1="Sustain",$K$1="Healing",$L$1="Sustain",$L$1="Healing")),$AD$1,0))</f>
        <v/>
      </c>
    </row>
    <row r="91" ht="15" customHeight="1">
      <c r="A91">
        <f>Heroes!$B91</f>
        <v/>
      </c>
      <c r="B91">
        <f>Heroes!$C91</f>
        <v/>
      </c>
      <c r="C91">
        <f>Heroes!$D91</f>
        <v/>
      </c>
      <c r="D91">
        <f>Heroes!$E91</f>
        <v/>
      </c>
      <c r="E91">
        <f>Heroes!$F91</f>
        <v/>
      </c>
      <c r="F91">
        <f>Heroes!$H91</f>
        <v/>
      </c>
      <c r="G91">
        <f>Heroes!$K91</f>
        <v/>
      </c>
      <c r="H91">
        <f>Heroes!$Q91</f>
        <v/>
      </c>
      <c r="I91">
        <f>IFERROR(INDEX('Data-Input'!$B$19:$G$24,MATCH(B91,'Data-Input'!$A$19:$A$24,0),MATCH($B$1,'Data-Input'!$B$18:$G$18,0)),0)</f>
        <v/>
      </c>
      <c r="J91">
        <f>IF(C91&lt;&gt;"",IFERROR(INDEX('Data-Input'!$B$19:$G$24,MATCH(C91,'Data-Input'!$A$19:$A$24,0),MATCH($B$1,'Data-Input'!$B$18:$G$18,0)),0),I91)</f>
        <v/>
      </c>
      <c r="K91">
        <f>MAX(I91,J91)</f>
        <v/>
      </c>
      <c r="L91">
        <f>((D91+E91)/2-$C$1)*$H$1</f>
        <v/>
      </c>
      <c r="M91">
        <f>F91-$D$1</f>
        <v/>
      </c>
      <c r="N91">
        <f>IF(M91&gt;20,M91*$I$1,0)</f>
        <v/>
      </c>
      <c r="O91">
        <f>IF(G91="Mixed",$Q$1,IF(G91=$E$1,$O$1,$P$1))</f>
        <v/>
      </c>
      <c r="P91">
        <f>(H91-$F$1)*$N$1</f>
        <v/>
      </c>
      <c r="Q91">
        <f>K91*$G$1+L91+N91+O91+P91+Y91+Z91+AF91+AG91</f>
        <v/>
      </c>
      <c r="R91">
        <f>IFERROR(INDEX('Data-Input'!$C$190:$C$1189,MATCH(A91&amp;"|"&amp;$A$1,'Data-Input'!$E$190:$E$1189,0)),Q91)</f>
        <v/>
      </c>
      <c r="S91">
        <f>IF(OR($A$1="",A91=$A$1),-1000000000000000,R91)</f>
        <v/>
      </c>
      <c r="T91">
        <f>S91+ROW()*0.0000001</f>
        <v/>
      </c>
      <c r="U91">
        <f>Heroes!$M91</f>
        <v/>
      </c>
      <c r="V91">
        <f>IF(OR($A$1="",A91=$A$1,U91="",U91&lt;&gt;$J$1),-1000000000000000,R91)+ROW()*0.0000001</f>
        <v/>
      </c>
      <c r="W91">
        <f>Heroes!$I91</f>
        <v/>
      </c>
      <c r="X91">
        <f>Heroes!$J91</f>
        <v/>
      </c>
      <c r="Y91">
        <f>IF($A$1="",0,MAX(IF(W91&lt;&gt;"",IFERROR(INDEX('Data-Input'!$B$164:$W$185,MATCH(W91,'Data-Input'!$A$164:$A$185,0),MATCH($K$1,'Data-Input'!$B$163:$W$163,0)),0),0),IF(AND(W91&lt;&gt;"",$L$1&lt;&gt;""),IFERROR(INDEX('Data-Input'!$B$164:$W$185,MATCH(W91,'Data-Input'!$A$164:$A$185,0),MATCH($L$1,'Data-Input'!$B$163:$W$163,0)),0),0),IF(X91&lt;&gt;"",IFERROR(INDEX('Data-Input'!$B$164:$W$185,MATCH(X91,'Data-Input'!$A$164:$A$185,0),MATCH($K$1,'Data-Input'!$B$163:$W$163,0)),0),0),IF(AND(X91&lt;&gt;"",$L$1&lt;&gt;""),IFERROR(INDEX('Data-Input'!$B$164:$W$185,MATCH(X91,'Data-Input'!$A$164:$A$185,0),MATCH($L$1,'Data-Input'!$B$163:$W$163,0)),0),0))*$M$1)</f>
        <v/>
      </c>
      <c r="Z91">
        <f>IF($A$1="",0,SUMPRODUCT(('Data-Input'!$A$29:$A$128=A91)*('Data-Input'!$B$29:$B$128="Tag")*((('Data-Input'!$C$29:$C$128=$K$1)+('Data-Input'!$C$29:$C$128=$L$1))&gt;0)*('Data-Input'!$D$29:$D$128-'Data-Input'!$E$29:$E$128))+SUMPRODUCT(('Data-Input'!$A$29:$A$128=A91)*('Data-Input'!$B$29:$B$128="Hero")*('Data-Input'!$C$29:$C$128=$A$1)*('Data-Input'!$D$29:$D$128-'Data-Input'!$E$29:$E$128))+SUMPRODUCT(('Data-Input'!$A$29:$A$128=A91)*('Data-Input'!$B$29:$B$128="Role")*((('Data-Input'!$C$29:$C$128=$B$1)+('Data-Input'!$C$29:$C$128=$AH$1))&gt;0)*('Data-Input'!$D$29:$D$128-'Data-Input'!$E$29:$E$128))+SUMPRODUCT(('Data-Input'!$A$29:$A$128=A91)*('Data-Input'!$B$29:$B$128="DamageType")*('Data-Input'!$C$29:$C$128=$E$1)*('Data-Input'!$D$29:$D$128-'Data-Input'!$E$29:$E$128))+SUMPRODUCT(('Data-Input'!$A$29:$A$128=A91)*('Data-Input'!$B$29:$B$128="Resource")*('Data-Input'!$C$29:$C$128=$AB$1)*('Data-Input'!$D$29:$D$128-'Data-Input'!$E$29:$E$128)))</f>
        <v/>
      </c>
      <c r="AE91">
        <f>Heroes!$R91</f>
        <v/>
      </c>
      <c r="AF91">
        <f>IF($A$1="",0,IF(AND(OR(W91="Dash/Blink",W91="High Mobility",W91="Global Dive",W91="Mobility",X91="Dash/Blink",X91="High Mobility",X91="Global Dive",X91="Mobility"),$AA$1="Ranged"),$AC$1,0))</f>
        <v/>
      </c>
      <c r="AG91">
        <f>IF($A$1="",0,IF(AND(AE91="Yes",OR($K$1="Sustain",$K$1="Healing",$L$1="Sustain",$L$1="Healing")),$AD$1,0))</f>
        <v/>
      </c>
    </row>
    <row r="92" ht="15" customHeight="1">
      <c r="A92">
        <f>Heroes!$B92</f>
        <v/>
      </c>
      <c r="B92">
        <f>Heroes!$C92</f>
        <v/>
      </c>
      <c r="C92">
        <f>Heroes!$D92</f>
        <v/>
      </c>
      <c r="D92">
        <f>Heroes!$E92</f>
        <v/>
      </c>
      <c r="E92">
        <f>Heroes!$F92</f>
        <v/>
      </c>
      <c r="F92">
        <f>Heroes!$H92</f>
        <v/>
      </c>
      <c r="G92">
        <f>Heroes!$K92</f>
        <v/>
      </c>
      <c r="H92">
        <f>Heroes!$Q92</f>
        <v/>
      </c>
      <c r="I92">
        <f>IFERROR(INDEX('Data-Input'!$B$19:$G$24,MATCH(B92,'Data-Input'!$A$19:$A$24,0),MATCH($B$1,'Data-Input'!$B$18:$G$18,0)),0)</f>
        <v/>
      </c>
      <c r="J92">
        <f>IF(C92&lt;&gt;"",IFERROR(INDEX('Data-Input'!$B$19:$G$24,MATCH(C92,'Data-Input'!$A$19:$A$24,0),MATCH($B$1,'Data-Input'!$B$18:$G$18,0)),0),I92)</f>
        <v/>
      </c>
      <c r="K92">
        <f>MAX(I92,J92)</f>
        <v/>
      </c>
      <c r="L92">
        <f>((D92+E92)/2-$C$1)*$H$1</f>
        <v/>
      </c>
      <c r="M92">
        <f>F92-$D$1</f>
        <v/>
      </c>
      <c r="N92">
        <f>IF(M92&gt;20,M92*$I$1,0)</f>
        <v/>
      </c>
      <c r="O92">
        <f>IF(G92="Mixed",$Q$1,IF(G92=$E$1,$O$1,$P$1))</f>
        <v/>
      </c>
      <c r="P92">
        <f>(H92-$F$1)*$N$1</f>
        <v/>
      </c>
      <c r="Q92">
        <f>K92*$G$1+L92+N92+O92+P92+Y92+Z92+AF92+AG92</f>
        <v/>
      </c>
      <c r="R92">
        <f>IFERROR(INDEX('Data-Input'!$C$190:$C$1189,MATCH(A92&amp;"|"&amp;$A$1,'Data-Input'!$E$190:$E$1189,0)),Q92)</f>
        <v/>
      </c>
      <c r="S92">
        <f>IF(OR($A$1="",A92=$A$1),-1000000000000000,R92)</f>
        <v/>
      </c>
      <c r="T92">
        <f>S92+ROW()*0.0000001</f>
        <v/>
      </c>
      <c r="U92">
        <f>Heroes!$M92</f>
        <v/>
      </c>
      <c r="V92">
        <f>IF(OR($A$1="",A92=$A$1,U92="",U92&lt;&gt;$J$1),-1000000000000000,R92)+ROW()*0.0000001</f>
        <v/>
      </c>
      <c r="W92">
        <f>Heroes!$I92</f>
        <v/>
      </c>
      <c r="X92">
        <f>Heroes!$J92</f>
        <v/>
      </c>
      <c r="Y92">
        <f>IF($A$1="",0,MAX(IF(W92&lt;&gt;"",IFERROR(INDEX('Data-Input'!$B$164:$W$185,MATCH(W92,'Data-Input'!$A$164:$A$185,0),MATCH($K$1,'Data-Input'!$B$163:$W$163,0)),0),0),IF(AND(W92&lt;&gt;"",$L$1&lt;&gt;""),IFERROR(INDEX('Data-Input'!$B$164:$W$185,MATCH(W92,'Data-Input'!$A$164:$A$185,0),MATCH($L$1,'Data-Input'!$B$163:$W$163,0)),0),0),IF(X92&lt;&gt;"",IFERROR(INDEX('Data-Input'!$B$164:$W$185,MATCH(X92,'Data-Input'!$A$164:$A$185,0),MATCH($K$1,'Data-Input'!$B$163:$W$163,0)),0),0),IF(AND(X92&lt;&gt;"",$L$1&lt;&gt;""),IFERROR(INDEX('Data-Input'!$B$164:$W$185,MATCH(X92,'Data-Input'!$A$164:$A$185,0),MATCH($L$1,'Data-Input'!$B$163:$W$163,0)),0),0))*$M$1)</f>
        <v/>
      </c>
      <c r="Z92">
        <f>IF($A$1="",0,SUMPRODUCT(('Data-Input'!$A$29:$A$128=A92)*('Data-Input'!$B$29:$B$128="Tag")*((('Data-Input'!$C$29:$C$128=$K$1)+('Data-Input'!$C$29:$C$128=$L$1))&gt;0)*('Data-Input'!$D$29:$D$128-'Data-Input'!$E$29:$E$128))+SUMPRODUCT(('Data-Input'!$A$29:$A$128=A92)*('Data-Input'!$B$29:$B$128="Hero")*('Data-Input'!$C$29:$C$128=$A$1)*('Data-Input'!$D$29:$D$128-'Data-Input'!$E$29:$E$128))+SUMPRODUCT(('Data-Input'!$A$29:$A$128=A92)*('Data-Input'!$B$29:$B$128="Role")*((('Data-Input'!$C$29:$C$128=$B$1)+('Data-Input'!$C$29:$C$128=$AH$1))&gt;0)*('Data-Input'!$D$29:$D$128-'Data-Input'!$E$29:$E$128))+SUMPRODUCT(('Data-Input'!$A$29:$A$128=A92)*('Data-Input'!$B$29:$B$128="DamageType")*('Data-Input'!$C$29:$C$128=$E$1)*('Data-Input'!$D$29:$D$128-'Data-Input'!$E$29:$E$128))+SUMPRODUCT(('Data-Input'!$A$29:$A$128=A92)*('Data-Input'!$B$29:$B$128="Resource")*('Data-Input'!$C$29:$C$128=$AB$1)*('Data-Input'!$D$29:$D$128-'Data-Input'!$E$29:$E$128)))</f>
        <v/>
      </c>
      <c r="AE92">
        <f>Heroes!$R92</f>
        <v/>
      </c>
      <c r="AF92">
        <f>IF($A$1="",0,IF(AND(OR(W92="Dash/Blink",W92="High Mobility",W92="Global Dive",W92="Mobility",X92="Dash/Blink",X92="High Mobility",X92="Global Dive",X92="Mobility"),$AA$1="Ranged"),$AC$1,0))</f>
        <v/>
      </c>
      <c r="AG92">
        <f>IF($A$1="",0,IF(AND(AE92="Yes",OR($K$1="Sustain",$K$1="Healing",$L$1="Sustain",$L$1="Healing")),$AD$1,0))</f>
        <v/>
      </c>
    </row>
    <row r="93" ht="15" customHeight="1">
      <c r="A93">
        <f>Heroes!$B93</f>
        <v/>
      </c>
      <c r="B93">
        <f>Heroes!$C93</f>
        <v/>
      </c>
      <c r="C93">
        <f>Heroes!$D93</f>
        <v/>
      </c>
      <c r="D93">
        <f>Heroes!$E93</f>
        <v/>
      </c>
      <c r="E93">
        <f>Heroes!$F93</f>
        <v/>
      </c>
      <c r="F93">
        <f>Heroes!$H93</f>
        <v/>
      </c>
      <c r="G93">
        <f>Heroes!$K93</f>
        <v/>
      </c>
      <c r="H93">
        <f>Heroes!$Q93</f>
        <v/>
      </c>
      <c r="I93">
        <f>IFERROR(INDEX('Data-Input'!$B$19:$G$24,MATCH(B93,'Data-Input'!$A$19:$A$24,0),MATCH($B$1,'Data-Input'!$B$18:$G$18,0)),0)</f>
        <v/>
      </c>
      <c r="J93">
        <f>IF(C93&lt;&gt;"",IFERROR(INDEX('Data-Input'!$B$19:$G$24,MATCH(C93,'Data-Input'!$A$19:$A$24,0),MATCH($B$1,'Data-Input'!$B$18:$G$18,0)),0),I93)</f>
        <v/>
      </c>
      <c r="K93">
        <f>MAX(I93,J93)</f>
        <v/>
      </c>
      <c r="L93">
        <f>((D93+E93)/2-$C$1)*$H$1</f>
        <v/>
      </c>
      <c r="M93">
        <f>F93-$D$1</f>
        <v/>
      </c>
      <c r="N93">
        <f>IF(M93&gt;20,M93*$I$1,0)</f>
        <v/>
      </c>
      <c r="O93">
        <f>IF(G93="Mixed",$Q$1,IF(G93=$E$1,$O$1,$P$1))</f>
        <v/>
      </c>
      <c r="P93">
        <f>(H93-$F$1)*$N$1</f>
        <v/>
      </c>
      <c r="Q93">
        <f>K93*$G$1+L93+N93+O93+P93+Y93+Z93+AF93+AG93</f>
        <v/>
      </c>
      <c r="R93">
        <f>IFERROR(INDEX('Data-Input'!$C$190:$C$1189,MATCH(A93&amp;"|"&amp;$A$1,'Data-Input'!$E$190:$E$1189,0)),Q93)</f>
        <v/>
      </c>
      <c r="S93">
        <f>IF(OR($A$1="",A93=$A$1),-1000000000000000,R93)</f>
        <v/>
      </c>
      <c r="T93">
        <f>S93+ROW()*0.0000001</f>
        <v/>
      </c>
      <c r="U93">
        <f>Heroes!$M93</f>
        <v/>
      </c>
      <c r="V93">
        <f>IF(OR($A$1="",A93=$A$1,U93="",U93&lt;&gt;$J$1),-1000000000000000,R93)+ROW()*0.0000001</f>
        <v/>
      </c>
      <c r="W93">
        <f>Heroes!$I93</f>
        <v/>
      </c>
      <c r="X93">
        <f>Heroes!$J93</f>
        <v/>
      </c>
      <c r="Y93">
        <f>IF($A$1="",0,MAX(IF(W93&lt;&gt;"",IFERROR(INDEX('Data-Input'!$B$164:$W$185,MATCH(W93,'Data-Input'!$A$164:$A$185,0),MATCH($K$1,'Data-Input'!$B$163:$W$163,0)),0),0),IF(AND(W93&lt;&gt;"",$L$1&lt;&gt;""),IFERROR(INDEX('Data-Input'!$B$164:$W$185,MATCH(W93,'Data-Input'!$A$164:$A$185,0),MATCH($L$1,'Data-Input'!$B$163:$W$163,0)),0),0),IF(X93&lt;&gt;"",IFERROR(INDEX('Data-Input'!$B$164:$W$185,MATCH(X93,'Data-Input'!$A$164:$A$185,0),MATCH($K$1,'Data-Input'!$B$163:$W$163,0)),0),0),IF(AND(X93&lt;&gt;"",$L$1&lt;&gt;""),IFERROR(INDEX('Data-Input'!$B$164:$W$185,MATCH(X93,'Data-Input'!$A$164:$A$185,0),MATCH($L$1,'Data-Input'!$B$163:$W$163,0)),0),0))*$M$1)</f>
        <v/>
      </c>
      <c r="Z93">
        <f>IF($A$1="",0,SUMPRODUCT(('Data-Input'!$A$29:$A$128=A93)*('Data-Input'!$B$29:$B$128="Tag")*((('Data-Input'!$C$29:$C$128=$K$1)+('Data-Input'!$C$29:$C$128=$L$1))&gt;0)*('Data-Input'!$D$29:$D$128-'Data-Input'!$E$29:$E$128))+SUMPRODUCT(('Data-Input'!$A$29:$A$128=A93)*('Data-Input'!$B$29:$B$128="Hero")*('Data-Input'!$C$29:$C$128=$A$1)*('Data-Input'!$D$29:$D$128-'Data-Input'!$E$29:$E$128))+SUMPRODUCT(('Data-Input'!$A$29:$A$128=A93)*('Data-Input'!$B$29:$B$128="Role")*((('Data-Input'!$C$29:$C$128=$B$1)+('Data-Input'!$C$29:$C$128=$AH$1))&gt;0)*('Data-Input'!$D$29:$D$128-'Data-Input'!$E$29:$E$128))+SUMPRODUCT(('Data-Input'!$A$29:$A$128=A93)*('Data-Input'!$B$29:$B$128="DamageType")*('Data-Input'!$C$29:$C$128=$E$1)*('Data-Input'!$D$29:$D$128-'Data-Input'!$E$29:$E$128))+SUMPRODUCT(('Data-Input'!$A$29:$A$128=A93)*('Data-Input'!$B$29:$B$128="Resource")*('Data-Input'!$C$29:$C$128=$AB$1)*('Data-Input'!$D$29:$D$128-'Data-Input'!$E$29:$E$128)))</f>
        <v/>
      </c>
      <c r="AE93">
        <f>Heroes!$R93</f>
        <v/>
      </c>
      <c r="AF93">
        <f>IF($A$1="",0,IF(AND(OR(W93="Dash/Blink",W93="High Mobility",W93="Global Dive",W93="Mobility",X93="Dash/Blink",X93="High Mobility",X93="Global Dive",X93="Mobility"),$AA$1="Ranged"),$AC$1,0))</f>
        <v/>
      </c>
      <c r="AG93">
        <f>IF($A$1="",0,IF(AND(AE93="Yes",OR($K$1="Sustain",$K$1="Healing",$L$1="Sustain",$L$1="Healing")),$AD$1,0))</f>
        <v/>
      </c>
    </row>
    <row r="94" ht="15" customHeight="1">
      <c r="A94">
        <f>Heroes!$B94</f>
        <v/>
      </c>
      <c r="B94">
        <f>Heroes!$C94</f>
        <v/>
      </c>
      <c r="C94">
        <f>Heroes!$D94</f>
        <v/>
      </c>
      <c r="D94">
        <f>Heroes!$E94</f>
        <v/>
      </c>
      <c r="E94">
        <f>Heroes!$F94</f>
        <v/>
      </c>
      <c r="F94">
        <f>Heroes!$H94</f>
        <v/>
      </c>
      <c r="G94">
        <f>Heroes!$K94</f>
        <v/>
      </c>
      <c r="H94">
        <f>Heroes!$Q94</f>
        <v/>
      </c>
      <c r="I94">
        <f>IFERROR(INDEX('Data-Input'!$B$19:$G$24,MATCH(B94,'Data-Input'!$A$19:$A$24,0),MATCH($B$1,'Data-Input'!$B$18:$G$18,0)),0)</f>
        <v/>
      </c>
      <c r="J94">
        <f>IF(C94&lt;&gt;"",IFERROR(INDEX('Data-Input'!$B$19:$G$24,MATCH(C94,'Data-Input'!$A$19:$A$24,0),MATCH($B$1,'Data-Input'!$B$18:$G$18,0)),0),I94)</f>
        <v/>
      </c>
      <c r="K94">
        <f>MAX(I94,J94)</f>
        <v/>
      </c>
      <c r="L94">
        <f>((D94+E94)/2-$C$1)*$H$1</f>
        <v/>
      </c>
      <c r="M94">
        <f>F94-$D$1</f>
        <v/>
      </c>
      <c r="N94">
        <f>IF(M94&gt;20,M94*$I$1,0)</f>
        <v/>
      </c>
      <c r="O94">
        <f>IF(G94="Mixed",$Q$1,IF(G94=$E$1,$O$1,$P$1))</f>
        <v/>
      </c>
      <c r="P94">
        <f>(H94-$F$1)*$N$1</f>
        <v/>
      </c>
      <c r="Q94">
        <f>K94*$G$1+L94+N94+O94+P94+Y94+Z94+AF94+AG94</f>
        <v/>
      </c>
      <c r="R94">
        <f>IFERROR(INDEX('Data-Input'!$C$190:$C$1189,MATCH(A94&amp;"|"&amp;$A$1,'Data-Input'!$E$190:$E$1189,0)),Q94)</f>
        <v/>
      </c>
      <c r="S94">
        <f>IF(OR($A$1="",A94=$A$1),-1000000000000000,R94)</f>
        <v/>
      </c>
      <c r="T94">
        <f>S94+ROW()*0.0000001</f>
        <v/>
      </c>
      <c r="U94">
        <f>Heroes!$M94</f>
        <v/>
      </c>
      <c r="V94">
        <f>IF(OR($A$1="",A94=$A$1,U94="",U94&lt;&gt;$J$1),-1000000000000000,R94)+ROW()*0.0000001</f>
        <v/>
      </c>
      <c r="W94">
        <f>Heroes!$I94</f>
        <v/>
      </c>
      <c r="X94">
        <f>Heroes!$J94</f>
        <v/>
      </c>
      <c r="Y94">
        <f>IF($A$1="",0,MAX(IF(W94&lt;&gt;"",IFERROR(INDEX('Data-Input'!$B$164:$W$185,MATCH(W94,'Data-Input'!$A$164:$A$185,0),MATCH($K$1,'Data-Input'!$B$163:$W$163,0)),0),0),IF(AND(W94&lt;&gt;"",$L$1&lt;&gt;""),IFERROR(INDEX('Data-Input'!$B$164:$W$185,MATCH(W94,'Data-Input'!$A$164:$A$185,0),MATCH($L$1,'Data-Input'!$B$163:$W$163,0)),0),0),IF(X94&lt;&gt;"",IFERROR(INDEX('Data-Input'!$B$164:$W$185,MATCH(X94,'Data-Input'!$A$164:$A$185,0),MATCH($K$1,'Data-Input'!$B$163:$W$163,0)),0),0),IF(AND(X94&lt;&gt;"",$L$1&lt;&gt;""),IFERROR(INDEX('Data-Input'!$B$164:$W$185,MATCH(X94,'Data-Input'!$A$164:$A$185,0),MATCH($L$1,'Data-Input'!$B$163:$W$163,0)),0),0))*$M$1)</f>
        <v/>
      </c>
      <c r="Z94">
        <f>IF($A$1="",0,SUMPRODUCT(('Data-Input'!$A$29:$A$128=A94)*('Data-Input'!$B$29:$B$128="Tag")*((('Data-Input'!$C$29:$C$128=$K$1)+('Data-Input'!$C$29:$C$128=$L$1))&gt;0)*('Data-Input'!$D$29:$D$128-'Data-Input'!$E$29:$E$128))+SUMPRODUCT(('Data-Input'!$A$29:$A$128=A94)*('Data-Input'!$B$29:$B$128="Hero")*('Data-Input'!$C$29:$C$128=$A$1)*('Data-Input'!$D$29:$D$128-'Data-Input'!$E$29:$E$128))+SUMPRODUCT(('Data-Input'!$A$29:$A$128=A94)*('Data-Input'!$B$29:$B$128="Role")*((('Data-Input'!$C$29:$C$128=$B$1)+('Data-Input'!$C$29:$C$128=$AH$1))&gt;0)*('Data-Input'!$D$29:$D$128-'Data-Input'!$E$29:$E$128))+SUMPRODUCT(('Data-Input'!$A$29:$A$128=A94)*('Data-Input'!$B$29:$B$128="DamageType")*('Data-Input'!$C$29:$C$128=$E$1)*('Data-Input'!$D$29:$D$128-'Data-Input'!$E$29:$E$128))+SUMPRODUCT(('Data-Input'!$A$29:$A$128=A94)*('Data-Input'!$B$29:$B$128="Resource")*('Data-Input'!$C$29:$C$128=$AB$1)*('Data-Input'!$D$29:$D$128-'Data-Input'!$E$29:$E$128)))</f>
        <v/>
      </c>
      <c r="AE94">
        <f>Heroes!$R94</f>
        <v/>
      </c>
      <c r="AF94">
        <f>IF($A$1="",0,IF(AND(OR(W94="Dash/Blink",W94="High Mobility",W94="Global Dive",W94="Mobility",X94="Dash/Blink",X94="High Mobility",X94="Global Dive",X94="Mobility"),$AA$1="Ranged"),$AC$1,0))</f>
        <v/>
      </c>
      <c r="AG94">
        <f>IF($A$1="",0,IF(AND(AE94="Yes",OR($K$1="Sustain",$K$1="Healing",$L$1="Sustain",$L$1="Healing")),$AD$1,0))</f>
        <v/>
      </c>
    </row>
    <row r="95" ht="15" customHeight="1">
      <c r="A95">
        <f>Heroes!$B95</f>
        <v/>
      </c>
      <c r="B95">
        <f>Heroes!$C95</f>
        <v/>
      </c>
      <c r="C95">
        <f>Heroes!$D95</f>
        <v/>
      </c>
      <c r="D95">
        <f>Heroes!$E95</f>
        <v/>
      </c>
      <c r="E95">
        <f>Heroes!$F95</f>
        <v/>
      </c>
      <c r="F95">
        <f>Heroes!$H95</f>
        <v/>
      </c>
      <c r="G95">
        <f>Heroes!$K95</f>
        <v/>
      </c>
      <c r="H95">
        <f>Heroes!$Q95</f>
        <v/>
      </c>
      <c r="I95">
        <f>IFERROR(INDEX('Data-Input'!$B$19:$G$24,MATCH(B95,'Data-Input'!$A$19:$A$24,0),MATCH($B$1,'Data-Input'!$B$18:$G$18,0)),0)</f>
        <v/>
      </c>
      <c r="J95">
        <f>IF(C95&lt;&gt;"",IFERROR(INDEX('Data-Input'!$B$19:$G$24,MATCH(C95,'Data-Input'!$A$19:$A$24,0),MATCH($B$1,'Data-Input'!$B$18:$G$18,0)),0),I95)</f>
        <v/>
      </c>
      <c r="K95">
        <f>MAX(I95,J95)</f>
        <v/>
      </c>
      <c r="L95">
        <f>((D95+E95)/2-$C$1)*$H$1</f>
        <v/>
      </c>
      <c r="M95">
        <f>F95-$D$1</f>
        <v/>
      </c>
      <c r="N95">
        <f>IF(M95&gt;20,M95*$I$1,0)</f>
        <v/>
      </c>
      <c r="O95">
        <f>IF(G95="Mixed",$Q$1,IF(G95=$E$1,$O$1,$P$1))</f>
        <v/>
      </c>
      <c r="P95">
        <f>(H95-$F$1)*$N$1</f>
        <v/>
      </c>
      <c r="Q95">
        <f>K95*$G$1+L95+N95+O95+P95+Y95+Z95+AF95+AG95</f>
        <v/>
      </c>
      <c r="R95">
        <f>IFERROR(INDEX('Data-Input'!$C$190:$C$1189,MATCH(A95&amp;"|"&amp;$A$1,'Data-Input'!$E$190:$E$1189,0)),Q95)</f>
        <v/>
      </c>
      <c r="S95">
        <f>IF(OR($A$1="",A95=$A$1),-1000000000000000,R95)</f>
        <v/>
      </c>
      <c r="T95">
        <f>S95+ROW()*0.0000001</f>
        <v/>
      </c>
      <c r="U95">
        <f>Heroes!$M95</f>
        <v/>
      </c>
      <c r="V95">
        <f>IF(OR($A$1="",A95=$A$1,U95="",U95&lt;&gt;$J$1),-1000000000000000,R95)+ROW()*0.0000001</f>
        <v/>
      </c>
      <c r="W95">
        <f>Heroes!$I95</f>
        <v/>
      </c>
      <c r="X95">
        <f>Heroes!$J95</f>
        <v/>
      </c>
      <c r="Y95">
        <f>IF($A$1="",0,MAX(IF(W95&lt;&gt;"",IFERROR(INDEX('Data-Input'!$B$164:$W$185,MATCH(W95,'Data-Input'!$A$164:$A$185,0),MATCH($K$1,'Data-Input'!$B$163:$W$163,0)),0),0),IF(AND(W95&lt;&gt;"",$L$1&lt;&gt;""),IFERROR(INDEX('Data-Input'!$B$164:$W$185,MATCH(W95,'Data-Input'!$A$164:$A$185,0),MATCH($L$1,'Data-Input'!$B$163:$W$163,0)),0),0),IF(X95&lt;&gt;"",IFERROR(INDEX('Data-Input'!$B$164:$W$185,MATCH(X95,'Data-Input'!$A$164:$A$185,0),MATCH($K$1,'Data-Input'!$B$163:$W$163,0)),0),0),IF(AND(X95&lt;&gt;"",$L$1&lt;&gt;""),IFERROR(INDEX('Data-Input'!$B$164:$W$185,MATCH(X95,'Data-Input'!$A$164:$A$185,0),MATCH($L$1,'Data-Input'!$B$163:$W$163,0)),0),0))*$M$1)</f>
        <v/>
      </c>
      <c r="Z95">
        <f>IF($A$1="",0,SUMPRODUCT(('Data-Input'!$A$29:$A$128=A95)*('Data-Input'!$B$29:$B$128="Tag")*((('Data-Input'!$C$29:$C$128=$K$1)+('Data-Input'!$C$29:$C$128=$L$1))&gt;0)*('Data-Input'!$D$29:$D$128-'Data-Input'!$E$29:$E$128))+SUMPRODUCT(('Data-Input'!$A$29:$A$128=A95)*('Data-Input'!$B$29:$B$128="Hero")*('Data-Input'!$C$29:$C$128=$A$1)*('Data-Input'!$D$29:$D$128-'Data-Input'!$E$29:$E$128))+SUMPRODUCT(('Data-Input'!$A$29:$A$128=A95)*('Data-Input'!$B$29:$B$128="Role")*((('Data-Input'!$C$29:$C$128=$B$1)+('Data-Input'!$C$29:$C$128=$AH$1))&gt;0)*('Data-Input'!$D$29:$D$128-'Data-Input'!$E$29:$E$128))+SUMPRODUCT(('Data-Input'!$A$29:$A$128=A95)*('Data-Input'!$B$29:$B$128="DamageType")*('Data-Input'!$C$29:$C$128=$E$1)*('Data-Input'!$D$29:$D$128-'Data-Input'!$E$29:$E$128))+SUMPRODUCT(('Data-Input'!$A$29:$A$128=A95)*('Data-Input'!$B$29:$B$128="Resource")*('Data-Input'!$C$29:$C$128=$AB$1)*('Data-Input'!$D$29:$D$128-'Data-Input'!$E$29:$E$128)))</f>
        <v/>
      </c>
      <c r="AE95">
        <f>Heroes!$R95</f>
        <v/>
      </c>
      <c r="AF95">
        <f>IF($A$1="",0,IF(AND(OR(W95="Dash/Blink",W95="High Mobility",W95="Global Dive",W95="Mobility",X95="Dash/Blink",X95="High Mobility",X95="Global Dive",X95="Mobility"),$AA$1="Ranged"),$AC$1,0))</f>
        <v/>
      </c>
      <c r="AG95">
        <f>IF($A$1="",0,IF(AND(AE95="Yes",OR($K$1="Sustain",$K$1="Healing",$L$1="Sustain",$L$1="Healing")),$AD$1,0))</f>
        <v/>
      </c>
    </row>
    <row r="96" ht="15" customHeight="1">
      <c r="A96">
        <f>Heroes!$B96</f>
        <v/>
      </c>
      <c r="B96">
        <f>Heroes!$C96</f>
        <v/>
      </c>
      <c r="C96">
        <f>Heroes!$D96</f>
        <v/>
      </c>
      <c r="D96">
        <f>Heroes!$E96</f>
        <v/>
      </c>
      <c r="E96">
        <f>Heroes!$F96</f>
        <v/>
      </c>
      <c r="F96">
        <f>Heroes!$H96</f>
        <v/>
      </c>
      <c r="G96">
        <f>Heroes!$K96</f>
        <v/>
      </c>
      <c r="H96">
        <f>Heroes!$Q96</f>
        <v/>
      </c>
      <c r="I96">
        <f>IFERROR(INDEX('Data-Input'!$B$19:$G$24,MATCH(B96,'Data-Input'!$A$19:$A$24,0),MATCH($B$1,'Data-Input'!$B$18:$G$18,0)),0)</f>
        <v/>
      </c>
      <c r="J96">
        <f>IF(C96&lt;&gt;"",IFERROR(INDEX('Data-Input'!$B$19:$G$24,MATCH(C96,'Data-Input'!$A$19:$A$24,0),MATCH($B$1,'Data-Input'!$B$18:$G$18,0)),0),I96)</f>
        <v/>
      </c>
      <c r="K96">
        <f>MAX(I96,J96)</f>
        <v/>
      </c>
      <c r="L96">
        <f>((D96+E96)/2-$C$1)*$H$1</f>
        <v/>
      </c>
      <c r="M96">
        <f>F96-$D$1</f>
        <v/>
      </c>
      <c r="N96">
        <f>IF(M96&gt;20,M96*$I$1,0)</f>
        <v/>
      </c>
      <c r="O96">
        <f>IF(G96="Mixed",$Q$1,IF(G96=$E$1,$O$1,$P$1))</f>
        <v/>
      </c>
      <c r="P96">
        <f>(H96-$F$1)*$N$1</f>
        <v/>
      </c>
      <c r="Q96">
        <f>K96*$G$1+L96+N96+O96+P96+Y96+Z96+AF96+AG96</f>
        <v/>
      </c>
      <c r="R96">
        <f>IFERROR(INDEX('Data-Input'!$C$190:$C$1189,MATCH(A96&amp;"|"&amp;$A$1,'Data-Input'!$E$190:$E$1189,0)),Q96)</f>
        <v/>
      </c>
      <c r="S96">
        <f>IF(OR($A$1="",A96=$A$1),-1000000000000000,R96)</f>
        <v/>
      </c>
      <c r="T96">
        <f>S96+ROW()*0.0000001</f>
        <v/>
      </c>
      <c r="U96">
        <f>Heroes!$M96</f>
        <v/>
      </c>
      <c r="V96">
        <f>IF(OR($A$1="",A96=$A$1,U96="",U96&lt;&gt;$J$1),-1000000000000000,R96)+ROW()*0.0000001</f>
        <v/>
      </c>
      <c r="W96">
        <f>Heroes!$I96</f>
        <v/>
      </c>
      <c r="X96">
        <f>Heroes!$J96</f>
        <v/>
      </c>
      <c r="Y96">
        <f>IF($A$1="",0,MAX(IF(W96&lt;&gt;"",IFERROR(INDEX('Data-Input'!$B$164:$W$185,MATCH(W96,'Data-Input'!$A$164:$A$185,0),MATCH($K$1,'Data-Input'!$B$163:$W$163,0)),0),0),IF(AND(W96&lt;&gt;"",$L$1&lt;&gt;""),IFERROR(INDEX('Data-Input'!$B$164:$W$185,MATCH(W96,'Data-Input'!$A$164:$A$185,0),MATCH($L$1,'Data-Input'!$B$163:$W$163,0)),0),0),IF(X96&lt;&gt;"",IFERROR(INDEX('Data-Input'!$B$164:$W$185,MATCH(X96,'Data-Input'!$A$164:$A$185,0),MATCH($K$1,'Data-Input'!$B$163:$W$163,0)),0),0),IF(AND(X96&lt;&gt;"",$L$1&lt;&gt;""),IFERROR(INDEX('Data-Input'!$B$164:$W$185,MATCH(X96,'Data-Input'!$A$164:$A$185,0),MATCH($L$1,'Data-Input'!$B$163:$W$163,0)),0),0))*$M$1)</f>
        <v/>
      </c>
      <c r="Z96">
        <f>IF($A$1="",0,SUMPRODUCT(('Data-Input'!$A$29:$A$128=A96)*('Data-Input'!$B$29:$B$128="Tag")*((('Data-Input'!$C$29:$C$128=$K$1)+('Data-Input'!$C$29:$C$128=$L$1))&gt;0)*('Data-Input'!$D$29:$D$128-'Data-Input'!$E$29:$E$128))+SUMPRODUCT(('Data-Input'!$A$29:$A$128=A96)*('Data-Input'!$B$29:$B$128="Hero")*('Data-Input'!$C$29:$C$128=$A$1)*('Data-Input'!$D$29:$D$128-'Data-Input'!$E$29:$E$128))+SUMPRODUCT(('Data-Input'!$A$29:$A$128=A96)*('Data-Input'!$B$29:$B$128="Role")*((('Data-Input'!$C$29:$C$128=$B$1)+('Data-Input'!$C$29:$C$128=$AH$1))&gt;0)*('Data-Input'!$D$29:$D$128-'Data-Input'!$E$29:$E$128))+SUMPRODUCT(('Data-Input'!$A$29:$A$128=A96)*('Data-Input'!$B$29:$B$128="DamageType")*('Data-Input'!$C$29:$C$128=$E$1)*('Data-Input'!$D$29:$D$128-'Data-Input'!$E$29:$E$128))+SUMPRODUCT(('Data-Input'!$A$29:$A$128=A96)*('Data-Input'!$B$29:$B$128="Resource")*('Data-Input'!$C$29:$C$128=$AB$1)*('Data-Input'!$D$29:$D$128-'Data-Input'!$E$29:$E$128)))</f>
        <v/>
      </c>
      <c r="AE96">
        <f>Heroes!$R96</f>
        <v/>
      </c>
      <c r="AF96">
        <f>IF($A$1="",0,IF(AND(OR(W96="Dash/Blink",W96="High Mobility",W96="Global Dive",W96="Mobility",X96="Dash/Blink",X96="High Mobility",X96="Global Dive",X96="Mobility"),$AA$1="Ranged"),$AC$1,0))</f>
        <v/>
      </c>
      <c r="AG96">
        <f>IF($A$1="",0,IF(AND(AE96="Yes",OR($K$1="Sustain",$K$1="Healing",$L$1="Sustain",$L$1="Healing")),$AD$1,0))</f>
        <v/>
      </c>
    </row>
    <row r="97" ht="15" customHeight="1">
      <c r="A97">
        <f>Heroes!$B97</f>
        <v/>
      </c>
      <c r="B97">
        <f>Heroes!$C97</f>
        <v/>
      </c>
      <c r="C97">
        <f>Heroes!$D97</f>
        <v/>
      </c>
      <c r="D97">
        <f>Heroes!$E97</f>
        <v/>
      </c>
      <c r="E97">
        <f>Heroes!$F97</f>
        <v/>
      </c>
      <c r="F97">
        <f>Heroes!$H97</f>
        <v/>
      </c>
      <c r="G97">
        <f>Heroes!$K97</f>
        <v/>
      </c>
      <c r="H97">
        <f>Heroes!$Q97</f>
        <v/>
      </c>
      <c r="I97">
        <f>IFERROR(INDEX('Data-Input'!$B$19:$G$24,MATCH(B97,'Data-Input'!$A$19:$A$24,0),MATCH($B$1,'Data-Input'!$B$18:$G$18,0)),0)</f>
        <v/>
      </c>
      <c r="J97">
        <f>IF(C97&lt;&gt;"",IFERROR(INDEX('Data-Input'!$B$19:$G$24,MATCH(C97,'Data-Input'!$A$19:$A$24,0),MATCH($B$1,'Data-Input'!$B$18:$G$18,0)),0),I97)</f>
        <v/>
      </c>
      <c r="K97">
        <f>MAX(I97,J97)</f>
        <v/>
      </c>
      <c r="L97">
        <f>((D97+E97)/2-$C$1)*$H$1</f>
        <v/>
      </c>
      <c r="M97">
        <f>F97-$D$1</f>
        <v/>
      </c>
      <c r="N97">
        <f>IF(M97&gt;20,M97*$I$1,0)</f>
        <v/>
      </c>
      <c r="O97">
        <f>IF(G97="Mixed",$Q$1,IF(G97=$E$1,$O$1,$P$1))</f>
        <v/>
      </c>
      <c r="P97">
        <f>(H97-$F$1)*$N$1</f>
        <v/>
      </c>
      <c r="Q97">
        <f>K97*$G$1+L97+N97+O97+P97+Y97+Z97+AF97+AG97</f>
        <v/>
      </c>
      <c r="R97">
        <f>IFERROR(INDEX('Data-Input'!$C$190:$C$1189,MATCH(A97&amp;"|"&amp;$A$1,'Data-Input'!$E$190:$E$1189,0)),Q97)</f>
        <v/>
      </c>
      <c r="S97">
        <f>IF(OR($A$1="",A97=$A$1),-1000000000000000,R97)</f>
        <v/>
      </c>
      <c r="T97">
        <f>S97+ROW()*0.0000001</f>
        <v/>
      </c>
      <c r="U97">
        <f>Heroes!$M97</f>
        <v/>
      </c>
      <c r="V97">
        <f>IF(OR($A$1="",A97=$A$1,U97="",U97&lt;&gt;$J$1),-1000000000000000,R97)+ROW()*0.0000001</f>
        <v/>
      </c>
      <c r="W97">
        <f>Heroes!$I97</f>
        <v/>
      </c>
      <c r="X97">
        <f>Heroes!$J97</f>
        <v/>
      </c>
      <c r="Y97">
        <f>IF($A$1="",0,MAX(IF(W97&lt;&gt;"",IFERROR(INDEX('Data-Input'!$B$164:$W$185,MATCH(W97,'Data-Input'!$A$164:$A$185,0),MATCH($K$1,'Data-Input'!$B$163:$W$163,0)),0),0),IF(AND(W97&lt;&gt;"",$L$1&lt;&gt;""),IFERROR(INDEX('Data-Input'!$B$164:$W$185,MATCH(W97,'Data-Input'!$A$164:$A$185,0),MATCH($L$1,'Data-Input'!$B$163:$W$163,0)),0),0),IF(X97&lt;&gt;"",IFERROR(INDEX('Data-Input'!$B$164:$W$185,MATCH(X97,'Data-Input'!$A$164:$A$185,0),MATCH($K$1,'Data-Input'!$B$163:$W$163,0)),0),0),IF(AND(X97&lt;&gt;"",$L$1&lt;&gt;""),IFERROR(INDEX('Data-Input'!$B$164:$W$185,MATCH(X97,'Data-Input'!$A$164:$A$185,0),MATCH($L$1,'Data-Input'!$B$163:$W$163,0)),0),0))*$M$1)</f>
        <v/>
      </c>
      <c r="Z97">
        <f>IF($A$1="",0,SUMPRODUCT(('Data-Input'!$A$29:$A$128=A97)*('Data-Input'!$B$29:$B$128="Tag")*((('Data-Input'!$C$29:$C$128=$K$1)+('Data-Input'!$C$29:$C$128=$L$1))&gt;0)*('Data-Input'!$D$29:$D$128-'Data-Input'!$E$29:$E$128))+SUMPRODUCT(('Data-Input'!$A$29:$A$128=A97)*('Data-Input'!$B$29:$B$128="Hero")*('Data-Input'!$C$29:$C$128=$A$1)*('Data-Input'!$D$29:$D$128-'Data-Input'!$E$29:$E$128))+SUMPRODUCT(('Data-Input'!$A$29:$A$128=A97)*('Data-Input'!$B$29:$B$128="Role")*((('Data-Input'!$C$29:$C$128=$B$1)+('Data-Input'!$C$29:$C$128=$AH$1))&gt;0)*('Data-Input'!$D$29:$D$128-'Data-Input'!$E$29:$E$128))+SUMPRODUCT(('Data-Input'!$A$29:$A$128=A97)*('Data-Input'!$B$29:$B$128="DamageType")*('Data-Input'!$C$29:$C$128=$E$1)*('Data-Input'!$D$29:$D$128-'Data-Input'!$E$29:$E$128))+SUMPRODUCT(('Data-Input'!$A$29:$A$128=A97)*('Data-Input'!$B$29:$B$128="Resource")*('Data-Input'!$C$29:$C$128=$AB$1)*('Data-Input'!$D$29:$D$128-'Data-Input'!$E$29:$E$128)))</f>
        <v/>
      </c>
      <c r="AE97">
        <f>Heroes!$R97</f>
        <v/>
      </c>
      <c r="AF97">
        <f>IF($A$1="",0,IF(AND(OR(W97="Dash/Blink",W97="High Mobility",W97="Global Dive",W97="Mobility",X97="Dash/Blink",X97="High Mobility",X97="Global Dive",X97="Mobility"),$AA$1="Ranged"),$AC$1,0))</f>
        <v/>
      </c>
      <c r="AG97">
        <f>IF($A$1="",0,IF(AND(AE97="Yes",OR($K$1="Sustain",$K$1="Healing",$L$1="Sustain",$L$1="Healing")),$AD$1,0))</f>
        <v/>
      </c>
    </row>
    <row r="98" ht="15" customHeight="1">
      <c r="A98">
        <f>Heroes!$B98</f>
        <v/>
      </c>
      <c r="B98">
        <f>Heroes!$C98</f>
        <v/>
      </c>
      <c r="C98">
        <f>Heroes!$D98</f>
        <v/>
      </c>
      <c r="D98">
        <f>Heroes!$E98</f>
        <v/>
      </c>
      <c r="E98">
        <f>Heroes!$F98</f>
        <v/>
      </c>
      <c r="F98">
        <f>Heroes!$H98</f>
        <v/>
      </c>
      <c r="G98">
        <f>Heroes!$K98</f>
        <v/>
      </c>
      <c r="H98">
        <f>Heroes!$Q98</f>
        <v/>
      </c>
      <c r="I98">
        <f>IFERROR(INDEX('Data-Input'!$B$19:$G$24,MATCH(B98,'Data-Input'!$A$19:$A$24,0),MATCH($B$1,'Data-Input'!$B$18:$G$18,0)),0)</f>
        <v/>
      </c>
      <c r="J98">
        <f>IF(C98&lt;&gt;"",IFERROR(INDEX('Data-Input'!$B$19:$G$24,MATCH(C98,'Data-Input'!$A$19:$A$24,0),MATCH($B$1,'Data-Input'!$B$18:$G$18,0)),0),I98)</f>
        <v/>
      </c>
      <c r="K98">
        <f>MAX(I98,J98)</f>
        <v/>
      </c>
      <c r="L98">
        <f>((D98+E98)/2-$C$1)*$H$1</f>
        <v/>
      </c>
      <c r="M98">
        <f>F98-$D$1</f>
        <v/>
      </c>
      <c r="N98">
        <f>IF(M98&gt;20,M98*$I$1,0)</f>
        <v/>
      </c>
      <c r="O98">
        <f>IF(G98="Mixed",$Q$1,IF(G98=$E$1,$O$1,$P$1))</f>
        <v/>
      </c>
      <c r="P98">
        <f>(H98-$F$1)*$N$1</f>
        <v/>
      </c>
      <c r="Q98">
        <f>K98*$G$1+L98+N98+O98+P98+Y98+Z98+AF98+AG98</f>
        <v/>
      </c>
      <c r="R98">
        <f>IFERROR(INDEX('Data-Input'!$C$190:$C$1189,MATCH(A98&amp;"|"&amp;$A$1,'Data-Input'!$E$190:$E$1189,0)),Q98)</f>
        <v/>
      </c>
      <c r="S98">
        <f>IF(OR($A$1="",A98=$A$1),-1000000000000000,R98)</f>
        <v/>
      </c>
      <c r="T98">
        <f>S98+ROW()*0.0000001</f>
        <v/>
      </c>
      <c r="U98">
        <f>Heroes!$M98</f>
        <v/>
      </c>
      <c r="V98">
        <f>IF(OR($A$1="",A98=$A$1,U98="",U98&lt;&gt;$J$1),-1000000000000000,R98)+ROW()*0.0000001</f>
        <v/>
      </c>
      <c r="W98">
        <f>Heroes!$I98</f>
        <v/>
      </c>
      <c r="X98">
        <f>Heroes!$J98</f>
        <v/>
      </c>
      <c r="Y98">
        <f>IF($A$1="",0,MAX(IF(W98&lt;&gt;"",IFERROR(INDEX('Data-Input'!$B$164:$W$185,MATCH(W98,'Data-Input'!$A$164:$A$185,0),MATCH($K$1,'Data-Input'!$B$163:$W$163,0)),0),0),IF(AND(W98&lt;&gt;"",$L$1&lt;&gt;""),IFERROR(INDEX('Data-Input'!$B$164:$W$185,MATCH(W98,'Data-Input'!$A$164:$A$185,0),MATCH($L$1,'Data-Input'!$B$163:$W$163,0)),0),0),IF(X98&lt;&gt;"",IFERROR(INDEX('Data-Input'!$B$164:$W$185,MATCH(X98,'Data-Input'!$A$164:$A$185,0),MATCH($K$1,'Data-Input'!$B$163:$W$163,0)),0),0),IF(AND(X98&lt;&gt;"",$L$1&lt;&gt;""),IFERROR(INDEX('Data-Input'!$B$164:$W$185,MATCH(X98,'Data-Input'!$A$164:$A$185,0),MATCH($L$1,'Data-Input'!$B$163:$W$163,0)),0),0))*$M$1)</f>
        <v/>
      </c>
      <c r="Z98">
        <f>IF($A$1="",0,SUMPRODUCT(('Data-Input'!$A$29:$A$128=A98)*('Data-Input'!$B$29:$B$128="Tag")*((('Data-Input'!$C$29:$C$128=$K$1)+('Data-Input'!$C$29:$C$128=$L$1))&gt;0)*('Data-Input'!$D$29:$D$128-'Data-Input'!$E$29:$E$128))+SUMPRODUCT(('Data-Input'!$A$29:$A$128=A98)*('Data-Input'!$B$29:$B$128="Hero")*('Data-Input'!$C$29:$C$128=$A$1)*('Data-Input'!$D$29:$D$128-'Data-Input'!$E$29:$E$128))+SUMPRODUCT(('Data-Input'!$A$29:$A$128=A98)*('Data-Input'!$B$29:$B$128="Role")*((('Data-Input'!$C$29:$C$128=$B$1)+('Data-Input'!$C$29:$C$128=$AH$1))&gt;0)*('Data-Input'!$D$29:$D$128-'Data-Input'!$E$29:$E$128))+SUMPRODUCT(('Data-Input'!$A$29:$A$128=A98)*('Data-Input'!$B$29:$B$128="DamageType")*('Data-Input'!$C$29:$C$128=$E$1)*('Data-Input'!$D$29:$D$128-'Data-Input'!$E$29:$E$128))+SUMPRODUCT(('Data-Input'!$A$29:$A$128=A98)*('Data-Input'!$B$29:$B$128="Resource")*('Data-Input'!$C$29:$C$128=$AB$1)*('Data-Input'!$D$29:$D$128-'Data-Input'!$E$29:$E$128)))</f>
        <v/>
      </c>
      <c r="AE98">
        <f>Heroes!$R98</f>
        <v/>
      </c>
      <c r="AF98">
        <f>IF($A$1="",0,IF(AND(OR(W98="Dash/Blink",W98="High Mobility",W98="Global Dive",W98="Mobility",X98="Dash/Blink",X98="High Mobility",X98="Global Dive",X98="Mobility"),$AA$1="Ranged"),$AC$1,0))</f>
        <v/>
      </c>
      <c r="AG98">
        <f>IF($A$1="",0,IF(AND(AE98="Yes",OR($K$1="Sustain",$K$1="Healing",$L$1="Sustain",$L$1="Healing")),$AD$1,0))</f>
        <v/>
      </c>
    </row>
    <row r="99" ht="15" customHeight="1">
      <c r="A99">
        <f>Heroes!$B99</f>
        <v/>
      </c>
      <c r="B99">
        <f>Heroes!$C99</f>
        <v/>
      </c>
      <c r="C99">
        <f>Heroes!$D99</f>
        <v/>
      </c>
      <c r="D99">
        <f>Heroes!$E99</f>
        <v/>
      </c>
      <c r="E99">
        <f>Heroes!$F99</f>
        <v/>
      </c>
      <c r="F99">
        <f>Heroes!$H99</f>
        <v/>
      </c>
      <c r="G99">
        <f>Heroes!$K99</f>
        <v/>
      </c>
      <c r="H99">
        <f>Heroes!$Q99</f>
        <v/>
      </c>
      <c r="I99">
        <f>IFERROR(INDEX('Data-Input'!$B$19:$G$24,MATCH(B99,'Data-Input'!$A$19:$A$24,0),MATCH($B$1,'Data-Input'!$B$18:$G$18,0)),0)</f>
        <v/>
      </c>
      <c r="J99">
        <f>IF(C99&lt;&gt;"",IFERROR(INDEX('Data-Input'!$B$19:$G$24,MATCH(C99,'Data-Input'!$A$19:$A$24,0),MATCH($B$1,'Data-Input'!$B$18:$G$18,0)),0),I99)</f>
        <v/>
      </c>
      <c r="K99">
        <f>MAX(I99,J99)</f>
        <v/>
      </c>
      <c r="L99">
        <f>((D99+E99)/2-$C$1)*$H$1</f>
        <v/>
      </c>
      <c r="M99">
        <f>F99-$D$1</f>
        <v/>
      </c>
      <c r="N99">
        <f>IF(M99&gt;20,M99*$I$1,0)</f>
        <v/>
      </c>
      <c r="O99">
        <f>IF(G99="Mixed",$Q$1,IF(G99=$E$1,$O$1,$P$1))</f>
        <v/>
      </c>
      <c r="P99">
        <f>(H99-$F$1)*$N$1</f>
        <v/>
      </c>
      <c r="Q99">
        <f>K99*$G$1+L99+N99+O99+P99+Y99+Z99+AF99+AG99</f>
        <v/>
      </c>
      <c r="R99">
        <f>IFERROR(INDEX('Data-Input'!$C$190:$C$1189,MATCH(A99&amp;"|"&amp;$A$1,'Data-Input'!$E$190:$E$1189,0)),Q99)</f>
        <v/>
      </c>
      <c r="S99">
        <f>IF(OR($A$1="",A99=$A$1),-1000000000000000,R99)</f>
        <v/>
      </c>
      <c r="T99">
        <f>S99+ROW()*0.0000001</f>
        <v/>
      </c>
      <c r="U99">
        <f>Heroes!$M99</f>
        <v/>
      </c>
      <c r="V99">
        <f>IF(OR($A$1="",A99=$A$1,U99="",U99&lt;&gt;$J$1),-1000000000000000,R99)+ROW()*0.0000001</f>
        <v/>
      </c>
      <c r="W99">
        <f>Heroes!$I99</f>
        <v/>
      </c>
      <c r="X99">
        <f>Heroes!$J99</f>
        <v/>
      </c>
      <c r="Y99">
        <f>IF($A$1="",0,MAX(IF(W99&lt;&gt;"",IFERROR(INDEX('Data-Input'!$B$164:$W$185,MATCH(W99,'Data-Input'!$A$164:$A$185,0),MATCH($K$1,'Data-Input'!$B$163:$W$163,0)),0),0),IF(AND(W99&lt;&gt;"",$L$1&lt;&gt;""),IFERROR(INDEX('Data-Input'!$B$164:$W$185,MATCH(W99,'Data-Input'!$A$164:$A$185,0),MATCH($L$1,'Data-Input'!$B$163:$W$163,0)),0),0),IF(X99&lt;&gt;"",IFERROR(INDEX('Data-Input'!$B$164:$W$185,MATCH(X99,'Data-Input'!$A$164:$A$185,0),MATCH($K$1,'Data-Input'!$B$163:$W$163,0)),0),0),IF(AND(X99&lt;&gt;"",$L$1&lt;&gt;""),IFERROR(INDEX('Data-Input'!$B$164:$W$185,MATCH(X99,'Data-Input'!$A$164:$A$185,0),MATCH($L$1,'Data-Input'!$B$163:$W$163,0)),0),0))*$M$1)</f>
        <v/>
      </c>
      <c r="Z99">
        <f>IF($A$1="",0,SUMPRODUCT(('Data-Input'!$A$29:$A$128=A99)*('Data-Input'!$B$29:$B$128="Tag")*((('Data-Input'!$C$29:$C$128=$K$1)+('Data-Input'!$C$29:$C$128=$L$1))&gt;0)*('Data-Input'!$D$29:$D$128-'Data-Input'!$E$29:$E$128))+SUMPRODUCT(('Data-Input'!$A$29:$A$128=A99)*('Data-Input'!$B$29:$B$128="Hero")*('Data-Input'!$C$29:$C$128=$A$1)*('Data-Input'!$D$29:$D$128-'Data-Input'!$E$29:$E$128))+SUMPRODUCT(('Data-Input'!$A$29:$A$128=A99)*('Data-Input'!$B$29:$B$128="Role")*((('Data-Input'!$C$29:$C$128=$B$1)+('Data-Input'!$C$29:$C$128=$AH$1))&gt;0)*('Data-Input'!$D$29:$D$128-'Data-Input'!$E$29:$E$128))+SUMPRODUCT(('Data-Input'!$A$29:$A$128=A99)*('Data-Input'!$B$29:$B$128="DamageType")*('Data-Input'!$C$29:$C$128=$E$1)*('Data-Input'!$D$29:$D$128-'Data-Input'!$E$29:$E$128))+SUMPRODUCT(('Data-Input'!$A$29:$A$128=A99)*('Data-Input'!$B$29:$B$128="Resource")*('Data-Input'!$C$29:$C$128=$AB$1)*('Data-Input'!$D$29:$D$128-'Data-Input'!$E$29:$E$128)))</f>
        <v/>
      </c>
      <c r="AE99">
        <f>Heroes!$R99</f>
        <v/>
      </c>
      <c r="AF99">
        <f>IF($A$1="",0,IF(AND(OR(W99="Dash/Blink",W99="High Mobility",W99="Global Dive",W99="Mobility",X99="Dash/Blink",X99="High Mobility",X99="Global Dive",X99="Mobility"),$AA$1="Ranged"),$AC$1,0))</f>
        <v/>
      </c>
      <c r="AG99">
        <f>IF($A$1="",0,IF(AND(AE99="Yes",OR($K$1="Sustain",$K$1="Healing",$L$1="Sustain",$L$1="Healing")),$AD$1,0))</f>
        <v/>
      </c>
    </row>
    <row r="100" ht="15" customHeight="1">
      <c r="A100">
        <f>Heroes!$B100</f>
        <v/>
      </c>
      <c r="B100">
        <f>Heroes!$C100</f>
        <v/>
      </c>
      <c r="C100">
        <f>Heroes!$D100</f>
        <v/>
      </c>
      <c r="D100">
        <f>Heroes!$E100</f>
        <v/>
      </c>
      <c r="E100">
        <f>Heroes!$F100</f>
        <v/>
      </c>
      <c r="F100">
        <f>Heroes!$H100</f>
        <v/>
      </c>
      <c r="G100">
        <f>Heroes!$K100</f>
        <v/>
      </c>
      <c r="H100">
        <f>Heroes!$Q100</f>
        <v/>
      </c>
      <c r="I100">
        <f>IFERROR(INDEX('Data-Input'!$B$19:$G$24,MATCH(B100,'Data-Input'!$A$19:$A$24,0),MATCH($B$1,'Data-Input'!$B$18:$G$18,0)),0)</f>
        <v/>
      </c>
      <c r="J100">
        <f>IF(C100&lt;&gt;"",IFERROR(INDEX('Data-Input'!$B$19:$G$24,MATCH(C100,'Data-Input'!$A$19:$A$24,0),MATCH($B$1,'Data-Input'!$B$18:$G$18,0)),0),I100)</f>
        <v/>
      </c>
      <c r="K100">
        <f>MAX(I100,J100)</f>
        <v/>
      </c>
      <c r="L100">
        <f>((D100+E100)/2-$C$1)*$H$1</f>
        <v/>
      </c>
      <c r="M100">
        <f>F100-$D$1</f>
        <v/>
      </c>
      <c r="N100">
        <f>IF(M100&gt;20,M100*$I$1,0)</f>
        <v/>
      </c>
      <c r="O100">
        <f>IF(G100="Mixed",$Q$1,IF(G100=$E$1,$O$1,$P$1))</f>
        <v/>
      </c>
      <c r="P100">
        <f>(H100-$F$1)*$N$1</f>
        <v/>
      </c>
      <c r="Q100">
        <f>K100*$G$1+L100+N100+O100+P100+Y100+Z100+AF100+AG100</f>
        <v/>
      </c>
      <c r="R100">
        <f>IFERROR(INDEX('Data-Input'!$C$190:$C$1189,MATCH(A100&amp;"|"&amp;$A$1,'Data-Input'!$E$190:$E$1189,0)),Q100)</f>
        <v/>
      </c>
      <c r="S100">
        <f>IF(OR($A$1="",A100=$A$1),-1000000000000000,R100)</f>
        <v/>
      </c>
      <c r="T100">
        <f>S100+ROW()*0.0000001</f>
        <v/>
      </c>
      <c r="U100">
        <f>Heroes!$M100</f>
        <v/>
      </c>
      <c r="V100">
        <f>IF(OR($A$1="",A100=$A$1,U100="",U100&lt;&gt;$J$1),-1000000000000000,R100)+ROW()*0.0000001</f>
        <v/>
      </c>
      <c r="W100">
        <f>Heroes!$I100</f>
        <v/>
      </c>
      <c r="X100">
        <f>Heroes!$J100</f>
        <v/>
      </c>
      <c r="Y100">
        <f>IF($A$1="",0,MAX(IF(W100&lt;&gt;"",IFERROR(INDEX('Data-Input'!$B$164:$W$185,MATCH(W100,'Data-Input'!$A$164:$A$185,0),MATCH($K$1,'Data-Input'!$B$163:$W$163,0)),0),0),IF(AND(W100&lt;&gt;"",$L$1&lt;&gt;""),IFERROR(INDEX('Data-Input'!$B$164:$W$185,MATCH(W100,'Data-Input'!$A$164:$A$185,0),MATCH($L$1,'Data-Input'!$B$163:$W$163,0)),0),0),IF(X100&lt;&gt;"",IFERROR(INDEX('Data-Input'!$B$164:$W$185,MATCH(X100,'Data-Input'!$A$164:$A$185,0),MATCH($K$1,'Data-Input'!$B$163:$W$163,0)),0),0),IF(AND(X100&lt;&gt;"",$L$1&lt;&gt;""),IFERROR(INDEX('Data-Input'!$B$164:$W$185,MATCH(X100,'Data-Input'!$A$164:$A$185,0),MATCH($L$1,'Data-Input'!$B$163:$W$163,0)),0),0))*$M$1)</f>
        <v/>
      </c>
      <c r="Z100">
        <f>IF($A$1="",0,SUMPRODUCT(('Data-Input'!$A$29:$A$128=A100)*('Data-Input'!$B$29:$B$128="Tag")*((('Data-Input'!$C$29:$C$128=$K$1)+('Data-Input'!$C$29:$C$128=$L$1))&gt;0)*('Data-Input'!$D$29:$D$128-'Data-Input'!$E$29:$E$128))+SUMPRODUCT(('Data-Input'!$A$29:$A$128=A100)*('Data-Input'!$B$29:$B$128="Hero")*('Data-Input'!$C$29:$C$128=$A$1)*('Data-Input'!$D$29:$D$128-'Data-Input'!$E$29:$E$128))+SUMPRODUCT(('Data-Input'!$A$29:$A$128=A100)*('Data-Input'!$B$29:$B$128="Role")*((('Data-Input'!$C$29:$C$128=$B$1)+('Data-Input'!$C$29:$C$128=$AH$1))&gt;0)*('Data-Input'!$D$29:$D$128-'Data-Input'!$E$29:$E$128))+SUMPRODUCT(('Data-Input'!$A$29:$A$128=A100)*('Data-Input'!$B$29:$B$128="DamageType")*('Data-Input'!$C$29:$C$128=$E$1)*('Data-Input'!$D$29:$D$128-'Data-Input'!$E$29:$E$128))+SUMPRODUCT(('Data-Input'!$A$29:$A$128=A100)*('Data-Input'!$B$29:$B$128="Resource")*('Data-Input'!$C$29:$C$128=$AB$1)*('Data-Input'!$D$29:$D$128-'Data-Input'!$E$29:$E$128)))</f>
        <v/>
      </c>
      <c r="AE100">
        <f>Heroes!$R100</f>
        <v/>
      </c>
      <c r="AF100">
        <f>IF($A$1="",0,IF(AND(OR(W100="Dash/Blink",W100="High Mobility",W100="Global Dive",W100="Mobility",X100="Dash/Blink",X100="High Mobility",X100="Global Dive",X100="Mobility"),$AA$1="Ranged"),$AC$1,0))</f>
        <v/>
      </c>
      <c r="AG100">
        <f>IF($A$1="",0,IF(AND(AE100="Yes",OR($K$1="Sustain",$K$1="Healing",$L$1="Sustain",$L$1="Healing")),$AD$1,0))</f>
        <v/>
      </c>
    </row>
    <row r="101" ht="15" customHeight="1">
      <c r="A101">
        <f>Heroes!$B101</f>
        <v/>
      </c>
      <c r="B101">
        <f>Heroes!$C101</f>
        <v/>
      </c>
      <c r="C101">
        <f>Heroes!$D101</f>
        <v/>
      </c>
      <c r="D101">
        <f>Heroes!$E101</f>
        <v/>
      </c>
      <c r="E101">
        <f>Heroes!$F101</f>
        <v/>
      </c>
      <c r="F101">
        <f>Heroes!$H101</f>
        <v/>
      </c>
      <c r="G101">
        <f>Heroes!$K101</f>
        <v/>
      </c>
      <c r="H101">
        <f>Heroes!$Q101</f>
        <v/>
      </c>
      <c r="I101">
        <f>IFERROR(INDEX('Data-Input'!$B$19:$G$24,MATCH(B101,'Data-Input'!$A$19:$A$24,0),MATCH($B$1,'Data-Input'!$B$18:$G$18,0)),0)</f>
        <v/>
      </c>
      <c r="J101">
        <f>IF(C101&lt;&gt;"",IFERROR(INDEX('Data-Input'!$B$19:$G$24,MATCH(C101,'Data-Input'!$A$19:$A$24,0),MATCH($B$1,'Data-Input'!$B$18:$G$18,0)),0),I101)</f>
        <v/>
      </c>
      <c r="K101">
        <f>MAX(I101,J101)</f>
        <v/>
      </c>
      <c r="L101">
        <f>((D101+E101)/2-$C$1)*$H$1</f>
        <v/>
      </c>
      <c r="M101">
        <f>F101-$D$1</f>
        <v/>
      </c>
      <c r="N101">
        <f>IF(M101&gt;20,M101*$I$1,0)</f>
        <v/>
      </c>
      <c r="O101">
        <f>IF(G101="Mixed",$Q$1,IF(G101=$E$1,$O$1,$P$1))</f>
        <v/>
      </c>
      <c r="P101">
        <f>(H101-$F$1)*$N$1</f>
        <v/>
      </c>
      <c r="Q101">
        <f>K101*$G$1+L101+N101+O101+P101+Y101+Z101+AF101+AG101</f>
        <v/>
      </c>
      <c r="R101">
        <f>IFERROR(INDEX('Data-Input'!$C$190:$C$1189,MATCH(A101&amp;"|"&amp;$A$1,'Data-Input'!$E$190:$E$1189,0)),Q101)</f>
        <v/>
      </c>
      <c r="S101">
        <f>IF(OR($A$1="",A101=$A$1),-1000000000000000,R101)</f>
        <v/>
      </c>
      <c r="T101">
        <f>S101+ROW()*0.0000001</f>
        <v/>
      </c>
      <c r="U101">
        <f>Heroes!$M101</f>
        <v/>
      </c>
      <c r="V101">
        <f>IF(OR($A$1="",A101=$A$1,U101="",U101&lt;&gt;$J$1),-1000000000000000,R101)+ROW()*0.0000001</f>
        <v/>
      </c>
      <c r="W101">
        <f>Heroes!$I101</f>
        <v/>
      </c>
      <c r="X101">
        <f>Heroes!$J101</f>
        <v/>
      </c>
      <c r="Y101">
        <f>IF($A$1="",0,MAX(IF(W101&lt;&gt;"",IFERROR(INDEX('Data-Input'!$B$164:$W$185,MATCH(W101,'Data-Input'!$A$164:$A$185,0),MATCH($K$1,'Data-Input'!$B$163:$W$163,0)),0),0),IF(AND(W101&lt;&gt;"",$L$1&lt;&gt;""),IFERROR(INDEX('Data-Input'!$B$164:$W$185,MATCH(W101,'Data-Input'!$A$164:$A$185,0),MATCH($L$1,'Data-Input'!$B$163:$W$163,0)),0),0),IF(X101&lt;&gt;"",IFERROR(INDEX('Data-Input'!$B$164:$W$185,MATCH(X101,'Data-Input'!$A$164:$A$185,0),MATCH($K$1,'Data-Input'!$B$163:$W$163,0)),0),0),IF(AND(X101&lt;&gt;"",$L$1&lt;&gt;""),IFERROR(INDEX('Data-Input'!$B$164:$W$185,MATCH(X101,'Data-Input'!$A$164:$A$185,0),MATCH($L$1,'Data-Input'!$B$163:$W$163,0)),0),0))*$M$1)</f>
        <v/>
      </c>
      <c r="Z101">
        <f>IF($A$1="",0,SUMPRODUCT(('Data-Input'!$A$29:$A$128=A101)*('Data-Input'!$B$29:$B$128="Tag")*((('Data-Input'!$C$29:$C$128=$K$1)+('Data-Input'!$C$29:$C$128=$L$1))&gt;0)*('Data-Input'!$D$29:$D$128-'Data-Input'!$E$29:$E$128))+SUMPRODUCT(('Data-Input'!$A$29:$A$128=A101)*('Data-Input'!$B$29:$B$128="Hero")*('Data-Input'!$C$29:$C$128=$A$1)*('Data-Input'!$D$29:$D$128-'Data-Input'!$E$29:$E$128))+SUMPRODUCT(('Data-Input'!$A$29:$A$128=A101)*('Data-Input'!$B$29:$B$128="Role")*((('Data-Input'!$C$29:$C$128=$B$1)+('Data-Input'!$C$29:$C$128=$AH$1))&gt;0)*('Data-Input'!$D$29:$D$128-'Data-Input'!$E$29:$E$128))+SUMPRODUCT(('Data-Input'!$A$29:$A$128=A101)*('Data-Input'!$B$29:$B$128="DamageType")*('Data-Input'!$C$29:$C$128=$E$1)*('Data-Input'!$D$29:$D$128-'Data-Input'!$E$29:$E$128))+SUMPRODUCT(('Data-Input'!$A$29:$A$128=A101)*('Data-Input'!$B$29:$B$128="Resource")*('Data-Input'!$C$29:$C$128=$AB$1)*('Data-Input'!$D$29:$D$128-'Data-Input'!$E$29:$E$128)))</f>
        <v/>
      </c>
      <c r="AE101">
        <f>Heroes!$R101</f>
        <v/>
      </c>
      <c r="AF101">
        <f>IF($A$1="",0,IF(AND(OR(W101="Dash/Blink",W101="High Mobility",W101="Global Dive",W101="Mobility",X101="Dash/Blink",X101="High Mobility",X101="Global Dive",X101="Mobility"),$AA$1="Ranged"),$AC$1,0))</f>
        <v/>
      </c>
      <c r="AG101">
        <f>IF($A$1="",0,IF(AND(AE101="Yes",OR($K$1="Sustain",$K$1="Healing",$L$1="Sustain",$L$1="Healing")),$AD$1,0))</f>
        <v/>
      </c>
    </row>
    <row r="102" ht="15" customHeight="1">
      <c r="A102">
        <f>Heroes!$B102</f>
        <v/>
      </c>
      <c r="B102">
        <f>Heroes!$C102</f>
        <v/>
      </c>
      <c r="C102">
        <f>Heroes!$D102</f>
        <v/>
      </c>
      <c r="D102">
        <f>Heroes!$E102</f>
        <v/>
      </c>
      <c r="E102">
        <f>Heroes!$F102</f>
        <v/>
      </c>
      <c r="F102">
        <f>Heroes!$H102</f>
        <v/>
      </c>
      <c r="G102">
        <f>Heroes!$K102</f>
        <v/>
      </c>
      <c r="H102">
        <f>Heroes!$Q102</f>
        <v/>
      </c>
      <c r="I102">
        <f>IFERROR(INDEX('Data-Input'!$B$19:$G$24,MATCH(B102,'Data-Input'!$A$19:$A$24,0),MATCH($B$1,'Data-Input'!$B$18:$G$18,0)),0)</f>
        <v/>
      </c>
      <c r="J102">
        <f>IF(C102&lt;&gt;"",IFERROR(INDEX('Data-Input'!$B$19:$G$24,MATCH(C102,'Data-Input'!$A$19:$A$24,0),MATCH($B$1,'Data-Input'!$B$18:$G$18,0)),0),I102)</f>
        <v/>
      </c>
      <c r="K102">
        <f>MAX(I102,J102)</f>
        <v/>
      </c>
      <c r="L102">
        <f>((D102+E102)/2-$C$1)*$H$1</f>
        <v/>
      </c>
      <c r="M102">
        <f>F102-$D$1</f>
        <v/>
      </c>
      <c r="N102">
        <f>IF(M102&gt;20,M102*$I$1,0)</f>
        <v/>
      </c>
      <c r="O102">
        <f>IF(G102="Mixed",$Q$1,IF(G102=$E$1,$O$1,$P$1))</f>
        <v/>
      </c>
      <c r="P102">
        <f>(H102-$F$1)*$N$1</f>
        <v/>
      </c>
      <c r="Q102">
        <f>K102*$G$1+L102+N102+O102+P102+Y102+Z102+AF102+AG102</f>
        <v/>
      </c>
      <c r="R102">
        <f>IFERROR(INDEX('Data-Input'!$C$190:$C$1189,MATCH(A102&amp;"|"&amp;$A$1,'Data-Input'!$E$190:$E$1189,0)),Q102)</f>
        <v/>
      </c>
      <c r="S102">
        <f>IF(OR($A$1="",A102=$A$1),-1000000000000000,R102)</f>
        <v/>
      </c>
      <c r="T102">
        <f>S102+ROW()*0.0000001</f>
        <v/>
      </c>
      <c r="U102">
        <f>Heroes!$M102</f>
        <v/>
      </c>
      <c r="V102">
        <f>IF(OR($A$1="",A102=$A$1,U102="",U102&lt;&gt;$J$1),-1000000000000000,R102)+ROW()*0.0000001</f>
        <v/>
      </c>
      <c r="W102">
        <f>Heroes!$I102</f>
        <v/>
      </c>
      <c r="X102">
        <f>Heroes!$J102</f>
        <v/>
      </c>
      <c r="Y102">
        <f>IF($A$1="",0,MAX(IF(W102&lt;&gt;"",IFERROR(INDEX('Data-Input'!$B$164:$W$185,MATCH(W102,'Data-Input'!$A$164:$A$185,0),MATCH($K$1,'Data-Input'!$B$163:$W$163,0)),0),0),IF(AND(W102&lt;&gt;"",$L$1&lt;&gt;""),IFERROR(INDEX('Data-Input'!$B$164:$W$185,MATCH(W102,'Data-Input'!$A$164:$A$185,0),MATCH($L$1,'Data-Input'!$B$163:$W$163,0)),0),0),IF(X102&lt;&gt;"",IFERROR(INDEX('Data-Input'!$B$164:$W$185,MATCH(X102,'Data-Input'!$A$164:$A$185,0),MATCH($K$1,'Data-Input'!$B$163:$W$163,0)),0),0),IF(AND(X102&lt;&gt;"",$L$1&lt;&gt;""),IFERROR(INDEX('Data-Input'!$B$164:$W$185,MATCH(X102,'Data-Input'!$A$164:$A$185,0),MATCH($L$1,'Data-Input'!$B$163:$W$163,0)),0),0))*$M$1)</f>
        <v/>
      </c>
      <c r="Z102">
        <f>IF($A$1="",0,SUMPRODUCT(('Data-Input'!$A$29:$A$128=A102)*('Data-Input'!$B$29:$B$128="Tag")*((('Data-Input'!$C$29:$C$128=$K$1)+('Data-Input'!$C$29:$C$128=$L$1))&gt;0)*('Data-Input'!$D$29:$D$128-'Data-Input'!$E$29:$E$128))+SUMPRODUCT(('Data-Input'!$A$29:$A$128=A102)*('Data-Input'!$B$29:$B$128="Hero")*('Data-Input'!$C$29:$C$128=$A$1)*('Data-Input'!$D$29:$D$128-'Data-Input'!$E$29:$E$128))+SUMPRODUCT(('Data-Input'!$A$29:$A$128=A102)*('Data-Input'!$B$29:$B$128="Role")*((('Data-Input'!$C$29:$C$128=$B$1)+('Data-Input'!$C$29:$C$128=$AH$1))&gt;0)*('Data-Input'!$D$29:$D$128-'Data-Input'!$E$29:$E$128))+SUMPRODUCT(('Data-Input'!$A$29:$A$128=A102)*('Data-Input'!$B$29:$B$128="DamageType")*('Data-Input'!$C$29:$C$128=$E$1)*('Data-Input'!$D$29:$D$128-'Data-Input'!$E$29:$E$128))+SUMPRODUCT(('Data-Input'!$A$29:$A$128=A102)*('Data-Input'!$B$29:$B$128="Resource")*('Data-Input'!$C$29:$C$128=$AB$1)*('Data-Input'!$D$29:$D$128-'Data-Input'!$E$29:$E$128)))</f>
        <v/>
      </c>
      <c r="AE102">
        <f>Heroes!$R102</f>
        <v/>
      </c>
      <c r="AF102">
        <f>IF($A$1="",0,IF(AND(OR(W102="Dash/Blink",W102="High Mobility",W102="Global Dive",W102="Mobility",X102="Dash/Blink",X102="High Mobility",X102="Global Dive",X102="Mobility"),$AA$1="Ranged"),$AC$1,0))</f>
        <v/>
      </c>
      <c r="AG102">
        <f>IF($A$1="",0,IF(AND(AE102="Yes",OR($K$1="Sustain",$K$1="Healing",$L$1="Sustain",$L$1="Healing")),$AD$1,0))</f>
        <v/>
      </c>
    </row>
    <row r="103" ht="15" customHeight="1">
      <c r="A103">
        <f>Heroes!$B103</f>
        <v/>
      </c>
      <c r="B103">
        <f>Heroes!$C103</f>
        <v/>
      </c>
      <c r="C103">
        <f>Heroes!$D103</f>
        <v/>
      </c>
      <c r="D103">
        <f>Heroes!$E103</f>
        <v/>
      </c>
      <c r="E103">
        <f>Heroes!$F103</f>
        <v/>
      </c>
      <c r="F103">
        <f>Heroes!$H103</f>
        <v/>
      </c>
      <c r="G103">
        <f>Heroes!$K103</f>
        <v/>
      </c>
      <c r="H103">
        <f>Heroes!$Q103</f>
        <v/>
      </c>
      <c r="I103">
        <f>IFERROR(INDEX('Data-Input'!$B$19:$G$24,MATCH(B103,'Data-Input'!$A$19:$A$24,0),MATCH($B$1,'Data-Input'!$B$18:$G$18,0)),0)</f>
        <v/>
      </c>
      <c r="J103">
        <f>IF(C103&lt;&gt;"",IFERROR(INDEX('Data-Input'!$B$19:$G$24,MATCH(C103,'Data-Input'!$A$19:$A$24,0),MATCH($B$1,'Data-Input'!$B$18:$G$18,0)),0),I103)</f>
        <v/>
      </c>
      <c r="K103">
        <f>MAX(I103,J103)</f>
        <v/>
      </c>
      <c r="L103">
        <f>((D103+E103)/2-$C$1)*$H$1</f>
        <v/>
      </c>
      <c r="M103">
        <f>F103-$D$1</f>
        <v/>
      </c>
      <c r="N103">
        <f>IF(M103&gt;20,M103*$I$1,0)</f>
        <v/>
      </c>
      <c r="O103">
        <f>IF(G103="Mixed",$Q$1,IF(G103=$E$1,$O$1,$P$1))</f>
        <v/>
      </c>
      <c r="P103">
        <f>(H103-$F$1)*$N$1</f>
        <v/>
      </c>
      <c r="Q103">
        <f>K103*$G$1+L103+N103+O103+P103+Y103+Z103+AF103+AG103</f>
        <v/>
      </c>
      <c r="R103">
        <f>IFERROR(INDEX('Data-Input'!$C$190:$C$1189,MATCH(A103&amp;"|"&amp;$A$1,'Data-Input'!$E$190:$E$1189,0)),Q103)</f>
        <v/>
      </c>
      <c r="S103">
        <f>IF(OR($A$1="",A103=$A$1),-1000000000000000,R103)</f>
        <v/>
      </c>
      <c r="T103">
        <f>S103+ROW()*0.0000001</f>
        <v/>
      </c>
      <c r="U103">
        <f>Heroes!$M103</f>
        <v/>
      </c>
      <c r="V103">
        <f>IF(OR($A$1="",A103=$A$1,U103="",U103&lt;&gt;$J$1),-1000000000000000,R103)+ROW()*0.0000001</f>
        <v/>
      </c>
      <c r="W103">
        <f>Heroes!$I103</f>
        <v/>
      </c>
      <c r="X103">
        <f>Heroes!$J103</f>
        <v/>
      </c>
      <c r="Y103">
        <f>IF($A$1="",0,MAX(IF(W103&lt;&gt;"",IFERROR(INDEX('Data-Input'!$B$164:$W$185,MATCH(W103,'Data-Input'!$A$164:$A$185,0),MATCH($K$1,'Data-Input'!$B$163:$W$163,0)),0),0),IF(AND(W103&lt;&gt;"",$L$1&lt;&gt;""),IFERROR(INDEX('Data-Input'!$B$164:$W$185,MATCH(W103,'Data-Input'!$A$164:$A$185,0),MATCH($L$1,'Data-Input'!$B$163:$W$163,0)),0),0),IF(X103&lt;&gt;"",IFERROR(INDEX('Data-Input'!$B$164:$W$185,MATCH(X103,'Data-Input'!$A$164:$A$185,0),MATCH($K$1,'Data-Input'!$B$163:$W$163,0)),0),0),IF(AND(X103&lt;&gt;"",$L$1&lt;&gt;""),IFERROR(INDEX('Data-Input'!$B$164:$W$185,MATCH(X103,'Data-Input'!$A$164:$A$185,0),MATCH($L$1,'Data-Input'!$B$163:$W$163,0)),0),0))*$M$1)</f>
        <v/>
      </c>
      <c r="Z103">
        <f>IF($A$1="",0,SUMPRODUCT(('Data-Input'!$A$29:$A$128=A103)*('Data-Input'!$B$29:$B$128="Tag")*((('Data-Input'!$C$29:$C$128=$K$1)+('Data-Input'!$C$29:$C$128=$L$1))&gt;0)*('Data-Input'!$D$29:$D$128-'Data-Input'!$E$29:$E$128))+SUMPRODUCT(('Data-Input'!$A$29:$A$128=A103)*('Data-Input'!$B$29:$B$128="Hero")*('Data-Input'!$C$29:$C$128=$A$1)*('Data-Input'!$D$29:$D$128-'Data-Input'!$E$29:$E$128))+SUMPRODUCT(('Data-Input'!$A$29:$A$128=A103)*('Data-Input'!$B$29:$B$128="Role")*((('Data-Input'!$C$29:$C$128=$B$1)+('Data-Input'!$C$29:$C$128=$AH$1))&gt;0)*('Data-Input'!$D$29:$D$128-'Data-Input'!$E$29:$E$128))+SUMPRODUCT(('Data-Input'!$A$29:$A$128=A103)*('Data-Input'!$B$29:$B$128="DamageType")*('Data-Input'!$C$29:$C$128=$E$1)*('Data-Input'!$D$29:$D$128-'Data-Input'!$E$29:$E$128))+SUMPRODUCT(('Data-Input'!$A$29:$A$128=A103)*('Data-Input'!$B$29:$B$128="Resource")*('Data-Input'!$C$29:$C$128=$AB$1)*('Data-Input'!$D$29:$D$128-'Data-Input'!$E$29:$E$128)))</f>
        <v/>
      </c>
      <c r="AE103">
        <f>Heroes!$R103</f>
        <v/>
      </c>
      <c r="AF103">
        <f>IF($A$1="",0,IF(AND(OR(W103="Dash/Blink",W103="High Mobility",W103="Global Dive",W103="Mobility",X103="Dash/Blink",X103="High Mobility",X103="Global Dive",X103="Mobility"),$AA$1="Ranged"),$AC$1,0))</f>
        <v/>
      </c>
      <c r="AG103">
        <f>IF($A$1="",0,IF(AND(AE103="Yes",OR($K$1="Sustain",$K$1="Healing",$L$1="Sustain",$L$1="Healing")),$AD$1,0))</f>
        <v/>
      </c>
    </row>
    <row r="104" ht="15" customHeight="1">
      <c r="A104">
        <f>Heroes!$B104</f>
        <v/>
      </c>
      <c r="B104">
        <f>Heroes!$C104</f>
        <v/>
      </c>
      <c r="C104">
        <f>Heroes!$D104</f>
        <v/>
      </c>
      <c r="D104">
        <f>Heroes!$E104</f>
        <v/>
      </c>
      <c r="E104">
        <f>Heroes!$F104</f>
        <v/>
      </c>
      <c r="F104">
        <f>Heroes!$H104</f>
        <v/>
      </c>
      <c r="G104">
        <f>Heroes!$K104</f>
        <v/>
      </c>
      <c r="H104">
        <f>Heroes!$Q104</f>
        <v/>
      </c>
      <c r="I104">
        <f>IFERROR(INDEX('Data-Input'!$B$19:$G$24,MATCH(B104,'Data-Input'!$A$19:$A$24,0),MATCH($B$1,'Data-Input'!$B$18:$G$18,0)),0)</f>
        <v/>
      </c>
      <c r="J104">
        <f>IF(C104&lt;&gt;"",IFERROR(INDEX('Data-Input'!$B$19:$G$24,MATCH(C104,'Data-Input'!$A$19:$A$24,0),MATCH($B$1,'Data-Input'!$B$18:$G$18,0)),0),I104)</f>
        <v/>
      </c>
      <c r="K104">
        <f>MAX(I104,J104)</f>
        <v/>
      </c>
      <c r="L104">
        <f>((D104+E104)/2-$C$1)*$H$1</f>
        <v/>
      </c>
      <c r="M104">
        <f>F104-$D$1</f>
        <v/>
      </c>
      <c r="N104">
        <f>IF(M104&gt;20,M104*$I$1,0)</f>
        <v/>
      </c>
      <c r="O104">
        <f>IF(G104="Mixed",$Q$1,IF(G104=$E$1,$O$1,$P$1))</f>
        <v/>
      </c>
      <c r="P104">
        <f>(H104-$F$1)*$N$1</f>
        <v/>
      </c>
      <c r="Q104">
        <f>K104*$G$1+L104+N104+O104+P104+Y104+Z104+AF104+AG104</f>
        <v/>
      </c>
      <c r="R104">
        <f>IFERROR(INDEX('Data-Input'!$C$190:$C$1189,MATCH(A104&amp;"|"&amp;$A$1,'Data-Input'!$E$190:$E$1189,0)),Q104)</f>
        <v/>
      </c>
      <c r="S104">
        <f>IF(OR($A$1="",A104=$A$1),-1000000000000000,R104)</f>
        <v/>
      </c>
      <c r="T104">
        <f>S104+ROW()*0.0000001</f>
        <v/>
      </c>
      <c r="U104">
        <f>Heroes!$M104</f>
        <v/>
      </c>
      <c r="V104">
        <f>IF(OR($A$1="",A104=$A$1,U104="",U104&lt;&gt;$J$1),-1000000000000000,R104)+ROW()*0.0000001</f>
        <v/>
      </c>
      <c r="W104">
        <f>Heroes!$I104</f>
        <v/>
      </c>
      <c r="X104">
        <f>Heroes!$J104</f>
        <v/>
      </c>
      <c r="Y104">
        <f>IF($A$1="",0,MAX(IF(W104&lt;&gt;"",IFERROR(INDEX('Data-Input'!$B$164:$W$185,MATCH(W104,'Data-Input'!$A$164:$A$185,0),MATCH($K$1,'Data-Input'!$B$163:$W$163,0)),0),0),IF(AND(W104&lt;&gt;"",$L$1&lt;&gt;""),IFERROR(INDEX('Data-Input'!$B$164:$W$185,MATCH(W104,'Data-Input'!$A$164:$A$185,0),MATCH($L$1,'Data-Input'!$B$163:$W$163,0)),0),0),IF(X104&lt;&gt;"",IFERROR(INDEX('Data-Input'!$B$164:$W$185,MATCH(X104,'Data-Input'!$A$164:$A$185,0),MATCH($K$1,'Data-Input'!$B$163:$W$163,0)),0),0),IF(AND(X104&lt;&gt;"",$L$1&lt;&gt;""),IFERROR(INDEX('Data-Input'!$B$164:$W$185,MATCH(X104,'Data-Input'!$A$164:$A$185,0),MATCH($L$1,'Data-Input'!$B$163:$W$163,0)),0),0))*$M$1)</f>
        <v/>
      </c>
      <c r="Z104">
        <f>IF($A$1="",0,SUMPRODUCT(('Data-Input'!$A$29:$A$128=A104)*('Data-Input'!$B$29:$B$128="Tag")*((('Data-Input'!$C$29:$C$128=$K$1)+('Data-Input'!$C$29:$C$128=$L$1))&gt;0)*('Data-Input'!$D$29:$D$128-'Data-Input'!$E$29:$E$128))+SUMPRODUCT(('Data-Input'!$A$29:$A$128=A104)*('Data-Input'!$B$29:$B$128="Hero")*('Data-Input'!$C$29:$C$128=$A$1)*('Data-Input'!$D$29:$D$128-'Data-Input'!$E$29:$E$128))+SUMPRODUCT(('Data-Input'!$A$29:$A$128=A104)*('Data-Input'!$B$29:$B$128="Role")*((('Data-Input'!$C$29:$C$128=$B$1)+('Data-Input'!$C$29:$C$128=$AH$1))&gt;0)*('Data-Input'!$D$29:$D$128-'Data-Input'!$E$29:$E$128))+SUMPRODUCT(('Data-Input'!$A$29:$A$128=A104)*('Data-Input'!$B$29:$B$128="DamageType")*('Data-Input'!$C$29:$C$128=$E$1)*('Data-Input'!$D$29:$D$128-'Data-Input'!$E$29:$E$128))+SUMPRODUCT(('Data-Input'!$A$29:$A$128=A104)*('Data-Input'!$B$29:$B$128="Resource")*('Data-Input'!$C$29:$C$128=$AB$1)*('Data-Input'!$D$29:$D$128-'Data-Input'!$E$29:$E$128)))</f>
        <v/>
      </c>
      <c r="AE104">
        <f>Heroes!$R104</f>
        <v/>
      </c>
      <c r="AF104">
        <f>IF($A$1="",0,IF(AND(OR(W104="Dash/Blink",W104="High Mobility",W104="Global Dive",W104="Mobility",X104="Dash/Blink",X104="High Mobility",X104="Global Dive",X104="Mobility"),$AA$1="Ranged"),$AC$1,0))</f>
        <v/>
      </c>
      <c r="AG104">
        <f>IF($A$1="",0,IF(AND(AE104="Yes",OR($K$1="Sustain",$K$1="Healing",$L$1="Sustain",$L$1="Healing")),$AD$1,0))</f>
        <v/>
      </c>
    </row>
    <row r="105" ht="15" customHeight="1">
      <c r="A105">
        <f>Heroes!$B105</f>
        <v/>
      </c>
      <c r="B105">
        <f>Heroes!$C105</f>
        <v/>
      </c>
      <c r="C105">
        <f>Heroes!$D105</f>
        <v/>
      </c>
      <c r="D105">
        <f>Heroes!$E105</f>
        <v/>
      </c>
      <c r="E105">
        <f>Heroes!$F105</f>
        <v/>
      </c>
      <c r="F105">
        <f>Heroes!$H105</f>
        <v/>
      </c>
      <c r="G105">
        <f>Heroes!$K105</f>
        <v/>
      </c>
      <c r="H105">
        <f>Heroes!$Q105</f>
        <v/>
      </c>
      <c r="I105">
        <f>IFERROR(INDEX('Data-Input'!$B$19:$G$24,MATCH(B105,'Data-Input'!$A$19:$A$24,0),MATCH($B$1,'Data-Input'!$B$18:$G$18,0)),0)</f>
        <v/>
      </c>
      <c r="J105">
        <f>IF(C105&lt;&gt;"",IFERROR(INDEX('Data-Input'!$B$19:$G$24,MATCH(C105,'Data-Input'!$A$19:$A$24,0),MATCH($B$1,'Data-Input'!$B$18:$G$18,0)),0),I105)</f>
        <v/>
      </c>
      <c r="K105">
        <f>MAX(I105,J105)</f>
        <v/>
      </c>
      <c r="L105">
        <f>((D105+E105)/2-$C$1)*$H$1</f>
        <v/>
      </c>
      <c r="M105">
        <f>F105-$D$1</f>
        <v/>
      </c>
      <c r="N105">
        <f>IF(M105&gt;20,M105*$I$1,0)</f>
        <v/>
      </c>
      <c r="O105">
        <f>IF(G105="Mixed",$Q$1,IF(G105=$E$1,$O$1,$P$1))</f>
        <v/>
      </c>
      <c r="P105">
        <f>(H105-$F$1)*$N$1</f>
        <v/>
      </c>
      <c r="Q105">
        <f>K105*$G$1+L105+N105+O105+P105+Y105+Z105+AF105+AG105</f>
        <v/>
      </c>
      <c r="R105">
        <f>IFERROR(INDEX('Data-Input'!$C$190:$C$1189,MATCH(A105&amp;"|"&amp;$A$1,'Data-Input'!$E$190:$E$1189,0)),Q105)</f>
        <v/>
      </c>
      <c r="S105">
        <f>IF(OR($A$1="",A105=$A$1),-1000000000000000,R105)</f>
        <v/>
      </c>
      <c r="T105">
        <f>S105+ROW()*0.0000001</f>
        <v/>
      </c>
      <c r="U105">
        <f>Heroes!$M105</f>
        <v/>
      </c>
      <c r="V105">
        <f>IF(OR($A$1="",A105=$A$1,U105="",U105&lt;&gt;$J$1),-1000000000000000,R105)+ROW()*0.0000001</f>
        <v/>
      </c>
      <c r="W105">
        <f>Heroes!$I105</f>
        <v/>
      </c>
      <c r="X105">
        <f>Heroes!$J105</f>
        <v/>
      </c>
      <c r="Y105">
        <f>IF($A$1="",0,MAX(IF(W105&lt;&gt;"",IFERROR(INDEX('Data-Input'!$B$164:$W$185,MATCH(W105,'Data-Input'!$A$164:$A$185,0),MATCH($K$1,'Data-Input'!$B$163:$W$163,0)),0),0),IF(AND(W105&lt;&gt;"",$L$1&lt;&gt;""),IFERROR(INDEX('Data-Input'!$B$164:$W$185,MATCH(W105,'Data-Input'!$A$164:$A$185,0),MATCH($L$1,'Data-Input'!$B$163:$W$163,0)),0),0),IF(X105&lt;&gt;"",IFERROR(INDEX('Data-Input'!$B$164:$W$185,MATCH(X105,'Data-Input'!$A$164:$A$185,0),MATCH($K$1,'Data-Input'!$B$163:$W$163,0)),0),0),IF(AND(X105&lt;&gt;"",$L$1&lt;&gt;""),IFERROR(INDEX('Data-Input'!$B$164:$W$185,MATCH(X105,'Data-Input'!$A$164:$A$185,0),MATCH($L$1,'Data-Input'!$B$163:$W$163,0)),0),0))*$M$1)</f>
        <v/>
      </c>
      <c r="Z105">
        <f>IF($A$1="",0,SUMPRODUCT(('Data-Input'!$A$29:$A$128=A105)*('Data-Input'!$B$29:$B$128="Tag")*((('Data-Input'!$C$29:$C$128=$K$1)+('Data-Input'!$C$29:$C$128=$L$1))&gt;0)*('Data-Input'!$D$29:$D$128-'Data-Input'!$E$29:$E$128))+SUMPRODUCT(('Data-Input'!$A$29:$A$128=A105)*('Data-Input'!$B$29:$B$128="Hero")*('Data-Input'!$C$29:$C$128=$A$1)*('Data-Input'!$D$29:$D$128-'Data-Input'!$E$29:$E$128))+SUMPRODUCT(('Data-Input'!$A$29:$A$128=A105)*('Data-Input'!$B$29:$B$128="Role")*((('Data-Input'!$C$29:$C$128=$B$1)+('Data-Input'!$C$29:$C$128=$AH$1))&gt;0)*('Data-Input'!$D$29:$D$128-'Data-Input'!$E$29:$E$128))+SUMPRODUCT(('Data-Input'!$A$29:$A$128=A105)*('Data-Input'!$B$29:$B$128="DamageType")*('Data-Input'!$C$29:$C$128=$E$1)*('Data-Input'!$D$29:$D$128-'Data-Input'!$E$29:$E$128))+SUMPRODUCT(('Data-Input'!$A$29:$A$128=A105)*('Data-Input'!$B$29:$B$128="Resource")*('Data-Input'!$C$29:$C$128=$AB$1)*('Data-Input'!$D$29:$D$128-'Data-Input'!$E$29:$E$128)))</f>
        <v/>
      </c>
      <c r="AE105">
        <f>Heroes!$R105</f>
        <v/>
      </c>
      <c r="AF105">
        <f>IF($A$1="",0,IF(AND(OR(W105="Dash/Blink",W105="High Mobility",W105="Global Dive",W105="Mobility",X105="Dash/Blink",X105="High Mobility",X105="Global Dive",X105="Mobility"),$AA$1="Ranged"),$AC$1,0))</f>
        <v/>
      </c>
      <c r="AG105">
        <f>IF($A$1="",0,IF(AND(AE105="Yes",OR($K$1="Sustain",$K$1="Healing",$L$1="Sustain",$L$1="Healing")),$AD$1,0))</f>
        <v/>
      </c>
    </row>
    <row r="106" ht="15" customHeight="1">
      <c r="A106">
        <f>Heroes!$B106</f>
        <v/>
      </c>
      <c r="B106">
        <f>Heroes!$C106</f>
        <v/>
      </c>
      <c r="C106">
        <f>Heroes!$D106</f>
        <v/>
      </c>
      <c r="D106">
        <f>Heroes!$E106</f>
        <v/>
      </c>
      <c r="E106">
        <f>Heroes!$F106</f>
        <v/>
      </c>
      <c r="F106">
        <f>Heroes!$H106</f>
        <v/>
      </c>
      <c r="G106">
        <f>Heroes!$K106</f>
        <v/>
      </c>
      <c r="H106">
        <f>Heroes!$Q106</f>
        <v/>
      </c>
      <c r="I106">
        <f>IFERROR(INDEX('Data-Input'!$B$19:$G$24,MATCH(B106,'Data-Input'!$A$19:$A$24,0),MATCH($B$1,'Data-Input'!$B$18:$G$18,0)),0)</f>
        <v/>
      </c>
      <c r="J106">
        <f>IF(C106&lt;&gt;"",IFERROR(INDEX('Data-Input'!$B$19:$G$24,MATCH(C106,'Data-Input'!$A$19:$A$24,0),MATCH($B$1,'Data-Input'!$B$18:$G$18,0)),0),I106)</f>
        <v/>
      </c>
      <c r="K106">
        <f>MAX(I106,J106)</f>
        <v/>
      </c>
      <c r="L106">
        <f>((D106+E106)/2-$C$1)*$H$1</f>
        <v/>
      </c>
      <c r="M106">
        <f>F106-$D$1</f>
        <v/>
      </c>
      <c r="N106">
        <f>IF(M106&gt;20,M106*$I$1,0)</f>
        <v/>
      </c>
      <c r="O106">
        <f>IF(G106="Mixed",$Q$1,IF(G106=$E$1,$O$1,$P$1))</f>
        <v/>
      </c>
      <c r="P106">
        <f>(H106-$F$1)*$N$1</f>
        <v/>
      </c>
      <c r="Q106">
        <f>K106*$G$1+L106+N106+O106+P106+Y106+Z106+AF106+AG106</f>
        <v/>
      </c>
      <c r="R106">
        <f>IFERROR(INDEX('Data-Input'!$C$190:$C$1189,MATCH(A106&amp;"|"&amp;$A$1,'Data-Input'!$E$190:$E$1189,0)),Q106)</f>
        <v/>
      </c>
      <c r="S106">
        <f>IF(OR($A$1="",A106=$A$1),-1000000000000000,R106)</f>
        <v/>
      </c>
      <c r="T106">
        <f>S106+ROW()*0.0000001</f>
        <v/>
      </c>
      <c r="U106">
        <f>Heroes!$M106</f>
        <v/>
      </c>
      <c r="V106">
        <f>IF(OR($A$1="",A106=$A$1,U106="",U106&lt;&gt;$J$1),-1000000000000000,R106)+ROW()*0.0000001</f>
        <v/>
      </c>
      <c r="W106">
        <f>Heroes!$I106</f>
        <v/>
      </c>
      <c r="X106">
        <f>Heroes!$J106</f>
        <v/>
      </c>
      <c r="Y106">
        <f>IF($A$1="",0,MAX(IF(W106&lt;&gt;"",IFERROR(INDEX('Data-Input'!$B$164:$W$185,MATCH(W106,'Data-Input'!$A$164:$A$185,0),MATCH($K$1,'Data-Input'!$B$163:$W$163,0)),0),0),IF(AND(W106&lt;&gt;"",$L$1&lt;&gt;""),IFERROR(INDEX('Data-Input'!$B$164:$W$185,MATCH(W106,'Data-Input'!$A$164:$A$185,0),MATCH($L$1,'Data-Input'!$B$163:$W$163,0)),0),0),IF(X106&lt;&gt;"",IFERROR(INDEX('Data-Input'!$B$164:$W$185,MATCH(X106,'Data-Input'!$A$164:$A$185,0),MATCH($K$1,'Data-Input'!$B$163:$W$163,0)),0),0),IF(AND(X106&lt;&gt;"",$L$1&lt;&gt;""),IFERROR(INDEX('Data-Input'!$B$164:$W$185,MATCH(X106,'Data-Input'!$A$164:$A$185,0),MATCH($L$1,'Data-Input'!$B$163:$W$163,0)),0),0))*$M$1)</f>
        <v/>
      </c>
      <c r="Z106">
        <f>IF($A$1="",0,SUMPRODUCT(('Data-Input'!$A$29:$A$128=A106)*('Data-Input'!$B$29:$B$128="Tag")*((('Data-Input'!$C$29:$C$128=$K$1)+('Data-Input'!$C$29:$C$128=$L$1))&gt;0)*('Data-Input'!$D$29:$D$128-'Data-Input'!$E$29:$E$128))+SUMPRODUCT(('Data-Input'!$A$29:$A$128=A106)*('Data-Input'!$B$29:$B$128="Hero")*('Data-Input'!$C$29:$C$128=$A$1)*('Data-Input'!$D$29:$D$128-'Data-Input'!$E$29:$E$128))+SUMPRODUCT(('Data-Input'!$A$29:$A$128=A106)*('Data-Input'!$B$29:$B$128="Role")*((('Data-Input'!$C$29:$C$128=$B$1)+('Data-Input'!$C$29:$C$128=$AH$1))&gt;0)*('Data-Input'!$D$29:$D$128-'Data-Input'!$E$29:$E$128))+SUMPRODUCT(('Data-Input'!$A$29:$A$128=A106)*('Data-Input'!$B$29:$B$128="DamageType")*('Data-Input'!$C$29:$C$128=$E$1)*('Data-Input'!$D$29:$D$128-'Data-Input'!$E$29:$E$128))+SUMPRODUCT(('Data-Input'!$A$29:$A$128=A106)*('Data-Input'!$B$29:$B$128="Resource")*('Data-Input'!$C$29:$C$128=$AB$1)*('Data-Input'!$D$29:$D$128-'Data-Input'!$E$29:$E$128)))</f>
        <v/>
      </c>
      <c r="AE106">
        <f>Heroes!$R106</f>
        <v/>
      </c>
      <c r="AF106">
        <f>IF($A$1="",0,IF(AND(OR(W106="Dash/Blink",W106="High Mobility",W106="Global Dive",W106="Mobility",X106="Dash/Blink",X106="High Mobility",X106="Global Dive",X106="Mobility"),$AA$1="Ranged"),$AC$1,0))</f>
        <v/>
      </c>
      <c r="AG106">
        <f>IF($A$1="",0,IF(AND(AE106="Yes",OR($K$1="Sustain",$K$1="Healing",$L$1="Sustain",$L$1="Healing")),$AD$1,0))</f>
        <v/>
      </c>
    </row>
    <row r="107" ht="15" customHeight="1">
      <c r="A107">
        <f>Heroes!$B107</f>
        <v/>
      </c>
      <c r="B107">
        <f>Heroes!$C107</f>
        <v/>
      </c>
      <c r="C107">
        <f>Heroes!$D107</f>
        <v/>
      </c>
      <c r="D107">
        <f>Heroes!$E107</f>
        <v/>
      </c>
      <c r="E107">
        <f>Heroes!$F107</f>
        <v/>
      </c>
      <c r="F107">
        <f>Heroes!$H107</f>
        <v/>
      </c>
      <c r="G107">
        <f>Heroes!$K107</f>
        <v/>
      </c>
      <c r="H107">
        <f>Heroes!$Q107</f>
        <v/>
      </c>
      <c r="I107">
        <f>IFERROR(INDEX('Data-Input'!$B$19:$G$24,MATCH(B107,'Data-Input'!$A$19:$A$24,0),MATCH($B$1,'Data-Input'!$B$18:$G$18,0)),0)</f>
        <v/>
      </c>
      <c r="J107">
        <f>IF(C107&lt;&gt;"",IFERROR(INDEX('Data-Input'!$B$19:$G$24,MATCH(C107,'Data-Input'!$A$19:$A$24,0),MATCH($B$1,'Data-Input'!$B$18:$G$18,0)),0),I107)</f>
        <v/>
      </c>
      <c r="K107">
        <f>MAX(I107,J107)</f>
        <v/>
      </c>
      <c r="L107">
        <f>((D107+E107)/2-$C$1)*$H$1</f>
        <v/>
      </c>
      <c r="M107">
        <f>F107-$D$1</f>
        <v/>
      </c>
      <c r="N107">
        <f>IF(M107&gt;20,M107*$I$1,0)</f>
        <v/>
      </c>
      <c r="O107">
        <f>IF(G107="Mixed",$Q$1,IF(G107=$E$1,$O$1,$P$1))</f>
        <v/>
      </c>
      <c r="P107">
        <f>(H107-$F$1)*$N$1</f>
        <v/>
      </c>
      <c r="Q107">
        <f>K107*$G$1+L107+N107+O107+P107+Y107+Z107+AF107+AG107</f>
        <v/>
      </c>
      <c r="R107">
        <f>IFERROR(INDEX('Data-Input'!$C$190:$C$1189,MATCH(A107&amp;"|"&amp;$A$1,'Data-Input'!$E$190:$E$1189,0)),Q107)</f>
        <v/>
      </c>
      <c r="S107">
        <f>IF(OR($A$1="",A107=$A$1),-1000000000000000,R107)</f>
        <v/>
      </c>
      <c r="T107">
        <f>S107+ROW()*0.0000001</f>
        <v/>
      </c>
      <c r="U107">
        <f>Heroes!$M107</f>
        <v/>
      </c>
      <c r="V107">
        <f>IF(OR($A$1="",A107=$A$1,U107="",U107&lt;&gt;$J$1),-1000000000000000,R107)+ROW()*0.0000001</f>
        <v/>
      </c>
      <c r="W107">
        <f>Heroes!$I107</f>
        <v/>
      </c>
      <c r="X107">
        <f>Heroes!$J107</f>
        <v/>
      </c>
      <c r="Y107">
        <f>IF($A$1="",0,MAX(IF(W107&lt;&gt;"",IFERROR(INDEX('Data-Input'!$B$164:$W$185,MATCH(W107,'Data-Input'!$A$164:$A$185,0),MATCH($K$1,'Data-Input'!$B$163:$W$163,0)),0),0),IF(AND(W107&lt;&gt;"",$L$1&lt;&gt;""),IFERROR(INDEX('Data-Input'!$B$164:$W$185,MATCH(W107,'Data-Input'!$A$164:$A$185,0),MATCH($L$1,'Data-Input'!$B$163:$W$163,0)),0),0),IF(X107&lt;&gt;"",IFERROR(INDEX('Data-Input'!$B$164:$W$185,MATCH(X107,'Data-Input'!$A$164:$A$185,0),MATCH($K$1,'Data-Input'!$B$163:$W$163,0)),0),0),IF(AND(X107&lt;&gt;"",$L$1&lt;&gt;""),IFERROR(INDEX('Data-Input'!$B$164:$W$185,MATCH(X107,'Data-Input'!$A$164:$A$185,0),MATCH($L$1,'Data-Input'!$B$163:$W$163,0)),0),0))*$M$1)</f>
        <v/>
      </c>
      <c r="Z107">
        <f>IF($A$1="",0,SUMPRODUCT(('Data-Input'!$A$29:$A$128=A107)*('Data-Input'!$B$29:$B$128="Tag")*((('Data-Input'!$C$29:$C$128=$K$1)+('Data-Input'!$C$29:$C$128=$L$1))&gt;0)*('Data-Input'!$D$29:$D$128-'Data-Input'!$E$29:$E$128))+SUMPRODUCT(('Data-Input'!$A$29:$A$128=A107)*('Data-Input'!$B$29:$B$128="Hero")*('Data-Input'!$C$29:$C$128=$A$1)*('Data-Input'!$D$29:$D$128-'Data-Input'!$E$29:$E$128))+SUMPRODUCT(('Data-Input'!$A$29:$A$128=A107)*('Data-Input'!$B$29:$B$128="Role")*((('Data-Input'!$C$29:$C$128=$B$1)+('Data-Input'!$C$29:$C$128=$AH$1))&gt;0)*('Data-Input'!$D$29:$D$128-'Data-Input'!$E$29:$E$128))+SUMPRODUCT(('Data-Input'!$A$29:$A$128=A107)*('Data-Input'!$B$29:$B$128="DamageType")*('Data-Input'!$C$29:$C$128=$E$1)*('Data-Input'!$D$29:$D$128-'Data-Input'!$E$29:$E$128))+SUMPRODUCT(('Data-Input'!$A$29:$A$128=A107)*('Data-Input'!$B$29:$B$128="Resource")*('Data-Input'!$C$29:$C$128=$AB$1)*('Data-Input'!$D$29:$D$128-'Data-Input'!$E$29:$E$128)))</f>
        <v/>
      </c>
      <c r="AE107">
        <f>Heroes!$R107</f>
        <v/>
      </c>
      <c r="AF107">
        <f>IF($A$1="",0,IF(AND(OR(W107="Dash/Blink",W107="High Mobility",W107="Global Dive",W107="Mobility",X107="Dash/Blink",X107="High Mobility",X107="Global Dive",X107="Mobility"),$AA$1="Ranged"),$AC$1,0))</f>
        <v/>
      </c>
      <c r="AG107">
        <f>IF($A$1="",0,IF(AND(AE107="Yes",OR($K$1="Sustain",$K$1="Healing",$L$1="Sustain",$L$1="Healing")),$AD$1,0))</f>
        <v/>
      </c>
    </row>
    <row r="108" ht="15" customHeight="1">
      <c r="A108">
        <f>Heroes!$B108</f>
        <v/>
      </c>
      <c r="B108">
        <f>Heroes!$C108</f>
        <v/>
      </c>
      <c r="C108">
        <f>Heroes!$D108</f>
        <v/>
      </c>
      <c r="D108">
        <f>Heroes!$E108</f>
        <v/>
      </c>
      <c r="E108">
        <f>Heroes!$F108</f>
        <v/>
      </c>
      <c r="F108">
        <f>Heroes!$H108</f>
        <v/>
      </c>
      <c r="G108">
        <f>Heroes!$K108</f>
        <v/>
      </c>
      <c r="H108">
        <f>Heroes!$Q108</f>
        <v/>
      </c>
      <c r="I108">
        <f>IFERROR(INDEX('Data-Input'!$B$19:$G$24,MATCH(B108,'Data-Input'!$A$19:$A$24,0),MATCH($B$1,'Data-Input'!$B$18:$G$18,0)),0)</f>
        <v/>
      </c>
      <c r="J108">
        <f>IF(C108&lt;&gt;"",IFERROR(INDEX('Data-Input'!$B$19:$G$24,MATCH(C108,'Data-Input'!$A$19:$A$24,0),MATCH($B$1,'Data-Input'!$B$18:$G$18,0)),0),I108)</f>
        <v/>
      </c>
      <c r="K108">
        <f>MAX(I108,J108)</f>
        <v/>
      </c>
      <c r="L108">
        <f>((D108+E108)/2-$C$1)*$H$1</f>
        <v/>
      </c>
      <c r="M108">
        <f>F108-$D$1</f>
        <v/>
      </c>
      <c r="N108">
        <f>IF(M108&gt;20,M108*$I$1,0)</f>
        <v/>
      </c>
      <c r="O108">
        <f>IF(G108="Mixed",$Q$1,IF(G108=$E$1,$O$1,$P$1))</f>
        <v/>
      </c>
      <c r="P108">
        <f>(H108-$F$1)*$N$1</f>
        <v/>
      </c>
      <c r="Q108">
        <f>K108*$G$1+L108+N108+O108+P108+Y108+Z108+AF108+AG108</f>
        <v/>
      </c>
      <c r="R108">
        <f>IFERROR(INDEX('Data-Input'!$C$190:$C$1189,MATCH(A108&amp;"|"&amp;$A$1,'Data-Input'!$E$190:$E$1189,0)),Q108)</f>
        <v/>
      </c>
      <c r="S108">
        <f>IF(OR($A$1="",A108=$A$1),-1000000000000000,R108)</f>
        <v/>
      </c>
      <c r="T108">
        <f>S108+ROW()*0.0000001</f>
        <v/>
      </c>
      <c r="U108">
        <f>Heroes!$M108</f>
        <v/>
      </c>
      <c r="V108">
        <f>IF(OR($A$1="",A108=$A$1,U108="",U108&lt;&gt;$J$1),-1000000000000000,R108)+ROW()*0.0000001</f>
        <v/>
      </c>
      <c r="W108">
        <f>Heroes!$I108</f>
        <v/>
      </c>
      <c r="X108">
        <f>Heroes!$J108</f>
        <v/>
      </c>
      <c r="Y108">
        <f>IF($A$1="",0,MAX(IF(W108&lt;&gt;"",IFERROR(INDEX('Data-Input'!$B$164:$W$185,MATCH(W108,'Data-Input'!$A$164:$A$185,0),MATCH($K$1,'Data-Input'!$B$163:$W$163,0)),0),0),IF(AND(W108&lt;&gt;"",$L$1&lt;&gt;""),IFERROR(INDEX('Data-Input'!$B$164:$W$185,MATCH(W108,'Data-Input'!$A$164:$A$185,0),MATCH($L$1,'Data-Input'!$B$163:$W$163,0)),0),0),IF(X108&lt;&gt;"",IFERROR(INDEX('Data-Input'!$B$164:$W$185,MATCH(X108,'Data-Input'!$A$164:$A$185,0),MATCH($K$1,'Data-Input'!$B$163:$W$163,0)),0),0),IF(AND(X108&lt;&gt;"",$L$1&lt;&gt;""),IFERROR(INDEX('Data-Input'!$B$164:$W$185,MATCH(X108,'Data-Input'!$A$164:$A$185,0),MATCH($L$1,'Data-Input'!$B$163:$W$163,0)),0),0))*$M$1)</f>
        <v/>
      </c>
      <c r="Z108">
        <f>IF($A$1="",0,SUMPRODUCT(('Data-Input'!$A$29:$A$128=A108)*('Data-Input'!$B$29:$B$128="Tag")*((('Data-Input'!$C$29:$C$128=$K$1)+('Data-Input'!$C$29:$C$128=$L$1))&gt;0)*('Data-Input'!$D$29:$D$128-'Data-Input'!$E$29:$E$128))+SUMPRODUCT(('Data-Input'!$A$29:$A$128=A108)*('Data-Input'!$B$29:$B$128="Hero")*('Data-Input'!$C$29:$C$128=$A$1)*('Data-Input'!$D$29:$D$128-'Data-Input'!$E$29:$E$128))+SUMPRODUCT(('Data-Input'!$A$29:$A$128=A108)*('Data-Input'!$B$29:$B$128="Role")*((('Data-Input'!$C$29:$C$128=$B$1)+('Data-Input'!$C$29:$C$128=$AH$1))&gt;0)*('Data-Input'!$D$29:$D$128-'Data-Input'!$E$29:$E$128))+SUMPRODUCT(('Data-Input'!$A$29:$A$128=A108)*('Data-Input'!$B$29:$B$128="DamageType")*('Data-Input'!$C$29:$C$128=$E$1)*('Data-Input'!$D$29:$D$128-'Data-Input'!$E$29:$E$128))+SUMPRODUCT(('Data-Input'!$A$29:$A$128=A108)*('Data-Input'!$B$29:$B$128="Resource")*('Data-Input'!$C$29:$C$128=$AB$1)*('Data-Input'!$D$29:$D$128-'Data-Input'!$E$29:$E$128)))</f>
        <v/>
      </c>
      <c r="AE108">
        <f>Heroes!$R108</f>
        <v/>
      </c>
      <c r="AF108">
        <f>IF($A$1="",0,IF(AND(OR(W108="Dash/Blink",W108="High Mobility",W108="Global Dive",W108="Mobility",X108="Dash/Blink",X108="High Mobility",X108="Global Dive",X108="Mobility"),$AA$1="Ranged"),$AC$1,0))</f>
        <v/>
      </c>
      <c r="AG108">
        <f>IF($A$1="",0,IF(AND(AE108="Yes",OR($K$1="Sustain",$K$1="Healing",$L$1="Sustain",$L$1="Healing")),$AD$1,0))</f>
        <v/>
      </c>
    </row>
    <row r="109" ht="15" customHeight="1">
      <c r="A109">
        <f>Heroes!$B109</f>
        <v/>
      </c>
      <c r="B109">
        <f>Heroes!$C109</f>
        <v/>
      </c>
      <c r="C109">
        <f>Heroes!$D109</f>
        <v/>
      </c>
      <c r="D109">
        <f>Heroes!$E109</f>
        <v/>
      </c>
      <c r="E109">
        <f>Heroes!$F109</f>
        <v/>
      </c>
      <c r="F109">
        <f>Heroes!$H109</f>
        <v/>
      </c>
      <c r="G109">
        <f>Heroes!$K109</f>
        <v/>
      </c>
      <c r="H109">
        <f>Heroes!$Q109</f>
        <v/>
      </c>
      <c r="I109">
        <f>IFERROR(INDEX('Data-Input'!$B$19:$G$24,MATCH(B109,'Data-Input'!$A$19:$A$24,0),MATCH($B$1,'Data-Input'!$B$18:$G$18,0)),0)</f>
        <v/>
      </c>
      <c r="J109">
        <f>IF(C109&lt;&gt;"",IFERROR(INDEX('Data-Input'!$B$19:$G$24,MATCH(C109,'Data-Input'!$A$19:$A$24,0),MATCH($B$1,'Data-Input'!$B$18:$G$18,0)),0),I109)</f>
        <v/>
      </c>
      <c r="K109">
        <f>MAX(I109,J109)</f>
        <v/>
      </c>
      <c r="L109">
        <f>((D109+E109)/2-$C$1)*$H$1</f>
        <v/>
      </c>
      <c r="M109">
        <f>F109-$D$1</f>
        <v/>
      </c>
      <c r="N109">
        <f>IF(M109&gt;20,M109*$I$1,0)</f>
        <v/>
      </c>
      <c r="O109">
        <f>IF(G109="Mixed",$Q$1,IF(G109=$E$1,$O$1,$P$1))</f>
        <v/>
      </c>
      <c r="P109">
        <f>(H109-$F$1)*$N$1</f>
        <v/>
      </c>
      <c r="Q109">
        <f>K109*$G$1+L109+N109+O109+P109+Y109+Z109+AF109+AG109</f>
        <v/>
      </c>
      <c r="R109">
        <f>IFERROR(INDEX('Data-Input'!$C$190:$C$1189,MATCH(A109&amp;"|"&amp;$A$1,'Data-Input'!$E$190:$E$1189,0)),Q109)</f>
        <v/>
      </c>
      <c r="S109">
        <f>IF(OR($A$1="",A109=$A$1),-1000000000000000,R109)</f>
        <v/>
      </c>
      <c r="T109">
        <f>S109+ROW()*0.0000001</f>
        <v/>
      </c>
      <c r="U109">
        <f>Heroes!$M109</f>
        <v/>
      </c>
      <c r="V109">
        <f>IF(OR($A$1="",A109=$A$1,U109="",U109&lt;&gt;$J$1),-1000000000000000,R109)+ROW()*0.0000001</f>
        <v/>
      </c>
      <c r="W109">
        <f>Heroes!$I109</f>
        <v/>
      </c>
      <c r="X109">
        <f>Heroes!$J109</f>
        <v/>
      </c>
      <c r="Y109">
        <f>IF($A$1="",0,MAX(IF(W109&lt;&gt;"",IFERROR(INDEX('Data-Input'!$B$164:$W$185,MATCH(W109,'Data-Input'!$A$164:$A$185,0),MATCH($K$1,'Data-Input'!$B$163:$W$163,0)),0),0),IF(AND(W109&lt;&gt;"",$L$1&lt;&gt;""),IFERROR(INDEX('Data-Input'!$B$164:$W$185,MATCH(W109,'Data-Input'!$A$164:$A$185,0),MATCH($L$1,'Data-Input'!$B$163:$W$163,0)),0),0),IF(X109&lt;&gt;"",IFERROR(INDEX('Data-Input'!$B$164:$W$185,MATCH(X109,'Data-Input'!$A$164:$A$185,0),MATCH($K$1,'Data-Input'!$B$163:$W$163,0)),0),0),IF(AND(X109&lt;&gt;"",$L$1&lt;&gt;""),IFERROR(INDEX('Data-Input'!$B$164:$W$185,MATCH(X109,'Data-Input'!$A$164:$A$185,0),MATCH($L$1,'Data-Input'!$B$163:$W$163,0)),0),0))*$M$1)</f>
        <v/>
      </c>
      <c r="Z109">
        <f>IF($A$1="",0,SUMPRODUCT(('Data-Input'!$A$29:$A$128=A109)*('Data-Input'!$B$29:$B$128="Tag")*((('Data-Input'!$C$29:$C$128=$K$1)+('Data-Input'!$C$29:$C$128=$L$1))&gt;0)*('Data-Input'!$D$29:$D$128-'Data-Input'!$E$29:$E$128))+SUMPRODUCT(('Data-Input'!$A$29:$A$128=A109)*('Data-Input'!$B$29:$B$128="Hero")*('Data-Input'!$C$29:$C$128=$A$1)*('Data-Input'!$D$29:$D$128-'Data-Input'!$E$29:$E$128))+SUMPRODUCT(('Data-Input'!$A$29:$A$128=A109)*('Data-Input'!$B$29:$B$128="Role")*((('Data-Input'!$C$29:$C$128=$B$1)+('Data-Input'!$C$29:$C$128=$AH$1))&gt;0)*('Data-Input'!$D$29:$D$128-'Data-Input'!$E$29:$E$128))+SUMPRODUCT(('Data-Input'!$A$29:$A$128=A109)*('Data-Input'!$B$29:$B$128="DamageType")*('Data-Input'!$C$29:$C$128=$E$1)*('Data-Input'!$D$29:$D$128-'Data-Input'!$E$29:$E$128))+SUMPRODUCT(('Data-Input'!$A$29:$A$128=A109)*('Data-Input'!$B$29:$B$128="Resource")*('Data-Input'!$C$29:$C$128=$AB$1)*('Data-Input'!$D$29:$D$128-'Data-Input'!$E$29:$E$128)))</f>
        <v/>
      </c>
      <c r="AE109">
        <f>Heroes!$R109</f>
        <v/>
      </c>
      <c r="AF109">
        <f>IF($A$1="",0,IF(AND(OR(W109="Dash/Blink",W109="High Mobility",W109="Global Dive",W109="Mobility",X109="Dash/Blink",X109="High Mobility",X109="Global Dive",X109="Mobility"),$AA$1="Ranged"),$AC$1,0))</f>
        <v/>
      </c>
      <c r="AG109">
        <f>IF($A$1="",0,IF(AND(AE109="Yes",OR($K$1="Sustain",$K$1="Healing",$L$1="Sustain",$L$1="Healing")),$AD$1,0))</f>
        <v/>
      </c>
    </row>
    <row r="110" ht="15" customHeight="1">
      <c r="A110">
        <f>Heroes!$B110</f>
        <v/>
      </c>
      <c r="B110">
        <f>Heroes!$C110</f>
        <v/>
      </c>
      <c r="C110">
        <f>Heroes!$D110</f>
        <v/>
      </c>
      <c r="D110">
        <f>Heroes!$E110</f>
        <v/>
      </c>
      <c r="E110">
        <f>Heroes!$F110</f>
        <v/>
      </c>
      <c r="F110">
        <f>Heroes!$H110</f>
        <v/>
      </c>
      <c r="G110">
        <f>Heroes!$K110</f>
        <v/>
      </c>
      <c r="H110">
        <f>Heroes!$Q110</f>
        <v/>
      </c>
      <c r="I110">
        <f>IFERROR(INDEX('Data-Input'!$B$19:$G$24,MATCH(B110,'Data-Input'!$A$19:$A$24,0),MATCH($B$1,'Data-Input'!$B$18:$G$18,0)),0)</f>
        <v/>
      </c>
      <c r="J110">
        <f>IF(C110&lt;&gt;"",IFERROR(INDEX('Data-Input'!$B$19:$G$24,MATCH(C110,'Data-Input'!$A$19:$A$24,0),MATCH($B$1,'Data-Input'!$B$18:$G$18,0)),0),I110)</f>
        <v/>
      </c>
      <c r="K110">
        <f>MAX(I110,J110)</f>
        <v/>
      </c>
      <c r="L110">
        <f>((D110+E110)/2-$C$1)*$H$1</f>
        <v/>
      </c>
      <c r="M110">
        <f>F110-$D$1</f>
        <v/>
      </c>
      <c r="N110">
        <f>IF(M110&gt;20,M110*$I$1,0)</f>
        <v/>
      </c>
      <c r="O110">
        <f>IF(G110="Mixed",$Q$1,IF(G110=$E$1,$O$1,$P$1))</f>
        <v/>
      </c>
      <c r="P110">
        <f>(H110-$F$1)*$N$1</f>
        <v/>
      </c>
      <c r="Q110">
        <f>K110*$G$1+L110+N110+O110+P110+Y110+Z110+AF110+AG110</f>
        <v/>
      </c>
      <c r="R110">
        <f>IFERROR(INDEX('Data-Input'!$C$190:$C$1189,MATCH(A110&amp;"|"&amp;$A$1,'Data-Input'!$E$190:$E$1189,0)),Q110)</f>
        <v/>
      </c>
      <c r="S110">
        <f>IF(OR($A$1="",A110=$A$1),-1000000000000000,R110)</f>
        <v/>
      </c>
      <c r="T110">
        <f>S110+ROW()*0.0000001</f>
        <v/>
      </c>
      <c r="U110">
        <f>Heroes!$M110</f>
        <v/>
      </c>
      <c r="V110">
        <f>IF(OR($A$1="",A110=$A$1,U110="",U110&lt;&gt;$J$1),-1000000000000000,R110)+ROW()*0.0000001</f>
        <v/>
      </c>
      <c r="W110">
        <f>Heroes!$I110</f>
        <v/>
      </c>
      <c r="X110">
        <f>Heroes!$J110</f>
        <v/>
      </c>
      <c r="Y110">
        <f>IF($A$1="",0,MAX(IF(W110&lt;&gt;"",IFERROR(INDEX('Data-Input'!$B$164:$W$185,MATCH(W110,'Data-Input'!$A$164:$A$185,0),MATCH($K$1,'Data-Input'!$B$163:$W$163,0)),0),0),IF(AND(W110&lt;&gt;"",$L$1&lt;&gt;""),IFERROR(INDEX('Data-Input'!$B$164:$W$185,MATCH(W110,'Data-Input'!$A$164:$A$185,0),MATCH($L$1,'Data-Input'!$B$163:$W$163,0)),0),0),IF(X110&lt;&gt;"",IFERROR(INDEX('Data-Input'!$B$164:$W$185,MATCH(X110,'Data-Input'!$A$164:$A$185,0),MATCH($K$1,'Data-Input'!$B$163:$W$163,0)),0),0),IF(AND(X110&lt;&gt;"",$L$1&lt;&gt;""),IFERROR(INDEX('Data-Input'!$B$164:$W$185,MATCH(X110,'Data-Input'!$A$164:$A$185,0),MATCH($L$1,'Data-Input'!$B$163:$W$163,0)),0),0))*$M$1)</f>
        <v/>
      </c>
      <c r="Z110">
        <f>IF($A$1="",0,SUMPRODUCT(('Data-Input'!$A$29:$A$128=A110)*('Data-Input'!$B$29:$B$128="Tag")*((('Data-Input'!$C$29:$C$128=$K$1)+('Data-Input'!$C$29:$C$128=$L$1))&gt;0)*('Data-Input'!$D$29:$D$128-'Data-Input'!$E$29:$E$128))+SUMPRODUCT(('Data-Input'!$A$29:$A$128=A110)*('Data-Input'!$B$29:$B$128="Hero")*('Data-Input'!$C$29:$C$128=$A$1)*('Data-Input'!$D$29:$D$128-'Data-Input'!$E$29:$E$128))+SUMPRODUCT(('Data-Input'!$A$29:$A$128=A110)*('Data-Input'!$B$29:$B$128="Role")*((('Data-Input'!$C$29:$C$128=$B$1)+('Data-Input'!$C$29:$C$128=$AH$1))&gt;0)*('Data-Input'!$D$29:$D$128-'Data-Input'!$E$29:$E$128))+SUMPRODUCT(('Data-Input'!$A$29:$A$128=A110)*('Data-Input'!$B$29:$B$128="DamageType")*('Data-Input'!$C$29:$C$128=$E$1)*('Data-Input'!$D$29:$D$128-'Data-Input'!$E$29:$E$128))+SUMPRODUCT(('Data-Input'!$A$29:$A$128=A110)*('Data-Input'!$B$29:$B$128="Resource")*('Data-Input'!$C$29:$C$128=$AB$1)*('Data-Input'!$D$29:$D$128-'Data-Input'!$E$29:$E$128)))</f>
        <v/>
      </c>
      <c r="AE110">
        <f>Heroes!$R110</f>
        <v/>
      </c>
      <c r="AF110">
        <f>IF($A$1="",0,IF(AND(OR(W110="Dash/Blink",W110="High Mobility",W110="Global Dive",W110="Mobility",X110="Dash/Blink",X110="High Mobility",X110="Global Dive",X110="Mobility"),$AA$1="Ranged"),$AC$1,0))</f>
        <v/>
      </c>
      <c r="AG110">
        <f>IF($A$1="",0,IF(AND(AE110="Yes",OR($K$1="Sustain",$K$1="Healing",$L$1="Sustain",$L$1="Healing")),$AD$1,0))</f>
        <v/>
      </c>
    </row>
    <row r="111" ht="15" customHeight="1">
      <c r="A111">
        <f>Heroes!$B111</f>
        <v/>
      </c>
      <c r="B111">
        <f>Heroes!$C111</f>
        <v/>
      </c>
      <c r="C111">
        <f>Heroes!$D111</f>
        <v/>
      </c>
      <c r="D111">
        <f>Heroes!$E111</f>
        <v/>
      </c>
      <c r="E111">
        <f>Heroes!$F111</f>
        <v/>
      </c>
      <c r="F111">
        <f>Heroes!$H111</f>
        <v/>
      </c>
      <c r="G111">
        <f>Heroes!$K111</f>
        <v/>
      </c>
      <c r="H111">
        <f>Heroes!$Q111</f>
        <v/>
      </c>
      <c r="I111">
        <f>IFERROR(INDEX('Data-Input'!$B$19:$G$24,MATCH(B111,'Data-Input'!$A$19:$A$24,0),MATCH($B$1,'Data-Input'!$B$18:$G$18,0)),0)</f>
        <v/>
      </c>
      <c r="J111">
        <f>IF(C111&lt;&gt;"",IFERROR(INDEX('Data-Input'!$B$19:$G$24,MATCH(C111,'Data-Input'!$A$19:$A$24,0),MATCH($B$1,'Data-Input'!$B$18:$G$18,0)),0),I111)</f>
        <v/>
      </c>
      <c r="K111">
        <f>MAX(I111,J111)</f>
        <v/>
      </c>
      <c r="L111">
        <f>((D111+E111)/2-$C$1)*$H$1</f>
        <v/>
      </c>
      <c r="M111">
        <f>F111-$D$1</f>
        <v/>
      </c>
      <c r="N111">
        <f>IF(M111&gt;20,M111*$I$1,0)</f>
        <v/>
      </c>
      <c r="O111">
        <f>IF(G111="Mixed",$Q$1,IF(G111=$E$1,$O$1,$P$1))</f>
        <v/>
      </c>
      <c r="P111">
        <f>(H111-$F$1)*$N$1</f>
        <v/>
      </c>
      <c r="Q111">
        <f>K111*$G$1+L111+N111+O111+P111+Y111+Z111+AF111+AG111</f>
        <v/>
      </c>
      <c r="R111">
        <f>IFERROR(INDEX('Data-Input'!$C$190:$C$1189,MATCH(A111&amp;"|"&amp;$A$1,'Data-Input'!$E$190:$E$1189,0)),Q111)</f>
        <v/>
      </c>
      <c r="S111">
        <f>IF(OR($A$1="",A111=$A$1),-1000000000000000,R111)</f>
        <v/>
      </c>
      <c r="T111">
        <f>S111+ROW()*0.0000001</f>
        <v/>
      </c>
      <c r="U111">
        <f>Heroes!$M111</f>
        <v/>
      </c>
      <c r="V111">
        <f>IF(OR($A$1="",A111=$A$1,U111="",U111&lt;&gt;$J$1),-1000000000000000,R111)+ROW()*0.0000001</f>
        <v/>
      </c>
      <c r="W111">
        <f>Heroes!$I111</f>
        <v/>
      </c>
      <c r="X111">
        <f>Heroes!$J111</f>
        <v/>
      </c>
      <c r="Y111">
        <f>IF($A$1="",0,MAX(IF(W111&lt;&gt;"",IFERROR(INDEX('Data-Input'!$B$164:$W$185,MATCH(W111,'Data-Input'!$A$164:$A$185,0),MATCH($K$1,'Data-Input'!$B$163:$W$163,0)),0),0),IF(AND(W111&lt;&gt;"",$L$1&lt;&gt;""),IFERROR(INDEX('Data-Input'!$B$164:$W$185,MATCH(W111,'Data-Input'!$A$164:$A$185,0),MATCH($L$1,'Data-Input'!$B$163:$W$163,0)),0),0),IF(X111&lt;&gt;"",IFERROR(INDEX('Data-Input'!$B$164:$W$185,MATCH(X111,'Data-Input'!$A$164:$A$185,0),MATCH($K$1,'Data-Input'!$B$163:$W$163,0)),0),0),IF(AND(X111&lt;&gt;"",$L$1&lt;&gt;""),IFERROR(INDEX('Data-Input'!$B$164:$W$185,MATCH(X111,'Data-Input'!$A$164:$A$185,0),MATCH($L$1,'Data-Input'!$B$163:$W$163,0)),0),0))*$M$1)</f>
        <v/>
      </c>
      <c r="Z111">
        <f>IF($A$1="",0,SUMPRODUCT(('Data-Input'!$A$29:$A$128=A111)*('Data-Input'!$B$29:$B$128="Tag")*((('Data-Input'!$C$29:$C$128=$K$1)+('Data-Input'!$C$29:$C$128=$L$1))&gt;0)*('Data-Input'!$D$29:$D$128-'Data-Input'!$E$29:$E$128))+SUMPRODUCT(('Data-Input'!$A$29:$A$128=A111)*('Data-Input'!$B$29:$B$128="Hero")*('Data-Input'!$C$29:$C$128=$A$1)*('Data-Input'!$D$29:$D$128-'Data-Input'!$E$29:$E$128))+SUMPRODUCT(('Data-Input'!$A$29:$A$128=A111)*('Data-Input'!$B$29:$B$128="Role")*((('Data-Input'!$C$29:$C$128=$B$1)+('Data-Input'!$C$29:$C$128=$AH$1))&gt;0)*('Data-Input'!$D$29:$D$128-'Data-Input'!$E$29:$E$128))+SUMPRODUCT(('Data-Input'!$A$29:$A$128=A111)*('Data-Input'!$B$29:$B$128="DamageType")*('Data-Input'!$C$29:$C$128=$E$1)*('Data-Input'!$D$29:$D$128-'Data-Input'!$E$29:$E$128))+SUMPRODUCT(('Data-Input'!$A$29:$A$128=A111)*('Data-Input'!$B$29:$B$128="Resource")*('Data-Input'!$C$29:$C$128=$AB$1)*('Data-Input'!$D$29:$D$128-'Data-Input'!$E$29:$E$128)))</f>
        <v/>
      </c>
      <c r="AE111">
        <f>Heroes!$R111</f>
        <v/>
      </c>
      <c r="AF111">
        <f>IF($A$1="",0,IF(AND(OR(W111="Dash/Blink",W111="High Mobility",W111="Global Dive",W111="Mobility",X111="Dash/Blink",X111="High Mobility",X111="Global Dive",X111="Mobility"),$AA$1="Ranged"),$AC$1,0))</f>
        <v/>
      </c>
      <c r="AG111">
        <f>IF($A$1="",0,IF(AND(AE111="Yes",OR($K$1="Sustain",$K$1="Healing",$L$1="Sustain",$L$1="Healing")),$AD$1,0))</f>
        <v/>
      </c>
    </row>
    <row r="112" ht="15" customHeight="1">
      <c r="A112">
        <f>Heroes!$B112</f>
        <v/>
      </c>
      <c r="B112">
        <f>Heroes!$C112</f>
        <v/>
      </c>
      <c r="C112">
        <f>Heroes!$D112</f>
        <v/>
      </c>
      <c r="D112">
        <f>Heroes!$E112</f>
        <v/>
      </c>
      <c r="E112">
        <f>Heroes!$F112</f>
        <v/>
      </c>
      <c r="F112">
        <f>Heroes!$H112</f>
        <v/>
      </c>
      <c r="G112">
        <f>Heroes!$K112</f>
        <v/>
      </c>
      <c r="H112">
        <f>Heroes!$Q112</f>
        <v/>
      </c>
      <c r="I112">
        <f>IFERROR(INDEX('Data-Input'!$B$19:$G$24,MATCH(B112,'Data-Input'!$A$19:$A$24,0),MATCH($B$1,'Data-Input'!$B$18:$G$18,0)),0)</f>
        <v/>
      </c>
      <c r="J112">
        <f>IF(C112&lt;&gt;"",IFERROR(INDEX('Data-Input'!$B$19:$G$24,MATCH(C112,'Data-Input'!$A$19:$A$24,0),MATCH($B$1,'Data-Input'!$B$18:$G$18,0)),0),I112)</f>
        <v/>
      </c>
      <c r="K112">
        <f>MAX(I112,J112)</f>
        <v/>
      </c>
      <c r="L112">
        <f>((D112+E112)/2-$C$1)*$H$1</f>
        <v/>
      </c>
      <c r="M112">
        <f>F112-$D$1</f>
        <v/>
      </c>
      <c r="N112">
        <f>IF(M112&gt;20,M112*$I$1,0)</f>
        <v/>
      </c>
      <c r="O112">
        <f>IF(G112="Mixed",$Q$1,IF(G112=$E$1,$O$1,$P$1))</f>
        <v/>
      </c>
      <c r="P112">
        <f>(H112-$F$1)*$N$1</f>
        <v/>
      </c>
      <c r="Q112">
        <f>K112*$G$1+L112+N112+O112+P112+Y112+Z112+AF112+AG112</f>
        <v/>
      </c>
      <c r="R112">
        <f>IFERROR(INDEX('Data-Input'!$C$190:$C$1189,MATCH(A112&amp;"|"&amp;$A$1,'Data-Input'!$E$190:$E$1189,0)),Q112)</f>
        <v/>
      </c>
      <c r="S112">
        <f>IF(OR($A$1="",A112=$A$1),-1000000000000000,R112)</f>
        <v/>
      </c>
      <c r="T112">
        <f>S112+ROW()*0.0000001</f>
        <v/>
      </c>
      <c r="U112">
        <f>Heroes!$M112</f>
        <v/>
      </c>
      <c r="V112">
        <f>IF(OR($A$1="",A112=$A$1,U112="",U112&lt;&gt;$J$1),-1000000000000000,R112)+ROW()*0.0000001</f>
        <v/>
      </c>
      <c r="W112">
        <f>Heroes!$I112</f>
        <v/>
      </c>
      <c r="X112">
        <f>Heroes!$J112</f>
        <v/>
      </c>
      <c r="Y112">
        <f>IF($A$1="",0,MAX(IF(W112&lt;&gt;"",IFERROR(INDEX('Data-Input'!$B$164:$W$185,MATCH(W112,'Data-Input'!$A$164:$A$185,0),MATCH($K$1,'Data-Input'!$B$163:$W$163,0)),0),0),IF(AND(W112&lt;&gt;"",$L$1&lt;&gt;""),IFERROR(INDEX('Data-Input'!$B$164:$W$185,MATCH(W112,'Data-Input'!$A$164:$A$185,0),MATCH($L$1,'Data-Input'!$B$163:$W$163,0)),0),0),IF(X112&lt;&gt;"",IFERROR(INDEX('Data-Input'!$B$164:$W$185,MATCH(X112,'Data-Input'!$A$164:$A$185,0),MATCH($K$1,'Data-Input'!$B$163:$W$163,0)),0),0),IF(AND(X112&lt;&gt;"",$L$1&lt;&gt;""),IFERROR(INDEX('Data-Input'!$B$164:$W$185,MATCH(X112,'Data-Input'!$A$164:$A$185,0),MATCH($L$1,'Data-Input'!$B$163:$W$163,0)),0),0))*$M$1)</f>
        <v/>
      </c>
      <c r="Z112">
        <f>IF($A$1="",0,SUMPRODUCT(('Data-Input'!$A$29:$A$128=A112)*('Data-Input'!$B$29:$B$128="Tag")*((('Data-Input'!$C$29:$C$128=$K$1)+('Data-Input'!$C$29:$C$128=$L$1))&gt;0)*('Data-Input'!$D$29:$D$128-'Data-Input'!$E$29:$E$128))+SUMPRODUCT(('Data-Input'!$A$29:$A$128=A112)*('Data-Input'!$B$29:$B$128="Hero")*('Data-Input'!$C$29:$C$128=$A$1)*('Data-Input'!$D$29:$D$128-'Data-Input'!$E$29:$E$128))+SUMPRODUCT(('Data-Input'!$A$29:$A$128=A112)*('Data-Input'!$B$29:$B$128="Role")*((('Data-Input'!$C$29:$C$128=$B$1)+('Data-Input'!$C$29:$C$128=$AH$1))&gt;0)*('Data-Input'!$D$29:$D$128-'Data-Input'!$E$29:$E$128))+SUMPRODUCT(('Data-Input'!$A$29:$A$128=A112)*('Data-Input'!$B$29:$B$128="DamageType")*('Data-Input'!$C$29:$C$128=$E$1)*('Data-Input'!$D$29:$D$128-'Data-Input'!$E$29:$E$128))+SUMPRODUCT(('Data-Input'!$A$29:$A$128=A112)*('Data-Input'!$B$29:$B$128="Resource")*('Data-Input'!$C$29:$C$128=$AB$1)*('Data-Input'!$D$29:$D$128-'Data-Input'!$E$29:$E$128)))</f>
        <v/>
      </c>
      <c r="AE112">
        <f>Heroes!$R112</f>
        <v/>
      </c>
      <c r="AF112">
        <f>IF($A$1="",0,IF(AND(OR(W112="Dash/Blink",W112="High Mobility",W112="Global Dive",W112="Mobility",X112="Dash/Blink",X112="High Mobility",X112="Global Dive",X112="Mobility"),$AA$1="Ranged"),$AC$1,0))</f>
        <v/>
      </c>
      <c r="AG112">
        <f>IF($A$1="",0,IF(AND(AE112="Yes",OR($K$1="Sustain",$K$1="Healing",$L$1="Sustain",$L$1="Healing")),$AD$1,0))</f>
        <v/>
      </c>
    </row>
    <row r="113" ht="15" customHeight="1">
      <c r="A113">
        <f>Heroes!$B113</f>
        <v/>
      </c>
      <c r="B113">
        <f>Heroes!$C113</f>
        <v/>
      </c>
      <c r="C113">
        <f>Heroes!$D113</f>
        <v/>
      </c>
      <c r="D113">
        <f>Heroes!$E113</f>
        <v/>
      </c>
      <c r="E113">
        <f>Heroes!$F113</f>
        <v/>
      </c>
      <c r="F113">
        <f>Heroes!$H113</f>
        <v/>
      </c>
      <c r="G113">
        <f>Heroes!$K113</f>
        <v/>
      </c>
      <c r="H113">
        <f>Heroes!$Q113</f>
        <v/>
      </c>
      <c r="I113">
        <f>IFERROR(INDEX('Data-Input'!$B$19:$G$24,MATCH(B113,'Data-Input'!$A$19:$A$24,0),MATCH($B$1,'Data-Input'!$B$18:$G$18,0)),0)</f>
        <v/>
      </c>
      <c r="J113">
        <f>IF(C113&lt;&gt;"",IFERROR(INDEX('Data-Input'!$B$19:$G$24,MATCH(C113,'Data-Input'!$A$19:$A$24,0),MATCH($B$1,'Data-Input'!$B$18:$G$18,0)),0),I113)</f>
        <v/>
      </c>
      <c r="K113">
        <f>MAX(I113,J113)</f>
        <v/>
      </c>
      <c r="L113">
        <f>((D113+E113)/2-$C$1)*$H$1</f>
        <v/>
      </c>
      <c r="M113">
        <f>F113-$D$1</f>
        <v/>
      </c>
      <c r="N113">
        <f>IF(M113&gt;20,M113*$I$1,0)</f>
        <v/>
      </c>
      <c r="O113">
        <f>IF(G113="Mixed",$Q$1,IF(G113=$E$1,$O$1,$P$1))</f>
        <v/>
      </c>
      <c r="P113">
        <f>(H113-$F$1)*$N$1</f>
        <v/>
      </c>
      <c r="Q113">
        <f>K113*$G$1+L113+N113+O113+P113+Y113+Z113+AF113+AG113</f>
        <v/>
      </c>
      <c r="R113">
        <f>IFERROR(INDEX('Data-Input'!$C$190:$C$1189,MATCH(A113&amp;"|"&amp;$A$1,'Data-Input'!$E$190:$E$1189,0)),Q113)</f>
        <v/>
      </c>
      <c r="S113">
        <f>IF(OR($A$1="",A113=$A$1),-1000000000000000,R113)</f>
        <v/>
      </c>
      <c r="T113">
        <f>S113+ROW()*0.0000001</f>
        <v/>
      </c>
      <c r="U113">
        <f>Heroes!$M113</f>
        <v/>
      </c>
      <c r="V113">
        <f>IF(OR($A$1="",A113=$A$1,U113="",U113&lt;&gt;$J$1),-1000000000000000,R113)+ROW()*0.0000001</f>
        <v/>
      </c>
      <c r="W113">
        <f>Heroes!$I113</f>
        <v/>
      </c>
      <c r="X113">
        <f>Heroes!$J113</f>
        <v/>
      </c>
      <c r="Y113">
        <f>IF($A$1="",0,MAX(IF(W113&lt;&gt;"",IFERROR(INDEX('Data-Input'!$B$164:$W$185,MATCH(W113,'Data-Input'!$A$164:$A$185,0),MATCH($K$1,'Data-Input'!$B$163:$W$163,0)),0),0),IF(AND(W113&lt;&gt;"",$L$1&lt;&gt;""),IFERROR(INDEX('Data-Input'!$B$164:$W$185,MATCH(W113,'Data-Input'!$A$164:$A$185,0),MATCH($L$1,'Data-Input'!$B$163:$W$163,0)),0),0),IF(X113&lt;&gt;"",IFERROR(INDEX('Data-Input'!$B$164:$W$185,MATCH(X113,'Data-Input'!$A$164:$A$185,0),MATCH($K$1,'Data-Input'!$B$163:$W$163,0)),0),0),IF(AND(X113&lt;&gt;"",$L$1&lt;&gt;""),IFERROR(INDEX('Data-Input'!$B$164:$W$185,MATCH(X113,'Data-Input'!$A$164:$A$185,0),MATCH($L$1,'Data-Input'!$B$163:$W$163,0)),0),0))*$M$1)</f>
        <v/>
      </c>
      <c r="Z113">
        <f>IF($A$1="",0,SUMPRODUCT(('Data-Input'!$A$29:$A$128=A113)*('Data-Input'!$B$29:$B$128="Tag")*((('Data-Input'!$C$29:$C$128=$K$1)+('Data-Input'!$C$29:$C$128=$L$1))&gt;0)*('Data-Input'!$D$29:$D$128-'Data-Input'!$E$29:$E$128))+SUMPRODUCT(('Data-Input'!$A$29:$A$128=A113)*('Data-Input'!$B$29:$B$128="Hero")*('Data-Input'!$C$29:$C$128=$A$1)*('Data-Input'!$D$29:$D$128-'Data-Input'!$E$29:$E$128))+SUMPRODUCT(('Data-Input'!$A$29:$A$128=A113)*('Data-Input'!$B$29:$B$128="Role")*((('Data-Input'!$C$29:$C$128=$B$1)+('Data-Input'!$C$29:$C$128=$AH$1))&gt;0)*('Data-Input'!$D$29:$D$128-'Data-Input'!$E$29:$E$128))+SUMPRODUCT(('Data-Input'!$A$29:$A$128=A113)*('Data-Input'!$B$29:$B$128="DamageType")*('Data-Input'!$C$29:$C$128=$E$1)*('Data-Input'!$D$29:$D$128-'Data-Input'!$E$29:$E$128))+SUMPRODUCT(('Data-Input'!$A$29:$A$128=A113)*('Data-Input'!$B$29:$B$128="Resource")*('Data-Input'!$C$29:$C$128=$AB$1)*('Data-Input'!$D$29:$D$128-'Data-Input'!$E$29:$E$128)))</f>
        <v/>
      </c>
      <c r="AE113">
        <f>Heroes!$R113</f>
        <v/>
      </c>
      <c r="AF113">
        <f>IF($A$1="",0,IF(AND(OR(W113="Dash/Blink",W113="High Mobility",W113="Global Dive",W113="Mobility",X113="Dash/Blink",X113="High Mobility",X113="Global Dive",X113="Mobility"),$AA$1="Ranged"),$AC$1,0))</f>
        <v/>
      </c>
      <c r="AG113">
        <f>IF($A$1="",0,IF(AND(AE113="Yes",OR($K$1="Sustain",$K$1="Healing",$L$1="Sustain",$L$1="Healing")),$AD$1,0))</f>
        <v/>
      </c>
    </row>
    <row r="114" ht="15" customHeight="1">
      <c r="A114">
        <f>Heroes!$B114</f>
        <v/>
      </c>
      <c r="B114">
        <f>Heroes!$C114</f>
        <v/>
      </c>
      <c r="C114">
        <f>Heroes!$D114</f>
        <v/>
      </c>
      <c r="D114">
        <f>Heroes!$E114</f>
        <v/>
      </c>
      <c r="E114">
        <f>Heroes!$F114</f>
        <v/>
      </c>
      <c r="F114">
        <f>Heroes!$H114</f>
        <v/>
      </c>
      <c r="G114">
        <f>Heroes!$K114</f>
        <v/>
      </c>
      <c r="H114">
        <f>Heroes!$Q114</f>
        <v/>
      </c>
      <c r="I114">
        <f>IFERROR(INDEX('Data-Input'!$B$19:$G$24,MATCH(B114,'Data-Input'!$A$19:$A$24,0),MATCH($B$1,'Data-Input'!$B$18:$G$18,0)),0)</f>
        <v/>
      </c>
      <c r="J114">
        <f>IF(C114&lt;&gt;"",IFERROR(INDEX('Data-Input'!$B$19:$G$24,MATCH(C114,'Data-Input'!$A$19:$A$24,0),MATCH($B$1,'Data-Input'!$B$18:$G$18,0)),0),I114)</f>
        <v/>
      </c>
      <c r="K114">
        <f>MAX(I114,J114)</f>
        <v/>
      </c>
      <c r="L114">
        <f>((D114+E114)/2-$C$1)*$H$1</f>
        <v/>
      </c>
      <c r="M114">
        <f>F114-$D$1</f>
        <v/>
      </c>
      <c r="N114">
        <f>IF(M114&gt;20,M114*$I$1,0)</f>
        <v/>
      </c>
      <c r="O114">
        <f>IF(G114="Mixed",$Q$1,IF(G114=$E$1,$O$1,$P$1))</f>
        <v/>
      </c>
      <c r="P114">
        <f>(H114-$F$1)*$N$1</f>
        <v/>
      </c>
      <c r="Q114">
        <f>K114*$G$1+L114+N114+O114+P114+Y114+Z114+AF114+AG114</f>
        <v/>
      </c>
      <c r="R114">
        <f>IFERROR(INDEX('Data-Input'!$C$190:$C$1189,MATCH(A114&amp;"|"&amp;$A$1,'Data-Input'!$E$190:$E$1189,0)),Q114)</f>
        <v/>
      </c>
      <c r="S114">
        <f>IF(OR($A$1="",A114=$A$1),-1000000000000000,R114)</f>
        <v/>
      </c>
      <c r="T114">
        <f>S114+ROW()*0.0000001</f>
        <v/>
      </c>
      <c r="U114">
        <f>Heroes!$M114</f>
        <v/>
      </c>
      <c r="V114">
        <f>IF(OR($A$1="",A114=$A$1,U114="",U114&lt;&gt;$J$1),-1000000000000000,R114)+ROW()*0.0000001</f>
        <v/>
      </c>
      <c r="W114">
        <f>Heroes!$I114</f>
        <v/>
      </c>
      <c r="X114">
        <f>Heroes!$J114</f>
        <v/>
      </c>
      <c r="Y114">
        <f>IF($A$1="",0,MAX(IF(W114&lt;&gt;"",IFERROR(INDEX('Data-Input'!$B$164:$W$185,MATCH(W114,'Data-Input'!$A$164:$A$185,0),MATCH($K$1,'Data-Input'!$B$163:$W$163,0)),0),0),IF(AND(W114&lt;&gt;"",$L$1&lt;&gt;""),IFERROR(INDEX('Data-Input'!$B$164:$W$185,MATCH(W114,'Data-Input'!$A$164:$A$185,0),MATCH($L$1,'Data-Input'!$B$163:$W$163,0)),0),0),IF(X114&lt;&gt;"",IFERROR(INDEX('Data-Input'!$B$164:$W$185,MATCH(X114,'Data-Input'!$A$164:$A$185,0),MATCH($K$1,'Data-Input'!$B$163:$W$163,0)),0),0),IF(AND(X114&lt;&gt;"",$L$1&lt;&gt;""),IFERROR(INDEX('Data-Input'!$B$164:$W$185,MATCH(X114,'Data-Input'!$A$164:$A$185,0),MATCH($L$1,'Data-Input'!$B$163:$W$163,0)),0),0))*$M$1)</f>
        <v/>
      </c>
      <c r="Z114">
        <f>IF($A$1="",0,SUMPRODUCT(('Data-Input'!$A$29:$A$128=A114)*('Data-Input'!$B$29:$B$128="Tag")*((('Data-Input'!$C$29:$C$128=$K$1)+('Data-Input'!$C$29:$C$128=$L$1))&gt;0)*('Data-Input'!$D$29:$D$128-'Data-Input'!$E$29:$E$128))+SUMPRODUCT(('Data-Input'!$A$29:$A$128=A114)*('Data-Input'!$B$29:$B$128="Hero")*('Data-Input'!$C$29:$C$128=$A$1)*('Data-Input'!$D$29:$D$128-'Data-Input'!$E$29:$E$128))+SUMPRODUCT(('Data-Input'!$A$29:$A$128=A114)*('Data-Input'!$B$29:$B$128="Role")*((('Data-Input'!$C$29:$C$128=$B$1)+('Data-Input'!$C$29:$C$128=$AH$1))&gt;0)*('Data-Input'!$D$29:$D$128-'Data-Input'!$E$29:$E$128))+SUMPRODUCT(('Data-Input'!$A$29:$A$128=A114)*('Data-Input'!$B$29:$B$128="DamageType")*('Data-Input'!$C$29:$C$128=$E$1)*('Data-Input'!$D$29:$D$128-'Data-Input'!$E$29:$E$128))+SUMPRODUCT(('Data-Input'!$A$29:$A$128=A114)*('Data-Input'!$B$29:$B$128="Resource")*('Data-Input'!$C$29:$C$128=$AB$1)*('Data-Input'!$D$29:$D$128-'Data-Input'!$E$29:$E$128)))</f>
        <v/>
      </c>
      <c r="AE114">
        <f>Heroes!$R114</f>
        <v/>
      </c>
      <c r="AF114">
        <f>IF($A$1="",0,IF(AND(OR(W114="Dash/Blink",W114="High Mobility",W114="Global Dive",W114="Mobility",X114="Dash/Blink",X114="High Mobility",X114="Global Dive",X114="Mobility"),$AA$1="Ranged"),$AC$1,0))</f>
        <v/>
      </c>
      <c r="AG114">
        <f>IF($A$1="",0,IF(AND(AE114="Yes",OR($K$1="Sustain",$K$1="Healing",$L$1="Sustain",$L$1="Healing")),$AD$1,0))</f>
        <v/>
      </c>
    </row>
    <row r="115" ht="15" customHeight="1">
      <c r="A115">
        <f>Heroes!$B115</f>
        <v/>
      </c>
      <c r="B115">
        <f>Heroes!$C115</f>
        <v/>
      </c>
      <c r="C115">
        <f>Heroes!$D115</f>
        <v/>
      </c>
      <c r="D115">
        <f>Heroes!$E115</f>
        <v/>
      </c>
      <c r="E115">
        <f>Heroes!$F115</f>
        <v/>
      </c>
      <c r="F115">
        <f>Heroes!$H115</f>
        <v/>
      </c>
      <c r="G115">
        <f>Heroes!$K115</f>
        <v/>
      </c>
      <c r="H115">
        <f>Heroes!$Q115</f>
        <v/>
      </c>
      <c r="I115">
        <f>IFERROR(INDEX('Data-Input'!$B$19:$G$24,MATCH(B115,'Data-Input'!$A$19:$A$24,0),MATCH($B$1,'Data-Input'!$B$18:$G$18,0)),0)</f>
        <v/>
      </c>
      <c r="J115">
        <f>IF(C115&lt;&gt;"",IFERROR(INDEX('Data-Input'!$B$19:$G$24,MATCH(C115,'Data-Input'!$A$19:$A$24,0),MATCH($B$1,'Data-Input'!$B$18:$G$18,0)),0),I115)</f>
        <v/>
      </c>
      <c r="K115">
        <f>MAX(I115,J115)</f>
        <v/>
      </c>
      <c r="L115">
        <f>((D115+E115)/2-$C$1)*$H$1</f>
        <v/>
      </c>
      <c r="M115">
        <f>F115-$D$1</f>
        <v/>
      </c>
      <c r="N115">
        <f>IF(M115&gt;20,M115*$I$1,0)</f>
        <v/>
      </c>
      <c r="O115">
        <f>IF(G115="Mixed",$Q$1,IF(G115=$E$1,$O$1,$P$1))</f>
        <v/>
      </c>
      <c r="P115">
        <f>(H115-$F$1)*$N$1</f>
        <v/>
      </c>
      <c r="Q115">
        <f>K115*$G$1+L115+N115+O115+P115+Y115+Z115+AF115+AG115</f>
        <v/>
      </c>
      <c r="R115">
        <f>IFERROR(INDEX('Data-Input'!$C$190:$C$1189,MATCH(A115&amp;"|"&amp;$A$1,'Data-Input'!$E$190:$E$1189,0)),Q115)</f>
        <v/>
      </c>
      <c r="S115">
        <f>IF(OR($A$1="",A115=$A$1),-1000000000000000,R115)</f>
        <v/>
      </c>
      <c r="T115">
        <f>S115+ROW()*0.0000001</f>
        <v/>
      </c>
      <c r="U115">
        <f>Heroes!$M115</f>
        <v/>
      </c>
      <c r="V115">
        <f>IF(OR($A$1="",A115=$A$1,U115="",U115&lt;&gt;$J$1),-1000000000000000,R115)+ROW()*0.0000001</f>
        <v/>
      </c>
      <c r="W115">
        <f>Heroes!$I115</f>
        <v/>
      </c>
      <c r="X115">
        <f>Heroes!$J115</f>
        <v/>
      </c>
      <c r="Y115">
        <f>IF($A$1="",0,MAX(IF(W115&lt;&gt;"",IFERROR(INDEX('Data-Input'!$B$164:$W$185,MATCH(W115,'Data-Input'!$A$164:$A$185,0),MATCH($K$1,'Data-Input'!$B$163:$W$163,0)),0),0),IF(AND(W115&lt;&gt;"",$L$1&lt;&gt;""),IFERROR(INDEX('Data-Input'!$B$164:$W$185,MATCH(W115,'Data-Input'!$A$164:$A$185,0),MATCH($L$1,'Data-Input'!$B$163:$W$163,0)),0),0),IF(X115&lt;&gt;"",IFERROR(INDEX('Data-Input'!$B$164:$W$185,MATCH(X115,'Data-Input'!$A$164:$A$185,0),MATCH($K$1,'Data-Input'!$B$163:$W$163,0)),0),0),IF(AND(X115&lt;&gt;"",$L$1&lt;&gt;""),IFERROR(INDEX('Data-Input'!$B$164:$W$185,MATCH(X115,'Data-Input'!$A$164:$A$185,0),MATCH($L$1,'Data-Input'!$B$163:$W$163,0)),0),0))*$M$1)</f>
        <v/>
      </c>
      <c r="Z115">
        <f>IF($A$1="",0,SUMPRODUCT(('Data-Input'!$A$29:$A$128=A115)*('Data-Input'!$B$29:$B$128="Tag")*((('Data-Input'!$C$29:$C$128=$K$1)+('Data-Input'!$C$29:$C$128=$L$1))&gt;0)*('Data-Input'!$D$29:$D$128-'Data-Input'!$E$29:$E$128))+SUMPRODUCT(('Data-Input'!$A$29:$A$128=A115)*('Data-Input'!$B$29:$B$128="Hero")*('Data-Input'!$C$29:$C$128=$A$1)*('Data-Input'!$D$29:$D$128-'Data-Input'!$E$29:$E$128))+SUMPRODUCT(('Data-Input'!$A$29:$A$128=A115)*('Data-Input'!$B$29:$B$128="Role")*((('Data-Input'!$C$29:$C$128=$B$1)+('Data-Input'!$C$29:$C$128=$AH$1))&gt;0)*('Data-Input'!$D$29:$D$128-'Data-Input'!$E$29:$E$128))+SUMPRODUCT(('Data-Input'!$A$29:$A$128=A115)*('Data-Input'!$B$29:$B$128="DamageType")*('Data-Input'!$C$29:$C$128=$E$1)*('Data-Input'!$D$29:$D$128-'Data-Input'!$E$29:$E$128))+SUMPRODUCT(('Data-Input'!$A$29:$A$128=A115)*('Data-Input'!$B$29:$B$128="Resource")*('Data-Input'!$C$29:$C$128=$AB$1)*('Data-Input'!$D$29:$D$128-'Data-Input'!$E$29:$E$128)))</f>
        <v/>
      </c>
      <c r="AE115">
        <f>Heroes!$R115</f>
        <v/>
      </c>
      <c r="AF115">
        <f>IF($A$1="",0,IF(AND(OR(W115="Dash/Blink",W115="High Mobility",W115="Global Dive",W115="Mobility",X115="Dash/Blink",X115="High Mobility",X115="Global Dive",X115="Mobility"),$AA$1="Ranged"),$AC$1,0))</f>
        <v/>
      </c>
      <c r="AG115">
        <f>IF($A$1="",0,IF(AND(AE115="Yes",OR($K$1="Sustain",$K$1="Healing",$L$1="Sustain",$L$1="Healing")),$AD$1,0))</f>
        <v/>
      </c>
    </row>
    <row r="116" ht="15" customHeight="1">
      <c r="A116">
        <f>Heroes!$B116</f>
        <v/>
      </c>
      <c r="B116">
        <f>Heroes!$C116</f>
        <v/>
      </c>
      <c r="C116">
        <f>Heroes!$D116</f>
        <v/>
      </c>
      <c r="D116">
        <f>Heroes!$E116</f>
        <v/>
      </c>
      <c r="E116">
        <f>Heroes!$F116</f>
        <v/>
      </c>
      <c r="F116">
        <f>Heroes!$H116</f>
        <v/>
      </c>
      <c r="G116">
        <f>Heroes!$K116</f>
        <v/>
      </c>
      <c r="H116">
        <f>Heroes!$Q116</f>
        <v/>
      </c>
      <c r="I116">
        <f>IFERROR(INDEX('Data-Input'!$B$19:$G$24,MATCH(B116,'Data-Input'!$A$19:$A$24,0),MATCH($B$1,'Data-Input'!$B$18:$G$18,0)),0)</f>
        <v/>
      </c>
      <c r="J116">
        <f>IF(C116&lt;&gt;"",IFERROR(INDEX('Data-Input'!$B$19:$G$24,MATCH(C116,'Data-Input'!$A$19:$A$24,0),MATCH($B$1,'Data-Input'!$B$18:$G$18,0)),0),I116)</f>
        <v/>
      </c>
      <c r="K116">
        <f>MAX(I116,J116)</f>
        <v/>
      </c>
      <c r="L116">
        <f>((D116+E116)/2-$C$1)*$H$1</f>
        <v/>
      </c>
      <c r="M116">
        <f>F116-$D$1</f>
        <v/>
      </c>
      <c r="N116">
        <f>IF(M116&gt;20,M116*$I$1,0)</f>
        <v/>
      </c>
      <c r="O116">
        <f>IF(G116="Mixed",$Q$1,IF(G116=$E$1,$O$1,$P$1))</f>
        <v/>
      </c>
      <c r="P116">
        <f>(H116-$F$1)*$N$1</f>
        <v/>
      </c>
      <c r="Q116">
        <f>K116*$G$1+L116+N116+O116+P116+Y116+Z116+AF116+AG116</f>
        <v/>
      </c>
      <c r="R116">
        <f>IFERROR(INDEX('Data-Input'!$C$190:$C$1189,MATCH(A116&amp;"|"&amp;$A$1,'Data-Input'!$E$190:$E$1189,0)),Q116)</f>
        <v/>
      </c>
      <c r="S116">
        <f>IF(OR($A$1="",A116=$A$1),-1000000000000000,R116)</f>
        <v/>
      </c>
      <c r="T116">
        <f>S116+ROW()*0.0000001</f>
        <v/>
      </c>
      <c r="U116">
        <f>Heroes!$M116</f>
        <v/>
      </c>
      <c r="V116">
        <f>IF(OR($A$1="",A116=$A$1,U116="",U116&lt;&gt;$J$1),-1000000000000000,R116)+ROW()*0.0000001</f>
        <v/>
      </c>
      <c r="W116">
        <f>Heroes!$I116</f>
        <v/>
      </c>
      <c r="X116">
        <f>Heroes!$J116</f>
        <v/>
      </c>
      <c r="Y116">
        <f>IF($A$1="",0,MAX(IF(W116&lt;&gt;"",IFERROR(INDEX('Data-Input'!$B$164:$W$185,MATCH(W116,'Data-Input'!$A$164:$A$185,0),MATCH($K$1,'Data-Input'!$B$163:$W$163,0)),0),0),IF(AND(W116&lt;&gt;"",$L$1&lt;&gt;""),IFERROR(INDEX('Data-Input'!$B$164:$W$185,MATCH(W116,'Data-Input'!$A$164:$A$185,0),MATCH($L$1,'Data-Input'!$B$163:$W$163,0)),0),0),IF(X116&lt;&gt;"",IFERROR(INDEX('Data-Input'!$B$164:$W$185,MATCH(X116,'Data-Input'!$A$164:$A$185,0),MATCH($K$1,'Data-Input'!$B$163:$W$163,0)),0),0),IF(AND(X116&lt;&gt;"",$L$1&lt;&gt;""),IFERROR(INDEX('Data-Input'!$B$164:$W$185,MATCH(X116,'Data-Input'!$A$164:$A$185,0),MATCH($L$1,'Data-Input'!$B$163:$W$163,0)),0),0))*$M$1)</f>
        <v/>
      </c>
      <c r="Z116">
        <f>IF($A$1="",0,SUMPRODUCT(('Data-Input'!$A$29:$A$128=A116)*('Data-Input'!$B$29:$B$128="Tag")*((('Data-Input'!$C$29:$C$128=$K$1)+('Data-Input'!$C$29:$C$128=$L$1))&gt;0)*('Data-Input'!$D$29:$D$128-'Data-Input'!$E$29:$E$128))+SUMPRODUCT(('Data-Input'!$A$29:$A$128=A116)*('Data-Input'!$B$29:$B$128="Hero")*('Data-Input'!$C$29:$C$128=$A$1)*('Data-Input'!$D$29:$D$128-'Data-Input'!$E$29:$E$128))+SUMPRODUCT(('Data-Input'!$A$29:$A$128=A116)*('Data-Input'!$B$29:$B$128="Role")*((('Data-Input'!$C$29:$C$128=$B$1)+('Data-Input'!$C$29:$C$128=$AH$1))&gt;0)*('Data-Input'!$D$29:$D$128-'Data-Input'!$E$29:$E$128))+SUMPRODUCT(('Data-Input'!$A$29:$A$128=A116)*('Data-Input'!$B$29:$B$128="DamageType")*('Data-Input'!$C$29:$C$128=$E$1)*('Data-Input'!$D$29:$D$128-'Data-Input'!$E$29:$E$128))+SUMPRODUCT(('Data-Input'!$A$29:$A$128=A116)*('Data-Input'!$B$29:$B$128="Resource")*('Data-Input'!$C$29:$C$128=$AB$1)*('Data-Input'!$D$29:$D$128-'Data-Input'!$E$29:$E$128)))</f>
        <v/>
      </c>
      <c r="AE116">
        <f>Heroes!$R116</f>
        <v/>
      </c>
      <c r="AF116">
        <f>IF($A$1="",0,IF(AND(OR(W116="Dash/Blink",W116="High Mobility",W116="Global Dive",W116="Mobility",X116="Dash/Blink",X116="High Mobility",X116="Global Dive",X116="Mobility"),$AA$1="Ranged"),$AC$1,0))</f>
        <v/>
      </c>
      <c r="AG116">
        <f>IF($A$1="",0,IF(AND(AE116="Yes",OR($K$1="Sustain",$K$1="Healing",$L$1="Sustain",$L$1="Healing")),$AD$1,0))</f>
        <v/>
      </c>
    </row>
    <row r="117" ht="15" customHeight="1">
      <c r="A117">
        <f>Heroes!$B117</f>
        <v/>
      </c>
      <c r="B117">
        <f>Heroes!$C117</f>
        <v/>
      </c>
      <c r="C117">
        <f>Heroes!$D117</f>
        <v/>
      </c>
      <c r="D117">
        <f>Heroes!$E117</f>
        <v/>
      </c>
      <c r="E117">
        <f>Heroes!$F117</f>
        <v/>
      </c>
      <c r="F117">
        <f>Heroes!$H117</f>
        <v/>
      </c>
      <c r="G117">
        <f>Heroes!$K117</f>
        <v/>
      </c>
      <c r="H117">
        <f>Heroes!$Q117</f>
        <v/>
      </c>
      <c r="I117">
        <f>IFERROR(INDEX('Data-Input'!$B$19:$G$24,MATCH(B117,'Data-Input'!$A$19:$A$24,0),MATCH($B$1,'Data-Input'!$B$18:$G$18,0)),0)</f>
        <v/>
      </c>
      <c r="J117">
        <f>IF(C117&lt;&gt;"",IFERROR(INDEX('Data-Input'!$B$19:$G$24,MATCH(C117,'Data-Input'!$A$19:$A$24,0),MATCH($B$1,'Data-Input'!$B$18:$G$18,0)),0),I117)</f>
        <v/>
      </c>
      <c r="K117">
        <f>MAX(I117,J117)</f>
        <v/>
      </c>
      <c r="L117">
        <f>((D117+E117)/2-$C$1)*$H$1</f>
        <v/>
      </c>
      <c r="M117">
        <f>F117-$D$1</f>
        <v/>
      </c>
      <c r="N117">
        <f>IF(M117&gt;20,M117*$I$1,0)</f>
        <v/>
      </c>
      <c r="O117">
        <f>IF(G117="Mixed",$Q$1,IF(G117=$E$1,$O$1,$P$1))</f>
        <v/>
      </c>
      <c r="P117">
        <f>(H117-$F$1)*$N$1</f>
        <v/>
      </c>
      <c r="Q117">
        <f>K117*$G$1+L117+N117+O117+P117+Y117+Z117+AF117+AG117</f>
        <v/>
      </c>
      <c r="R117">
        <f>IFERROR(INDEX('Data-Input'!$C$190:$C$1189,MATCH(A117&amp;"|"&amp;$A$1,'Data-Input'!$E$190:$E$1189,0)),Q117)</f>
        <v/>
      </c>
      <c r="S117">
        <f>IF(OR($A$1="",A117=$A$1),-1000000000000000,R117)</f>
        <v/>
      </c>
      <c r="T117">
        <f>S117+ROW()*0.0000001</f>
        <v/>
      </c>
      <c r="U117">
        <f>Heroes!$M117</f>
        <v/>
      </c>
      <c r="V117">
        <f>IF(OR($A$1="",A117=$A$1,U117="",U117&lt;&gt;$J$1),-1000000000000000,R117)+ROW()*0.0000001</f>
        <v/>
      </c>
      <c r="W117">
        <f>Heroes!$I117</f>
        <v/>
      </c>
      <c r="X117">
        <f>Heroes!$J117</f>
        <v/>
      </c>
      <c r="Y117">
        <f>IF($A$1="",0,MAX(IF(W117&lt;&gt;"",IFERROR(INDEX('Data-Input'!$B$164:$W$185,MATCH(W117,'Data-Input'!$A$164:$A$185,0),MATCH($K$1,'Data-Input'!$B$163:$W$163,0)),0),0),IF(AND(W117&lt;&gt;"",$L$1&lt;&gt;""),IFERROR(INDEX('Data-Input'!$B$164:$W$185,MATCH(W117,'Data-Input'!$A$164:$A$185,0),MATCH($L$1,'Data-Input'!$B$163:$W$163,0)),0),0),IF(X117&lt;&gt;"",IFERROR(INDEX('Data-Input'!$B$164:$W$185,MATCH(X117,'Data-Input'!$A$164:$A$185,0),MATCH($K$1,'Data-Input'!$B$163:$W$163,0)),0),0),IF(AND(X117&lt;&gt;"",$L$1&lt;&gt;""),IFERROR(INDEX('Data-Input'!$B$164:$W$185,MATCH(X117,'Data-Input'!$A$164:$A$185,0),MATCH($L$1,'Data-Input'!$B$163:$W$163,0)),0),0))*$M$1)</f>
        <v/>
      </c>
      <c r="Z117">
        <f>IF($A$1="",0,SUMPRODUCT(('Data-Input'!$A$29:$A$128=A117)*('Data-Input'!$B$29:$B$128="Tag")*((('Data-Input'!$C$29:$C$128=$K$1)+('Data-Input'!$C$29:$C$128=$L$1))&gt;0)*('Data-Input'!$D$29:$D$128-'Data-Input'!$E$29:$E$128))+SUMPRODUCT(('Data-Input'!$A$29:$A$128=A117)*('Data-Input'!$B$29:$B$128="Hero")*('Data-Input'!$C$29:$C$128=$A$1)*('Data-Input'!$D$29:$D$128-'Data-Input'!$E$29:$E$128))+SUMPRODUCT(('Data-Input'!$A$29:$A$128=A117)*('Data-Input'!$B$29:$B$128="Role")*((('Data-Input'!$C$29:$C$128=$B$1)+('Data-Input'!$C$29:$C$128=$AH$1))&gt;0)*('Data-Input'!$D$29:$D$128-'Data-Input'!$E$29:$E$128))+SUMPRODUCT(('Data-Input'!$A$29:$A$128=A117)*('Data-Input'!$B$29:$B$128="DamageType")*('Data-Input'!$C$29:$C$128=$E$1)*('Data-Input'!$D$29:$D$128-'Data-Input'!$E$29:$E$128))+SUMPRODUCT(('Data-Input'!$A$29:$A$128=A117)*('Data-Input'!$B$29:$B$128="Resource")*('Data-Input'!$C$29:$C$128=$AB$1)*('Data-Input'!$D$29:$D$128-'Data-Input'!$E$29:$E$128)))</f>
        <v/>
      </c>
      <c r="AE117">
        <f>Heroes!$R117</f>
        <v/>
      </c>
      <c r="AF117">
        <f>IF($A$1="",0,IF(AND(OR(W117="Dash/Blink",W117="High Mobility",W117="Global Dive",W117="Mobility",X117="Dash/Blink",X117="High Mobility",X117="Global Dive",X117="Mobility"),$AA$1="Ranged"),$AC$1,0))</f>
        <v/>
      </c>
      <c r="AG117">
        <f>IF($A$1="",0,IF(AND(AE117="Yes",OR($K$1="Sustain",$K$1="Healing",$L$1="Sustain",$L$1="Healing")),$AD$1,0))</f>
        <v/>
      </c>
    </row>
    <row r="118" ht="15" customHeight="1">
      <c r="A118">
        <f>Heroes!$B118</f>
        <v/>
      </c>
      <c r="B118">
        <f>Heroes!$C118</f>
        <v/>
      </c>
      <c r="C118">
        <f>Heroes!$D118</f>
        <v/>
      </c>
      <c r="D118">
        <f>Heroes!$E118</f>
        <v/>
      </c>
      <c r="E118">
        <f>Heroes!$F118</f>
        <v/>
      </c>
      <c r="F118">
        <f>Heroes!$H118</f>
        <v/>
      </c>
      <c r="G118">
        <f>Heroes!$K118</f>
        <v/>
      </c>
      <c r="H118">
        <f>Heroes!$Q118</f>
        <v/>
      </c>
      <c r="I118">
        <f>IFERROR(INDEX('Data-Input'!$B$19:$G$24,MATCH(B118,'Data-Input'!$A$19:$A$24,0),MATCH($B$1,'Data-Input'!$B$18:$G$18,0)),0)</f>
        <v/>
      </c>
      <c r="J118">
        <f>IF(C118&lt;&gt;"",IFERROR(INDEX('Data-Input'!$B$19:$G$24,MATCH(C118,'Data-Input'!$A$19:$A$24,0),MATCH($B$1,'Data-Input'!$B$18:$G$18,0)),0),I118)</f>
        <v/>
      </c>
      <c r="K118">
        <f>MAX(I118,J118)</f>
        <v/>
      </c>
      <c r="L118">
        <f>((D118+E118)/2-$C$1)*$H$1</f>
        <v/>
      </c>
      <c r="M118">
        <f>F118-$D$1</f>
        <v/>
      </c>
      <c r="N118">
        <f>IF(M118&gt;20,M118*$I$1,0)</f>
        <v/>
      </c>
      <c r="O118">
        <f>IF(G118="Mixed",$Q$1,IF(G118=$E$1,$O$1,$P$1))</f>
        <v/>
      </c>
      <c r="P118">
        <f>(H118-$F$1)*$N$1</f>
        <v/>
      </c>
      <c r="Q118">
        <f>K118*$G$1+L118+N118+O118+P118+Y118+Z118+AF118+AG118</f>
        <v/>
      </c>
      <c r="R118">
        <f>IFERROR(INDEX('Data-Input'!$C$190:$C$1189,MATCH(A118&amp;"|"&amp;$A$1,'Data-Input'!$E$190:$E$1189,0)),Q118)</f>
        <v/>
      </c>
      <c r="S118">
        <f>IF(OR($A$1="",A118=$A$1),-1000000000000000,R118)</f>
        <v/>
      </c>
      <c r="T118">
        <f>S118+ROW()*0.0000001</f>
        <v/>
      </c>
      <c r="U118">
        <f>Heroes!$M118</f>
        <v/>
      </c>
      <c r="V118">
        <f>IF(OR($A$1="",A118=$A$1,U118="",U118&lt;&gt;$J$1),-1000000000000000,R118)+ROW()*0.0000001</f>
        <v/>
      </c>
      <c r="W118">
        <f>Heroes!$I118</f>
        <v/>
      </c>
      <c r="X118">
        <f>Heroes!$J118</f>
        <v/>
      </c>
      <c r="Y118">
        <f>IF($A$1="",0,MAX(IF(W118&lt;&gt;"",IFERROR(INDEX('Data-Input'!$B$164:$W$185,MATCH(W118,'Data-Input'!$A$164:$A$185,0),MATCH($K$1,'Data-Input'!$B$163:$W$163,0)),0),0),IF(AND(W118&lt;&gt;"",$L$1&lt;&gt;""),IFERROR(INDEX('Data-Input'!$B$164:$W$185,MATCH(W118,'Data-Input'!$A$164:$A$185,0),MATCH($L$1,'Data-Input'!$B$163:$W$163,0)),0),0),IF(X118&lt;&gt;"",IFERROR(INDEX('Data-Input'!$B$164:$W$185,MATCH(X118,'Data-Input'!$A$164:$A$185,0),MATCH($K$1,'Data-Input'!$B$163:$W$163,0)),0),0),IF(AND(X118&lt;&gt;"",$L$1&lt;&gt;""),IFERROR(INDEX('Data-Input'!$B$164:$W$185,MATCH(X118,'Data-Input'!$A$164:$A$185,0),MATCH($L$1,'Data-Input'!$B$163:$W$163,0)),0),0))*$M$1)</f>
        <v/>
      </c>
      <c r="Z118">
        <f>IF($A$1="",0,SUMPRODUCT(('Data-Input'!$A$29:$A$128=A118)*('Data-Input'!$B$29:$B$128="Tag")*((('Data-Input'!$C$29:$C$128=$K$1)+('Data-Input'!$C$29:$C$128=$L$1))&gt;0)*('Data-Input'!$D$29:$D$128-'Data-Input'!$E$29:$E$128))+SUMPRODUCT(('Data-Input'!$A$29:$A$128=A118)*('Data-Input'!$B$29:$B$128="Hero")*('Data-Input'!$C$29:$C$128=$A$1)*('Data-Input'!$D$29:$D$128-'Data-Input'!$E$29:$E$128))+SUMPRODUCT(('Data-Input'!$A$29:$A$128=A118)*('Data-Input'!$B$29:$B$128="Role")*((('Data-Input'!$C$29:$C$128=$B$1)+('Data-Input'!$C$29:$C$128=$AH$1))&gt;0)*('Data-Input'!$D$29:$D$128-'Data-Input'!$E$29:$E$128))+SUMPRODUCT(('Data-Input'!$A$29:$A$128=A118)*('Data-Input'!$B$29:$B$128="DamageType")*('Data-Input'!$C$29:$C$128=$E$1)*('Data-Input'!$D$29:$D$128-'Data-Input'!$E$29:$E$128))+SUMPRODUCT(('Data-Input'!$A$29:$A$128=A118)*('Data-Input'!$B$29:$B$128="Resource")*('Data-Input'!$C$29:$C$128=$AB$1)*('Data-Input'!$D$29:$D$128-'Data-Input'!$E$29:$E$128)))</f>
        <v/>
      </c>
      <c r="AE118">
        <f>Heroes!$R118</f>
        <v/>
      </c>
      <c r="AF118">
        <f>IF($A$1="",0,IF(AND(OR(W118="Dash/Blink",W118="High Mobility",W118="Global Dive",W118="Mobility",X118="Dash/Blink",X118="High Mobility",X118="Global Dive",X118="Mobility"),$AA$1="Ranged"),$AC$1,0))</f>
        <v/>
      </c>
      <c r="AG118">
        <f>IF($A$1="",0,IF(AND(AE118="Yes",OR($K$1="Sustain",$K$1="Healing",$L$1="Sustain",$L$1="Healing")),$AD$1,0))</f>
        <v/>
      </c>
    </row>
    <row r="119" ht="15" customHeight="1">
      <c r="A119">
        <f>Heroes!$B119</f>
        <v/>
      </c>
      <c r="B119">
        <f>Heroes!$C119</f>
        <v/>
      </c>
      <c r="C119">
        <f>Heroes!$D119</f>
        <v/>
      </c>
      <c r="D119">
        <f>Heroes!$E119</f>
        <v/>
      </c>
      <c r="E119">
        <f>Heroes!$F119</f>
        <v/>
      </c>
      <c r="F119">
        <f>Heroes!$H119</f>
        <v/>
      </c>
      <c r="G119">
        <f>Heroes!$K119</f>
        <v/>
      </c>
      <c r="H119">
        <f>Heroes!$Q119</f>
        <v/>
      </c>
      <c r="I119">
        <f>IFERROR(INDEX('Data-Input'!$B$19:$G$24,MATCH(B119,'Data-Input'!$A$19:$A$24,0),MATCH($B$1,'Data-Input'!$B$18:$G$18,0)),0)</f>
        <v/>
      </c>
      <c r="J119">
        <f>IF(C119&lt;&gt;"",IFERROR(INDEX('Data-Input'!$B$19:$G$24,MATCH(C119,'Data-Input'!$A$19:$A$24,0),MATCH($B$1,'Data-Input'!$B$18:$G$18,0)),0),I119)</f>
        <v/>
      </c>
      <c r="K119">
        <f>MAX(I119,J119)</f>
        <v/>
      </c>
      <c r="L119">
        <f>((D119+E119)/2-$C$1)*$H$1</f>
        <v/>
      </c>
      <c r="M119">
        <f>F119-$D$1</f>
        <v/>
      </c>
      <c r="N119">
        <f>IF(M119&gt;20,M119*$I$1,0)</f>
        <v/>
      </c>
      <c r="O119">
        <f>IF(G119="Mixed",$Q$1,IF(G119=$E$1,$O$1,$P$1))</f>
        <v/>
      </c>
      <c r="P119">
        <f>(H119-$F$1)*$N$1</f>
        <v/>
      </c>
      <c r="Q119">
        <f>K119*$G$1+L119+N119+O119+P119+Y119+Z119+AF119+AG119</f>
        <v/>
      </c>
      <c r="R119">
        <f>IFERROR(INDEX('Data-Input'!$C$190:$C$1189,MATCH(A119&amp;"|"&amp;$A$1,'Data-Input'!$E$190:$E$1189,0)),Q119)</f>
        <v/>
      </c>
      <c r="S119">
        <f>IF(OR($A$1="",A119=$A$1),-1000000000000000,R119)</f>
        <v/>
      </c>
      <c r="T119">
        <f>S119+ROW()*0.0000001</f>
        <v/>
      </c>
      <c r="U119">
        <f>Heroes!$M119</f>
        <v/>
      </c>
      <c r="V119">
        <f>IF(OR($A$1="",A119=$A$1,U119="",U119&lt;&gt;$J$1),-1000000000000000,R119)+ROW()*0.0000001</f>
        <v/>
      </c>
      <c r="W119">
        <f>Heroes!$I119</f>
        <v/>
      </c>
      <c r="X119">
        <f>Heroes!$J119</f>
        <v/>
      </c>
      <c r="Y119">
        <f>IF($A$1="",0,MAX(IF(W119&lt;&gt;"",IFERROR(INDEX('Data-Input'!$B$164:$W$185,MATCH(W119,'Data-Input'!$A$164:$A$185,0),MATCH($K$1,'Data-Input'!$B$163:$W$163,0)),0),0),IF(AND(W119&lt;&gt;"",$L$1&lt;&gt;""),IFERROR(INDEX('Data-Input'!$B$164:$W$185,MATCH(W119,'Data-Input'!$A$164:$A$185,0),MATCH($L$1,'Data-Input'!$B$163:$W$163,0)),0),0),IF(X119&lt;&gt;"",IFERROR(INDEX('Data-Input'!$B$164:$W$185,MATCH(X119,'Data-Input'!$A$164:$A$185,0),MATCH($K$1,'Data-Input'!$B$163:$W$163,0)),0),0),IF(AND(X119&lt;&gt;"",$L$1&lt;&gt;""),IFERROR(INDEX('Data-Input'!$B$164:$W$185,MATCH(X119,'Data-Input'!$A$164:$A$185,0),MATCH($L$1,'Data-Input'!$B$163:$W$163,0)),0),0))*$M$1)</f>
        <v/>
      </c>
      <c r="Z119">
        <f>IF($A$1="",0,SUMPRODUCT(('Data-Input'!$A$29:$A$128=A119)*('Data-Input'!$B$29:$B$128="Tag")*((('Data-Input'!$C$29:$C$128=$K$1)+('Data-Input'!$C$29:$C$128=$L$1))&gt;0)*('Data-Input'!$D$29:$D$128-'Data-Input'!$E$29:$E$128))+SUMPRODUCT(('Data-Input'!$A$29:$A$128=A119)*('Data-Input'!$B$29:$B$128="Hero")*('Data-Input'!$C$29:$C$128=$A$1)*('Data-Input'!$D$29:$D$128-'Data-Input'!$E$29:$E$128))+SUMPRODUCT(('Data-Input'!$A$29:$A$128=A119)*('Data-Input'!$B$29:$B$128="Role")*((('Data-Input'!$C$29:$C$128=$B$1)+('Data-Input'!$C$29:$C$128=$AH$1))&gt;0)*('Data-Input'!$D$29:$D$128-'Data-Input'!$E$29:$E$128))+SUMPRODUCT(('Data-Input'!$A$29:$A$128=A119)*('Data-Input'!$B$29:$B$128="DamageType")*('Data-Input'!$C$29:$C$128=$E$1)*('Data-Input'!$D$29:$D$128-'Data-Input'!$E$29:$E$128))+SUMPRODUCT(('Data-Input'!$A$29:$A$128=A119)*('Data-Input'!$B$29:$B$128="Resource")*('Data-Input'!$C$29:$C$128=$AB$1)*('Data-Input'!$D$29:$D$128-'Data-Input'!$E$29:$E$128)))</f>
        <v/>
      </c>
      <c r="AE119">
        <f>Heroes!$R119</f>
        <v/>
      </c>
      <c r="AF119">
        <f>IF($A$1="",0,IF(AND(OR(W119="Dash/Blink",W119="High Mobility",W119="Global Dive",W119="Mobility",X119="Dash/Blink",X119="High Mobility",X119="Global Dive",X119="Mobility"),$AA$1="Ranged"),$AC$1,0))</f>
        <v/>
      </c>
      <c r="AG119">
        <f>IF($A$1="",0,IF(AND(AE119="Yes",OR($K$1="Sustain",$K$1="Healing",$L$1="Sustain",$L$1="Healing")),$AD$1,0))</f>
        <v/>
      </c>
    </row>
    <row r="120" ht="15" customHeight="1">
      <c r="A120">
        <f>Heroes!$B120</f>
        <v/>
      </c>
      <c r="B120">
        <f>Heroes!$C120</f>
        <v/>
      </c>
      <c r="C120">
        <f>Heroes!$D120</f>
        <v/>
      </c>
      <c r="D120">
        <f>Heroes!$E120</f>
        <v/>
      </c>
      <c r="E120">
        <f>Heroes!$F120</f>
        <v/>
      </c>
      <c r="F120">
        <f>Heroes!$H120</f>
        <v/>
      </c>
      <c r="G120">
        <f>Heroes!$K120</f>
        <v/>
      </c>
      <c r="H120">
        <f>Heroes!$Q120</f>
        <v/>
      </c>
      <c r="I120">
        <f>IFERROR(INDEX('Data-Input'!$B$19:$G$24,MATCH(B120,'Data-Input'!$A$19:$A$24,0),MATCH($B$1,'Data-Input'!$B$18:$G$18,0)),0)</f>
        <v/>
      </c>
      <c r="J120">
        <f>IF(C120&lt;&gt;"",IFERROR(INDEX('Data-Input'!$B$19:$G$24,MATCH(C120,'Data-Input'!$A$19:$A$24,0),MATCH($B$1,'Data-Input'!$B$18:$G$18,0)),0),I120)</f>
        <v/>
      </c>
      <c r="K120">
        <f>MAX(I120,J120)</f>
        <v/>
      </c>
      <c r="L120">
        <f>((D120+E120)/2-$C$1)*$H$1</f>
        <v/>
      </c>
      <c r="M120">
        <f>F120-$D$1</f>
        <v/>
      </c>
      <c r="N120">
        <f>IF(M120&gt;20,M120*$I$1,0)</f>
        <v/>
      </c>
      <c r="O120">
        <f>IF(G120="Mixed",$Q$1,IF(G120=$E$1,$O$1,$P$1))</f>
        <v/>
      </c>
      <c r="P120">
        <f>(H120-$F$1)*$N$1</f>
        <v/>
      </c>
      <c r="Q120">
        <f>K120*$G$1+L120+N120+O120+P120+Y120+Z120+AF120+AG120</f>
        <v/>
      </c>
      <c r="R120">
        <f>IFERROR(INDEX('Data-Input'!$C$190:$C$1189,MATCH(A120&amp;"|"&amp;$A$1,'Data-Input'!$E$190:$E$1189,0)),Q120)</f>
        <v/>
      </c>
      <c r="S120">
        <f>IF(OR($A$1="",A120=$A$1),-1000000000000000,R120)</f>
        <v/>
      </c>
      <c r="T120">
        <f>S120+ROW()*0.0000001</f>
        <v/>
      </c>
      <c r="U120">
        <f>Heroes!$M120</f>
        <v/>
      </c>
      <c r="V120">
        <f>IF(OR($A$1="",A120=$A$1,U120="",U120&lt;&gt;$J$1),-1000000000000000,R120)+ROW()*0.0000001</f>
        <v/>
      </c>
      <c r="W120">
        <f>Heroes!$I120</f>
        <v/>
      </c>
      <c r="X120">
        <f>Heroes!$J120</f>
        <v/>
      </c>
      <c r="Y120">
        <f>IF($A$1="",0,MAX(IF(W120&lt;&gt;"",IFERROR(INDEX('Data-Input'!$B$164:$W$185,MATCH(W120,'Data-Input'!$A$164:$A$185,0),MATCH($K$1,'Data-Input'!$B$163:$W$163,0)),0),0),IF(AND(W120&lt;&gt;"",$L$1&lt;&gt;""),IFERROR(INDEX('Data-Input'!$B$164:$W$185,MATCH(W120,'Data-Input'!$A$164:$A$185,0),MATCH($L$1,'Data-Input'!$B$163:$W$163,0)),0),0),IF(X120&lt;&gt;"",IFERROR(INDEX('Data-Input'!$B$164:$W$185,MATCH(X120,'Data-Input'!$A$164:$A$185,0),MATCH($K$1,'Data-Input'!$B$163:$W$163,0)),0),0),IF(AND(X120&lt;&gt;"",$L$1&lt;&gt;""),IFERROR(INDEX('Data-Input'!$B$164:$W$185,MATCH(X120,'Data-Input'!$A$164:$A$185,0),MATCH($L$1,'Data-Input'!$B$163:$W$163,0)),0),0))*$M$1)</f>
        <v/>
      </c>
      <c r="Z120">
        <f>IF($A$1="",0,SUMPRODUCT(('Data-Input'!$A$29:$A$128=A120)*('Data-Input'!$B$29:$B$128="Tag")*((('Data-Input'!$C$29:$C$128=$K$1)+('Data-Input'!$C$29:$C$128=$L$1))&gt;0)*('Data-Input'!$D$29:$D$128-'Data-Input'!$E$29:$E$128))+SUMPRODUCT(('Data-Input'!$A$29:$A$128=A120)*('Data-Input'!$B$29:$B$128="Hero")*('Data-Input'!$C$29:$C$128=$A$1)*('Data-Input'!$D$29:$D$128-'Data-Input'!$E$29:$E$128))+SUMPRODUCT(('Data-Input'!$A$29:$A$128=A120)*('Data-Input'!$B$29:$B$128="Role")*((('Data-Input'!$C$29:$C$128=$B$1)+('Data-Input'!$C$29:$C$128=$AH$1))&gt;0)*('Data-Input'!$D$29:$D$128-'Data-Input'!$E$29:$E$128))+SUMPRODUCT(('Data-Input'!$A$29:$A$128=A120)*('Data-Input'!$B$29:$B$128="DamageType")*('Data-Input'!$C$29:$C$128=$E$1)*('Data-Input'!$D$29:$D$128-'Data-Input'!$E$29:$E$128))+SUMPRODUCT(('Data-Input'!$A$29:$A$128=A120)*('Data-Input'!$B$29:$B$128="Resource")*('Data-Input'!$C$29:$C$128=$AB$1)*('Data-Input'!$D$29:$D$128-'Data-Input'!$E$29:$E$128)))</f>
        <v/>
      </c>
      <c r="AE120">
        <f>Heroes!$R120</f>
        <v/>
      </c>
      <c r="AF120">
        <f>IF($A$1="",0,IF(AND(OR(W120="Dash/Blink",W120="High Mobility",W120="Global Dive",W120="Mobility",X120="Dash/Blink",X120="High Mobility",X120="Global Dive",X120="Mobility"),$AA$1="Ranged"),$AC$1,0))</f>
        <v/>
      </c>
      <c r="AG120">
        <f>IF($A$1="",0,IF(AND(AE120="Yes",OR($K$1="Sustain",$K$1="Healing",$L$1="Sustain",$L$1="Healing")),$AD$1,0))</f>
        <v/>
      </c>
    </row>
    <row r="121" ht="15" customHeight="1">
      <c r="A121">
        <f>Heroes!$B121</f>
        <v/>
      </c>
      <c r="B121">
        <f>Heroes!$C121</f>
        <v/>
      </c>
      <c r="C121">
        <f>Heroes!$D121</f>
        <v/>
      </c>
      <c r="D121">
        <f>Heroes!$E121</f>
        <v/>
      </c>
      <c r="E121">
        <f>Heroes!$F121</f>
        <v/>
      </c>
      <c r="F121">
        <f>Heroes!$H121</f>
        <v/>
      </c>
      <c r="G121">
        <f>Heroes!$K121</f>
        <v/>
      </c>
      <c r="H121">
        <f>Heroes!$Q121</f>
        <v/>
      </c>
      <c r="I121">
        <f>IFERROR(INDEX('Data-Input'!$B$19:$G$24,MATCH(B121,'Data-Input'!$A$19:$A$24,0),MATCH($B$1,'Data-Input'!$B$18:$G$18,0)),0)</f>
        <v/>
      </c>
      <c r="J121">
        <f>IF(C121&lt;&gt;"",IFERROR(INDEX('Data-Input'!$B$19:$G$24,MATCH(C121,'Data-Input'!$A$19:$A$24,0),MATCH($B$1,'Data-Input'!$B$18:$G$18,0)),0),I121)</f>
        <v/>
      </c>
      <c r="K121">
        <f>MAX(I121,J121)</f>
        <v/>
      </c>
      <c r="L121">
        <f>((D121+E121)/2-$C$1)*$H$1</f>
        <v/>
      </c>
      <c r="M121">
        <f>F121-$D$1</f>
        <v/>
      </c>
      <c r="N121">
        <f>IF(M121&gt;20,M121*$I$1,0)</f>
        <v/>
      </c>
      <c r="O121">
        <f>IF(G121="Mixed",$Q$1,IF(G121=$E$1,$O$1,$P$1))</f>
        <v/>
      </c>
      <c r="P121">
        <f>(H121-$F$1)*$N$1</f>
        <v/>
      </c>
      <c r="Q121">
        <f>K121*$G$1+L121+N121+O121+P121+Y121+Z121+AF121+AG121</f>
        <v/>
      </c>
      <c r="R121">
        <f>IFERROR(INDEX('Data-Input'!$C$190:$C$1189,MATCH(A121&amp;"|"&amp;$A$1,'Data-Input'!$E$190:$E$1189,0)),Q121)</f>
        <v/>
      </c>
      <c r="S121">
        <f>IF(OR($A$1="",A121=$A$1),-1000000000000000,R121)</f>
        <v/>
      </c>
      <c r="T121">
        <f>S121+ROW()*0.0000001</f>
        <v/>
      </c>
      <c r="U121">
        <f>Heroes!$M121</f>
        <v/>
      </c>
      <c r="V121">
        <f>IF(OR($A$1="",A121=$A$1,U121="",U121&lt;&gt;$J$1),-1000000000000000,R121)+ROW()*0.0000001</f>
        <v/>
      </c>
      <c r="W121">
        <f>Heroes!$I121</f>
        <v/>
      </c>
      <c r="X121">
        <f>Heroes!$J121</f>
        <v/>
      </c>
      <c r="Y121">
        <f>IF($A$1="",0,MAX(IF(W121&lt;&gt;"",IFERROR(INDEX('Data-Input'!$B$164:$W$185,MATCH(W121,'Data-Input'!$A$164:$A$185,0),MATCH($K$1,'Data-Input'!$B$163:$W$163,0)),0),0),IF(AND(W121&lt;&gt;"",$L$1&lt;&gt;""),IFERROR(INDEX('Data-Input'!$B$164:$W$185,MATCH(W121,'Data-Input'!$A$164:$A$185,0),MATCH($L$1,'Data-Input'!$B$163:$W$163,0)),0),0),IF(X121&lt;&gt;"",IFERROR(INDEX('Data-Input'!$B$164:$W$185,MATCH(X121,'Data-Input'!$A$164:$A$185,0),MATCH($K$1,'Data-Input'!$B$163:$W$163,0)),0),0),IF(AND(X121&lt;&gt;"",$L$1&lt;&gt;""),IFERROR(INDEX('Data-Input'!$B$164:$W$185,MATCH(X121,'Data-Input'!$A$164:$A$185,0),MATCH($L$1,'Data-Input'!$B$163:$W$163,0)),0),0))*$M$1)</f>
        <v/>
      </c>
      <c r="Z121">
        <f>IF($A$1="",0,SUMPRODUCT(('Data-Input'!$A$29:$A$128=A121)*('Data-Input'!$B$29:$B$128="Tag")*((('Data-Input'!$C$29:$C$128=$K$1)+('Data-Input'!$C$29:$C$128=$L$1))&gt;0)*('Data-Input'!$D$29:$D$128-'Data-Input'!$E$29:$E$128))+SUMPRODUCT(('Data-Input'!$A$29:$A$128=A121)*('Data-Input'!$B$29:$B$128="Hero")*('Data-Input'!$C$29:$C$128=$A$1)*('Data-Input'!$D$29:$D$128-'Data-Input'!$E$29:$E$128))+SUMPRODUCT(('Data-Input'!$A$29:$A$128=A121)*('Data-Input'!$B$29:$B$128="Role")*((('Data-Input'!$C$29:$C$128=$B$1)+('Data-Input'!$C$29:$C$128=$AH$1))&gt;0)*('Data-Input'!$D$29:$D$128-'Data-Input'!$E$29:$E$128))+SUMPRODUCT(('Data-Input'!$A$29:$A$128=A121)*('Data-Input'!$B$29:$B$128="DamageType")*('Data-Input'!$C$29:$C$128=$E$1)*('Data-Input'!$D$29:$D$128-'Data-Input'!$E$29:$E$128))+SUMPRODUCT(('Data-Input'!$A$29:$A$128=A121)*('Data-Input'!$B$29:$B$128="Resource")*('Data-Input'!$C$29:$C$128=$AB$1)*('Data-Input'!$D$29:$D$128-'Data-Input'!$E$29:$E$128)))</f>
        <v/>
      </c>
      <c r="AE121">
        <f>Heroes!$R121</f>
        <v/>
      </c>
      <c r="AF121">
        <f>IF($A$1="",0,IF(AND(OR(W121="Dash/Blink",W121="High Mobility",W121="Global Dive",W121="Mobility",X121="Dash/Blink",X121="High Mobility",X121="Global Dive",X121="Mobility"),$AA$1="Ranged"),$AC$1,0))</f>
        <v/>
      </c>
      <c r="AG121">
        <f>IF($A$1="",0,IF(AND(AE121="Yes",OR($K$1="Sustain",$K$1="Healing",$L$1="Sustain",$L$1="Healing")),$AD$1,0))</f>
        <v/>
      </c>
    </row>
    <row r="122" ht="15" customHeight="1">
      <c r="A122">
        <f>Heroes!$B122</f>
        <v/>
      </c>
      <c r="B122">
        <f>Heroes!$C122</f>
        <v/>
      </c>
      <c r="C122">
        <f>Heroes!$D122</f>
        <v/>
      </c>
      <c r="D122">
        <f>Heroes!$E122</f>
        <v/>
      </c>
      <c r="E122">
        <f>Heroes!$F122</f>
        <v/>
      </c>
      <c r="F122">
        <f>Heroes!$H122</f>
        <v/>
      </c>
      <c r="G122">
        <f>Heroes!$K122</f>
        <v/>
      </c>
      <c r="H122">
        <f>Heroes!$Q122</f>
        <v/>
      </c>
      <c r="I122">
        <f>IFERROR(INDEX('Data-Input'!$B$19:$G$24,MATCH(B122,'Data-Input'!$A$19:$A$24,0),MATCH($B$1,'Data-Input'!$B$18:$G$18,0)),0)</f>
        <v/>
      </c>
      <c r="J122">
        <f>IF(C122&lt;&gt;"",IFERROR(INDEX('Data-Input'!$B$19:$G$24,MATCH(C122,'Data-Input'!$A$19:$A$24,0),MATCH($B$1,'Data-Input'!$B$18:$G$18,0)),0),I122)</f>
        <v/>
      </c>
      <c r="K122">
        <f>MAX(I122,J122)</f>
        <v/>
      </c>
      <c r="L122">
        <f>((D122+E122)/2-$C$1)*$H$1</f>
        <v/>
      </c>
      <c r="M122">
        <f>F122-$D$1</f>
        <v/>
      </c>
      <c r="N122">
        <f>IF(M122&gt;20,M122*$I$1,0)</f>
        <v/>
      </c>
      <c r="O122">
        <f>IF(G122="Mixed",$Q$1,IF(G122=$E$1,$O$1,$P$1))</f>
        <v/>
      </c>
      <c r="P122">
        <f>(H122-$F$1)*$N$1</f>
        <v/>
      </c>
      <c r="Q122">
        <f>K122*$G$1+L122+N122+O122+P122+Y122+Z122+AF122+AG122</f>
        <v/>
      </c>
      <c r="R122">
        <f>IFERROR(INDEX('Data-Input'!$C$190:$C$1189,MATCH(A122&amp;"|"&amp;$A$1,'Data-Input'!$E$190:$E$1189,0)),Q122)</f>
        <v/>
      </c>
      <c r="S122">
        <f>IF(OR($A$1="",A122=$A$1),-1000000000000000,R122)</f>
        <v/>
      </c>
      <c r="T122">
        <f>S122+ROW()*0.0000001</f>
        <v/>
      </c>
      <c r="U122">
        <f>Heroes!$M122</f>
        <v/>
      </c>
      <c r="V122">
        <f>IF(OR($A$1="",A122=$A$1,U122="",U122&lt;&gt;$J$1),-1000000000000000,R122)+ROW()*0.0000001</f>
        <v/>
      </c>
      <c r="W122">
        <f>Heroes!$I122</f>
        <v/>
      </c>
      <c r="X122">
        <f>Heroes!$J122</f>
        <v/>
      </c>
      <c r="Y122">
        <f>IF($A$1="",0,MAX(IF(W122&lt;&gt;"",IFERROR(INDEX('Data-Input'!$B$164:$W$185,MATCH(W122,'Data-Input'!$A$164:$A$185,0),MATCH($K$1,'Data-Input'!$B$163:$W$163,0)),0),0),IF(AND(W122&lt;&gt;"",$L$1&lt;&gt;""),IFERROR(INDEX('Data-Input'!$B$164:$W$185,MATCH(W122,'Data-Input'!$A$164:$A$185,0),MATCH($L$1,'Data-Input'!$B$163:$W$163,0)),0),0),IF(X122&lt;&gt;"",IFERROR(INDEX('Data-Input'!$B$164:$W$185,MATCH(X122,'Data-Input'!$A$164:$A$185,0),MATCH($K$1,'Data-Input'!$B$163:$W$163,0)),0),0),IF(AND(X122&lt;&gt;"",$L$1&lt;&gt;""),IFERROR(INDEX('Data-Input'!$B$164:$W$185,MATCH(X122,'Data-Input'!$A$164:$A$185,0),MATCH($L$1,'Data-Input'!$B$163:$W$163,0)),0),0))*$M$1)</f>
        <v/>
      </c>
      <c r="Z122">
        <f>IF($A$1="",0,SUMPRODUCT(('Data-Input'!$A$29:$A$128=A122)*('Data-Input'!$B$29:$B$128="Tag")*((('Data-Input'!$C$29:$C$128=$K$1)+('Data-Input'!$C$29:$C$128=$L$1))&gt;0)*('Data-Input'!$D$29:$D$128-'Data-Input'!$E$29:$E$128))+SUMPRODUCT(('Data-Input'!$A$29:$A$128=A122)*('Data-Input'!$B$29:$B$128="Hero")*('Data-Input'!$C$29:$C$128=$A$1)*('Data-Input'!$D$29:$D$128-'Data-Input'!$E$29:$E$128))+SUMPRODUCT(('Data-Input'!$A$29:$A$128=A122)*('Data-Input'!$B$29:$B$128="Role")*((('Data-Input'!$C$29:$C$128=$B$1)+('Data-Input'!$C$29:$C$128=$AH$1))&gt;0)*('Data-Input'!$D$29:$D$128-'Data-Input'!$E$29:$E$128))+SUMPRODUCT(('Data-Input'!$A$29:$A$128=A122)*('Data-Input'!$B$29:$B$128="DamageType")*('Data-Input'!$C$29:$C$128=$E$1)*('Data-Input'!$D$29:$D$128-'Data-Input'!$E$29:$E$128))+SUMPRODUCT(('Data-Input'!$A$29:$A$128=A122)*('Data-Input'!$B$29:$B$128="Resource")*('Data-Input'!$C$29:$C$128=$AB$1)*('Data-Input'!$D$29:$D$128-'Data-Input'!$E$29:$E$128)))</f>
        <v/>
      </c>
      <c r="AE122">
        <f>Heroes!$R122</f>
        <v/>
      </c>
      <c r="AF122">
        <f>IF($A$1="",0,IF(AND(OR(W122="Dash/Blink",W122="High Mobility",W122="Global Dive",W122="Mobility",X122="Dash/Blink",X122="High Mobility",X122="Global Dive",X122="Mobility"),$AA$1="Ranged"),$AC$1,0))</f>
        <v/>
      </c>
      <c r="AG122">
        <f>IF($A$1="",0,IF(AND(AE122="Yes",OR($K$1="Sustain",$K$1="Healing",$L$1="Sustain",$L$1="Healing")),$AD$1,0))</f>
        <v/>
      </c>
    </row>
    <row r="123" ht="15" customHeight="1">
      <c r="A123">
        <f>Heroes!$B123</f>
        <v/>
      </c>
      <c r="B123">
        <f>Heroes!$C123</f>
        <v/>
      </c>
      <c r="C123">
        <f>Heroes!$D123</f>
        <v/>
      </c>
      <c r="D123">
        <f>Heroes!$E123</f>
        <v/>
      </c>
      <c r="E123">
        <f>Heroes!$F123</f>
        <v/>
      </c>
      <c r="F123">
        <f>Heroes!$H123</f>
        <v/>
      </c>
      <c r="G123">
        <f>Heroes!$K123</f>
        <v/>
      </c>
      <c r="H123">
        <f>Heroes!$Q123</f>
        <v/>
      </c>
      <c r="I123">
        <f>IFERROR(INDEX('Data-Input'!$B$19:$G$24,MATCH(B123,'Data-Input'!$A$19:$A$24,0),MATCH($B$1,'Data-Input'!$B$18:$G$18,0)),0)</f>
        <v/>
      </c>
      <c r="J123">
        <f>IF(C123&lt;&gt;"",IFERROR(INDEX('Data-Input'!$B$19:$G$24,MATCH(C123,'Data-Input'!$A$19:$A$24,0),MATCH($B$1,'Data-Input'!$B$18:$G$18,0)),0),I123)</f>
        <v/>
      </c>
      <c r="K123">
        <f>MAX(I123,J123)</f>
        <v/>
      </c>
      <c r="L123">
        <f>((D123+E123)/2-$C$1)*$H$1</f>
        <v/>
      </c>
      <c r="M123">
        <f>F123-$D$1</f>
        <v/>
      </c>
      <c r="N123">
        <f>IF(M123&gt;20,M123*$I$1,0)</f>
        <v/>
      </c>
      <c r="O123">
        <f>IF(G123="Mixed",$Q$1,IF(G123=$E$1,$O$1,$P$1))</f>
        <v/>
      </c>
      <c r="P123">
        <f>(H123-$F$1)*$N$1</f>
        <v/>
      </c>
      <c r="Q123">
        <f>K123*$G$1+L123+N123+O123+P123+Y123+Z123+AF123+AG123</f>
        <v/>
      </c>
      <c r="R123">
        <f>IFERROR(INDEX('Data-Input'!$C$190:$C$1189,MATCH(A123&amp;"|"&amp;$A$1,'Data-Input'!$E$190:$E$1189,0)),Q123)</f>
        <v/>
      </c>
      <c r="S123">
        <f>IF(OR($A$1="",A123=$A$1),-1000000000000000,R123)</f>
        <v/>
      </c>
      <c r="T123">
        <f>S123+ROW()*0.0000001</f>
        <v/>
      </c>
      <c r="U123">
        <f>Heroes!$M123</f>
        <v/>
      </c>
      <c r="V123">
        <f>IF(OR($A$1="",A123=$A$1,U123="",U123&lt;&gt;$J$1),-1000000000000000,R123)+ROW()*0.0000001</f>
        <v/>
      </c>
      <c r="W123">
        <f>Heroes!$I123</f>
        <v/>
      </c>
      <c r="X123">
        <f>Heroes!$J123</f>
        <v/>
      </c>
      <c r="Y123">
        <f>IF($A$1="",0,MAX(IF(W123&lt;&gt;"",IFERROR(INDEX('Data-Input'!$B$164:$W$185,MATCH(W123,'Data-Input'!$A$164:$A$185,0),MATCH($K$1,'Data-Input'!$B$163:$W$163,0)),0),0),IF(AND(W123&lt;&gt;"",$L$1&lt;&gt;""),IFERROR(INDEX('Data-Input'!$B$164:$W$185,MATCH(W123,'Data-Input'!$A$164:$A$185,0),MATCH($L$1,'Data-Input'!$B$163:$W$163,0)),0),0),IF(X123&lt;&gt;"",IFERROR(INDEX('Data-Input'!$B$164:$W$185,MATCH(X123,'Data-Input'!$A$164:$A$185,0),MATCH($K$1,'Data-Input'!$B$163:$W$163,0)),0),0),IF(AND(X123&lt;&gt;"",$L$1&lt;&gt;""),IFERROR(INDEX('Data-Input'!$B$164:$W$185,MATCH(X123,'Data-Input'!$A$164:$A$185,0),MATCH($L$1,'Data-Input'!$B$163:$W$163,0)),0),0))*$M$1)</f>
        <v/>
      </c>
      <c r="Z123">
        <f>IF($A$1="",0,SUMPRODUCT(('Data-Input'!$A$29:$A$128=A123)*('Data-Input'!$B$29:$B$128="Tag")*((('Data-Input'!$C$29:$C$128=$K$1)+('Data-Input'!$C$29:$C$128=$L$1))&gt;0)*('Data-Input'!$D$29:$D$128-'Data-Input'!$E$29:$E$128))+SUMPRODUCT(('Data-Input'!$A$29:$A$128=A123)*('Data-Input'!$B$29:$B$128="Hero")*('Data-Input'!$C$29:$C$128=$A$1)*('Data-Input'!$D$29:$D$128-'Data-Input'!$E$29:$E$128))+SUMPRODUCT(('Data-Input'!$A$29:$A$128=A123)*('Data-Input'!$B$29:$B$128="Role")*((('Data-Input'!$C$29:$C$128=$B$1)+('Data-Input'!$C$29:$C$128=$AH$1))&gt;0)*('Data-Input'!$D$29:$D$128-'Data-Input'!$E$29:$E$128))+SUMPRODUCT(('Data-Input'!$A$29:$A$128=A123)*('Data-Input'!$B$29:$B$128="DamageType")*('Data-Input'!$C$29:$C$128=$E$1)*('Data-Input'!$D$29:$D$128-'Data-Input'!$E$29:$E$128))+SUMPRODUCT(('Data-Input'!$A$29:$A$128=A123)*('Data-Input'!$B$29:$B$128="Resource")*('Data-Input'!$C$29:$C$128=$AB$1)*('Data-Input'!$D$29:$D$128-'Data-Input'!$E$29:$E$128)))</f>
        <v/>
      </c>
      <c r="AE123">
        <f>Heroes!$R123</f>
        <v/>
      </c>
      <c r="AF123">
        <f>IF($A$1="",0,IF(AND(OR(W123="Dash/Blink",W123="High Mobility",W123="Global Dive",W123="Mobility",X123="Dash/Blink",X123="High Mobility",X123="Global Dive",X123="Mobility"),$AA$1="Ranged"),$AC$1,0))</f>
        <v/>
      </c>
      <c r="AG123">
        <f>IF($A$1="",0,IF(AND(AE123="Yes",OR($K$1="Sustain",$K$1="Healing",$L$1="Sustain",$L$1="Healing")),$AD$1,0))</f>
        <v/>
      </c>
    </row>
    <row r="124" ht="15" customHeight="1">
      <c r="A124">
        <f>Heroes!$B124</f>
        <v/>
      </c>
      <c r="B124">
        <f>Heroes!$C124</f>
        <v/>
      </c>
      <c r="C124">
        <f>Heroes!$D124</f>
        <v/>
      </c>
      <c r="D124">
        <f>Heroes!$E124</f>
        <v/>
      </c>
      <c r="E124">
        <f>Heroes!$F124</f>
        <v/>
      </c>
      <c r="F124">
        <f>Heroes!$H124</f>
        <v/>
      </c>
      <c r="G124">
        <f>Heroes!$K124</f>
        <v/>
      </c>
      <c r="H124">
        <f>Heroes!$Q124</f>
        <v/>
      </c>
      <c r="I124">
        <f>IFERROR(INDEX('Data-Input'!$B$19:$G$24,MATCH(B124,'Data-Input'!$A$19:$A$24,0),MATCH($B$1,'Data-Input'!$B$18:$G$18,0)),0)</f>
        <v/>
      </c>
      <c r="J124">
        <f>IF(C124&lt;&gt;"",IFERROR(INDEX('Data-Input'!$B$19:$G$24,MATCH(C124,'Data-Input'!$A$19:$A$24,0),MATCH($B$1,'Data-Input'!$B$18:$G$18,0)),0),I124)</f>
        <v/>
      </c>
      <c r="K124">
        <f>MAX(I124,J124)</f>
        <v/>
      </c>
      <c r="L124">
        <f>((D124+E124)/2-$C$1)*$H$1</f>
        <v/>
      </c>
      <c r="M124">
        <f>F124-$D$1</f>
        <v/>
      </c>
      <c r="N124">
        <f>IF(M124&gt;20,M124*$I$1,0)</f>
        <v/>
      </c>
      <c r="O124">
        <f>IF(G124="Mixed",$Q$1,IF(G124=$E$1,$O$1,$P$1))</f>
        <v/>
      </c>
      <c r="P124">
        <f>(H124-$F$1)*$N$1</f>
        <v/>
      </c>
      <c r="Q124">
        <f>K124*$G$1+L124+N124+O124+P124+Y124+Z124+AF124+AG124</f>
        <v/>
      </c>
      <c r="R124">
        <f>IFERROR(INDEX('Data-Input'!$C$190:$C$1189,MATCH(A124&amp;"|"&amp;$A$1,'Data-Input'!$E$190:$E$1189,0)),Q124)</f>
        <v/>
      </c>
      <c r="S124">
        <f>IF(OR($A$1="",A124=$A$1),-1000000000000000,R124)</f>
        <v/>
      </c>
      <c r="T124">
        <f>S124+ROW()*0.0000001</f>
        <v/>
      </c>
      <c r="U124">
        <f>Heroes!$M124</f>
        <v/>
      </c>
      <c r="V124">
        <f>IF(OR($A$1="",A124=$A$1,U124="",U124&lt;&gt;$J$1),-1000000000000000,R124)+ROW()*0.0000001</f>
        <v/>
      </c>
      <c r="W124">
        <f>Heroes!$I124</f>
        <v/>
      </c>
      <c r="X124">
        <f>Heroes!$J124</f>
        <v/>
      </c>
      <c r="Y124">
        <f>IF($A$1="",0,MAX(IF(W124&lt;&gt;"",IFERROR(INDEX('Data-Input'!$B$164:$W$185,MATCH(W124,'Data-Input'!$A$164:$A$185,0),MATCH($K$1,'Data-Input'!$B$163:$W$163,0)),0),0),IF(AND(W124&lt;&gt;"",$L$1&lt;&gt;""),IFERROR(INDEX('Data-Input'!$B$164:$W$185,MATCH(W124,'Data-Input'!$A$164:$A$185,0),MATCH($L$1,'Data-Input'!$B$163:$W$163,0)),0),0),IF(X124&lt;&gt;"",IFERROR(INDEX('Data-Input'!$B$164:$W$185,MATCH(X124,'Data-Input'!$A$164:$A$185,0),MATCH($K$1,'Data-Input'!$B$163:$W$163,0)),0),0),IF(AND(X124&lt;&gt;"",$L$1&lt;&gt;""),IFERROR(INDEX('Data-Input'!$B$164:$W$185,MATCH(X124,'Data-Input'!$A$164:$A$185,0),MATCH($L$1,'Data-Input'!$B$163:$W$163,0)),0),0))*$M$1)</f>
        <v/>
      </c>
      <c r="Z124">
        <f>IF($A$1="",0,SUMPRODUCT(('Data-Input'!$A$29:$A$128=A124)*('Data-Input'!$B$29:$B$128="Tag")*((('Data-Input'!$C$29:$C$128=$K$1)+('Data-Input'!$C$29:$C$128=$L$1))&gt;0)*('Data-Input'!$D$29:$D$128-'Data-Input'!$E$29:$E$128))+SUMPRODUCT(('Data-Input'!$A$29:$A$128=A124)*('Data-Input'!$B$29:$B$128="Hero")*('Data-Input'!$C$29:$C$128=$A$1)*('Data-Input'!$D$29:$D$128-'Data-Input'!$E$29:$E$128))+SUMPRODUCT(('Data-Input'!$A$29:$A$128=A124)*('Data-Input'!$B$29:$B$128="Role")*((('Data-Input'!$C$29:$C$128=$B$1)+('Data-Input'!$C$29:$C$128=$AH$1))&gt;0)*('Data-Input'!$D$29:$D$128-'Data-Input'!$E$29:$E$128))+SUMPRODUCT(('Data-Input'!$A$29:$A$128=A124)*('Data-Input'!$B$29:$B$128="DamageType")*('Data-Input'!$C$29:$C$128=$E$1)*('Data-Input'!$D$29:$D$128-'Data-Input'!$E$29:$E$128))+SUMPRODUCT(('Data-Input'!$A$29:$A$128=A124)*('Data-Input'!$B$29:$B$128="Resource")*('Data-Input'!$C$29:$C$128=$AB$1)*('Data-Input'!$D$29:$D$128-'Data-Input'!$E$29:$E$128)))</f>
        <v/>
      </c>
      <c r="AE124">
        <f>Heroes!$R124</f>
        <v/>
      </c>
      <c r="AF124">
        <f>IF($A$1="",0,IF(AND(OR(W124="Dash/Blink",W124="High Mobility",W124="Global Dive",W124="Mobility",X124="Dash/Blink",X124="High Mobility",X124="Global Dive",X124="Mobility"),$AA$1="Ranged"),$AC$1,0))</f>
        <v/>
      </c>
      <c r="AG124">
        <f>IF($A$1="",0,IF(AND(AE124="Yes",OR($K$1="Sustain",$K$1="Healing",$L$1="Sustain",$L$1="Healing")),$AD$1,0))</f>
        <v/>
      </c>
    </row>
    <row r="125" ht="15" customHeight="1">
      <c r="A125">
        <f>Heroes!$B125</f>
        <v/>
      </c>
      <c r="B125">
        <f>Heroes!$C125</f>
        <v/>
      </c>
      <c r="C125">
        <f>Heroes!$D125</f>
        <v/>
      </c>
      <c r="D125">
        <f>Heroes!$E125</f>
        <v/>
      </c>
      <c r="E125">
        <f>Heroes!$F125</f>
        <v/>
      </c>
      <c r="F125">
        <f>Heroes!$H125</f>
        <v/>
      </c>
      <c r="G125">
        <f>Heroes!$K125</f>
        <v/>
      </c>
      <c r="H125">
        <f>Heroes!$Q125</f>
        <v/>
      </c>
      <c r="I125">
        <f>IFERROR(INDEX('Data-Input'!$B$19:$G$24,MATCH(B125,'Data-Input'!$A$19:$A$24,0),MATCH($B$1,'Data-Input'!$B$18:$G$18,0)),0)</f>
        <v/>
      </c>
      <c r="J125">
        <f>IF(C125&lt;&gt;"",IFERROR(INDEX('Data-Input'!$B$19:$G$24,MATCH(C125,'Data-Input'!$A$19:$A$24,0),MATCH($B$1,'Data-Input'!$B$18:$G$18,0)),0),I125)</f>
        <v/>
      </c>
      <c r="K125">
        <f>MAX(I125,J125)</f>
        <v/>
      </c>
      <c r="L125">
        <f>((D125+E125)/2-$C$1)*$H$1</f>
        <v/>
      </c>
      <c r="M125">
        <f>F125-$D$1</f>
        <v/>
      </c>
      <c r="N125">
        <f>IF(M125&gt;20,M125*$I$1,0)</f>
        <v/>
      </c>
      <c r="O125">
        <f>IF(G125="Mixed",$Q$1,IF(G125=$E$1,$O$1,$P$1))</f>
        <v/>
      </c>
      <c r="P125">
        <f>(H125-$F$1)*$N$1</f>
        <v/>
      </c>
      <c r="Q125">
        <f>K125*$G$1+L125+N125+O125+P125+Y125+Z125+AF125+AG125</f>
        <v/>
      </c>
      <c r="R125">
        <f>IFERROR(INDEX('Data-Input'!$C$190:$C$1189,MATCH(A125&amp;"|"&amp;$A$1,'Data-Input'!$E$190:$E$1189,0)),Q125)</f>
        <v/>
      </c>
      <c r="S125">
        <f>IF(OR($A$1="",A125=$A$1),-1000000000000000,R125)</f>
        <v/>
      </c>
      <c r="T125">
        <f>S125+ROW()*0.0000001</f>
        <v/>
      </c>
      <c r="U125">
        <f>Heroes!$M125</f>
        <v/>
      </c>
      <c r="V125">
        <f>IF(OR($A$1="",A125=$A$1,U125="",U125&lt;&gt;$J$1),-1000000000000000,R125)+ROW()*0.0000001</f>
        <v/>
      </c>
      <c r="W125">
        <f>Heroes!$I125</f>
        <v/>
      </c>
      <c r="X125">
        <f>Heroes!$J125</f>
        <v/>
      </c>
      <c r="Y125">
        <f>IF($A$1="",0,MAX(IF(W125&lt;&gt;"",IFERROR(INDEX('Data-Input'!$B$164:$W$185,MATCH(W125,'Data-Input'!$A$164:$A$185,0),MATCH($K$1,'Data-Input'!$B$163:$W$163,0)),0),0),IF(AND(W125&lt;&gt;"",$L$1&lt;&gt;""),IFERROR(INDEX('Data-Input'!$B$164:$W$185,MATCH(W125,'Data-Input'!$A$164:$A$185,0),MATCH($L$1,'Data-Input'!$B$163:$W$163,0)),0),0),IF(X125&lt;&gt;"",IFERROR(INDEX('Data-Input'!$B$164:$W$185,MATCH(X125,'Data-Input'!$A$164:$A$185,0),MATCH($K$1,'Data-Input'!$B$163:$W$163,0)),0),0),IF(AND(X125&lt;&gt;"",$L$1&lt;&gt;""),IFERROR(INDEX('Data-Input'!$B$164:$W$185,MATCH(X125,'Data-Input'!$A$164:$A$185,0),MATCH($L$1,'Data-Input'!$B$163:$W$163,0)),0),0))*$M$1)</f>
        <v/>
      </c>
      <c r="Z125">
        <f>IF($A$1="",0,SUMPRODUCT(('Data-Input'!$A$29:$A$128=A125)*('Data-Input'!$B$29:$B$128="Tag")*((('Data-Input'!$C$29:$C$128=$K$1)+('Data-Input'!$C$29:$C$128=$L$1))&gt;0)*('Data-Input'!$D$29:$D$128-'Data-Input'!$E$29:$E$128))+SUMPRODUCT(('Data-Input'!$A$29:$A$128=A125)*('Data-Input'!$B$29:$B$128="Hero")*('Data-Input'!$C$29:$C$128=$A$1)*('Data-Input'!$D$29:$D$128-'Data-Input'!$E$29:$E$128))+SUMPRODUCT(('Data-Input'!$A$29:$A$128=A125)*('Data-Input'!$B$29:$B$128="Role")*((('Data-Input'!$C$29:$C$128=$B$1)+('Data-Input'!$C$29:$C$128=$AH$1))&gt;0)*('Data-Input'!$D$29:$D$128-'Data-Input'!$E$29:$E$128))+SUMPRODUCT(('Data-Input'!$A$29:$A$128=A125)*('Data-Input'!$B$29:$B$128="DamageType")*('Data-Input'!$C$29:$C$128=$E$1)*('Data-Input'!$D$29:$D$128-'Data-Input'!$E$29:$E$128))+SUMPRODUCT(('Data-Input'!$A$29:$A$128=A125)*('Data-Input'!$B$29:$B$128="Resource")*('Data-Input'!$C$29:$C$128=$AB$1)*('Data-Input'!$D$29:$D$128-'Data-Input'!$E$29:$E$128)))</f>
        <v/>
      </c>
      <c r="AE125">
        <f>Heroes!$R125</f>
        <v/>
      </c>
      <c r="AF125">
        <f>IF($A$1="",0,IF(AND(OR(W125="Dash/Blink",W125="High Mobility",W125="Global Dive",W125="Mobility",X125="Dash/Blink",X125="High Mobility",X125="Global Dive",X125="Mobility"),$AA$1="Ranged"),$AC$1,0))</f>
        <v/>
      </c>
      <c r="AG125">
        <f>IF($A$1="",0,IF(AND(AE125="Yes",OR($K$1="Sustain",$K$1="Healing",$L$1="Sustain",$L$1="Healing")),$AD$1,0))</f>
        <v/>
      </c>
    </row>
    <row r="126" ht="15" customHeight="1">
      <c r="A126">
        <f>Heroes!$B126</f>
        <v/>
      </c>
      <c r="B126">
        <f>Heroes!$C126</f>
        <v/>
      </c>
      <c r="C126">
        <f>Heroes!$D126</f>
        <v/>
      </c>
      <c r="D126">
        <f>Heroes!$E126</f>
        <v/>
      </c>
      <c r="E126">
        <f>Heroes!$F126</f>
        <v/>
      </c>
      <c r="F126">
        <f>Heroes!$H126</f>
        <v/>
      </c>
      <c r="G126">
        <f>Heroes!$K126</f>
        <v/>
      </c>
      <c r="H126">
        <f>Heroes!$Q126</f>
        <v/>
      </c>
      <c r="I126">
        <f>IFERROR(INDEX('Data-Input'!$B$19:$G$24,MATCH(B126,'Data-Input'!$A$19:$A$24,0),MATCH($B$1,'Data-Input'!$B$18:$G$18,0)),0)</f>
        <v/>
      </c>
      <c r="J126">
        <f>IF(C126&lt;&gt;"",IFERROR(INDEX('Data-Input'!$B$19:$G$24,MATCH(C126,'Data-Input'!$A$19:$A$24,0),MATCH($B$1,'Data-Input'!$B$18:$G$18,0)),0),I126)</f>
        <v/>
      </c>
      <c r="K126">
        <f>MAX(I126,J126)</f>
        <v/>
      </c>
      <c r="L126">
        <f>((D126+E126)/2-$C$1)*$H$1</f>
        <v/>
      </c>
      <c r="M126">
        <f>F126-$D$1</f>
        <v/>
      </c>
      <c r="N126">
        <f>IF(M126&gt;20,M126*$I$1,0)</f>
        <v/>
      </c>
      <c r="O126">
        <f>IF(G126="Mixed",$Q$1,IF(G126=$E$1,$O$1,$P$1))</f>
        <v/>
      </c>
      <c r="P126">
        <f>(H126-$F$1)*$N$1</f>
        <v/>
      </c>
      <c r="Q126">
        <f>K126*$G$1+L126+N126+O126+P126+Y126+Z126+AF126+AG126</f>
        <v/>
      </c>
      <c r="R126">
        <f>IFERROR(INDEX('Data-Input'!$C$190:$C$1189,MATCH(A126&amp;"|"&amp;$A$1,'Data-Input'!$E$190:$E$1189,0)),Q126)</f>
        <v/>
      </c>
      <c r="S126">
        <f>IF(OR($A$1="",A126=$A$1),-1000000000000000,R126)</f>
        <v/>
      </c>
      <c r="T126">
        <f>S126+ROW()*0.0000001</f>
        <v/>
      </c>
      <c r="U126">
        <f>Heroes!$M126</f>
        <v/>
      </c>
      <c r="V126">
        <f>IF(OR($A$1="",A126=$A$1,U126="",U126&lt;&gt;$J$1),-1000000000000000,R126)+ROW()*0.0000001</f>
        <v/>
      </c>
      <c r="W126">
        <f>Heroes!$I126</f>
        <v/>
      </c>
      <c r="X126">
        <f>Heroes!$J126</f>
        <v/>
      </c>
      <c r="Y126">
        <f>IF($A$1="",0,MAX(IF(W126&lt;&gt;"",IFERROR(INDEX('Data-Input'!$B$164:$W$185,MATCH(W126,'Data-Input'!$A$164:$A$185,0),MATCH($K$1,'Data-Input'!$B$163:$W$163,0)),0),0),IF(AND(W126&lt;&gt;"",$L$1&lt;&gt;""),IFERROR(INDEX('Data-Input'!$B$164:$W$185,MATCH(W126,'Data-Input'!$A$164:$A$185,0),MATCH($L$1,'Data-Input'!$B$163:$W$163,0)),0),0),IF(X126&lt;&gt;"",IFERROR(INDEX('Data-Input'!$B$164:$W$185,MATCH(X126,'Data-Input'!$A$164:$A$185,0),MATCH($K$1,'Data-Input'!$B$163:$W$163,0)),0),0),IF(AND(X126&lt;&gt;"",$L$1&lt;&gt;""),IFERROR(INDEX('Data-Input'!$B$164:$W$185,MATCH(X126,'Data-Input'!$A$164:$A$185,0),MATCH($L$1,'Data-Input'!$B$163:$W$163,0)),0),0))*$M$1)</f>
        <v/>
      </c>
      <c r="Z126">
        <f>IF($A$1="",0,SUMPRODUCT(('Data-Input'!$A$29:$A$128=A126)*('Data-Input'!$B$29:$B$128="Tag")*((('Data-Input'!$C$29:$C$128=$K$1)+('Data-Input'!$C$29:$C$128=$L$1))&gt;0)*('Data-Input'!$D$29:$D$128-'Data-Input'!$E$29:$E$128))+SUMPRODUCT(('Data-Input'!$A$29:$A$128=A126)*('Data-Input'!$B$29:$B$128="Hero")*('Data-Input'!$C$29:$C$128=$A$1)*('Data-Input'!$D$29:$D$128-'Data-Input'!$E$29:$E$128))+SUMPRODUCT(('Data-Input'!$A$29:$A$128=A126)*('Data-Input'!$B$29:$B$128="Role")*((('Data-Input'!$C$29:$C$128=$B$1)+('Data-Input'!$C$29:$C$128=$AH$1))&gt;0)*('Data-Input'!$D$29:$D$128-'Data-Input'!$E$29:$E$128))+SUMPRODUCT(('Data-Input'!$A$29:$A$128=A126)*('Data-Input'!$B$29:$B$128="DamageType")*('Data-Input'!$C$29:$C$128=$E$1)*('Data-Input'!$D$29:$D$128-'Data-Input'!$E$29:$E$128))+SUMPRODUCT(('Data-Input'!$A$29:$A$128=A126)*('Data-Input'!$B$29:$B$128="Resource")*('Data-Input'!$C$29:$C$128=$AB$1)*('Data-Input'!$D$29:$D$128-'Data-Input'!$E$29:$E$128)))</f>
        <v/>
      </c>
      <c r="AE126">
        <f>Heroes!$R126</f>
        <v/>
      </c>
      <c r="AF126">
        <f>IF($A$1="",0,IF(AND(OR(W126="Dash/Blink",W126="High Mobility",W126="Global Dive",W126="Mobility",X126="Dash/Blink",X126="High Mobility",X126="Global Dive",X126="Mobility"),$AA$1="Ranged"),$AC$1,0))</f>
        <v/>
      </c>
      <c r="AG126">
        <f>IF($A$1="",0,IF(AND(AE126="Yes",OR($K$1="Sustain",$K$1="Healing",$L$1="Sustain",$L$1="Healing")),$AD$1,0))</f>
        <v/>
      </c>
    </row>
    <row r="127" ht="15" customHeight="1">
      <c r="A127">
        <f>Heroes!$B127</f>
        <v/>
      </c>
      <c r="B127">
        <f>Heroes!$C127</f>
        <v/>
      </c>
      <c r="C127">
        <f>Heroes!$D127</f>
        <v/>
      </c>
      <c r="D127">
        <f>Heroes!$E127</f>
        <v/>
      </c>
      <c r="E127">
        <f>Heroes!$F127</f>
        <v/>
      </c>
      <c r="F127">
        <f>Heroes!$H127</f>
        <v/>
      </c>
      <c r="G127">
        <f>Heroes!$K127</f>
        <v/>
      </c>
      <c r="H127">
        <f>Heroes!$Q127</f>
        <v/>
      </c>
      <c r="I127">
        <f>IFERROR(INDEX('Data-Input'!$B$19:$G$24,MATCH(B127,'Data-Input'!$A$19:$A$24,0),MATCH($B$1,'Data-Input'!$B$18:$G$18,0)),0)</f>
        <v/>
      </c>
      <c r="J127">
        <f>IF(C127&lt;&gt;"",IFERROR(INDEX('Data-Input'!$B$19:$G$24,MATCH(C127,'Data-Input'!$A$19:$A$24,0),MATCH($B$1,'Data-Input'!$B$18:$G$18,0)),0),I127)</f>
        <v/>
      </c>
      <c r="K127">
        <f>MAX(I127,J127)</f>
        <v/>
      </c>
      <c r="L127">
        <f>((D127+E127)/2-$C$1)*$H$1</f>
        <v/>
      </c>
      <c r="M127">
        <f>F127-$D$1</f>
        <v/>
      </c>
      <c r="N127">
        <f>IF(M127&gt;20,M127*$I$1,0)</f>
        <v/>
      </c>
      <c r="O127">
        <f>IF(G127="Mixed",$Q$1,IF(G127=$E$1,$O$1,$P$1))</f>
        <v/>
      </c>
      <c r="P127">
        <f>(H127-$F$1)*$N$1</f>
        <v/>
      </c>
      <c r="Q127">
        <f>K127*$G$1+L127+N127+O127+P127+Y127+Z127+AF127+AG127</f>
        <v/>
      </c>
      <c r="R127">
        <f>IFERROR(INDEX('Data-Input'!$C$190:$C$1189,MATCH(A127&amp;"|"&amp;$A$1,'Data-Input'!$E$190:$E$1189,0)),Q127)</f>
        <v/>
      </c>
      <c r="S127">
        <f>IF(OR($A$1="",A127=$A$1),-1000000000000000,R127)</f>
        <v/>
      </c>
      <c r="T127">
        <f>S127+ROW()*0.0000001</f>
        <v/>
      </c>
      <c r="U127">
        <f>Heroes!$M127</f>
        <v/>
      </c>
      <c r="V127">
        <f>IF(OR($A$1="",A127=$A$1,U127="",U127&lt;&gt;$J$1),-1000000000000000,R127)+ROW()*0.0000001</f>
        <v/>
      </c>
      <c r="W127">
        <f>Heroes!$I127</f>
        <v/>
      </c>
      <c r="X127">
        <f>Heroes!$J127</f>
        <v/>
      </c>
      <c r="Y127">
        <f>IF($A$1="",0,MAX(IF(W127&lt;&gt;"",IFERROR(INDEX('Data-Input'!$B$164:$W$185,MATCH(W127,'Data-Input'!$A$164:$A$185,0),MATCH($K$1,'Data-Input'!$B$163:$W$163,0)),0),0),IF(AND(W127&lt;&gt;"",$L$1&lt;&gt;""),IFERROR(INDEX('Data-Input'!$B$164:$W$185,MATCH(W127,'Data-Input'!$A$164:$A$185,0),MATCH($L$1,'Data-Input'!$B$163:$W$163,0)),0),0),IF(X127&lt;&gt;"",IFERROR(INDEX('Data-Input'!$B$164:$W$185,MATCH(X127,'Data-Input'!$A$164:$A$185,0),MATCH($K$1,'Data-Input'!$B$163:$W$163,0)),0),0),IF(AND(X127&lt;&gt;"",$L$1&lt;&gt;""),IFERROR(INDEX('Data-Input'!$B$164:$W$185,MATCH(X127,'Data-Input'!$A$164:$A$185,0),MATCH($L$1,'Data-Input'!$B$163:$W$163,0)),0),0))*$M$1)</f>
        <v/>
      </c>
      <c r="Z127">
        <f>IF($A$1="",0,SUMPRODUCT(('Data-Input'!$A$29:$A$128=A127)*('Data-Input'!$B$29:$B$128="Tag")*((('Data-Input'!$C$29:$C$128=$K$1)+('Data-Input'!$C$29:$C$128=$L$1))&gt;0)*('Data-Input'!$D$29:$D$128-'Data-Input'!$E$29:$E$128))+SUMPRODUCT(('Data-Input'!$A$29:$A$128=A127)*('Data-Input'!$B$29:$B$128="Hero")*('Data-Input'!$C$29:$C$128=$A$1)*('Data-Input'!$D$29:$D$128-'Data-Input'!$E$29:$E$128))+SUMPRODUCT(('Data-Input'!$A$29:$A$128=A127)*('Data-Input'!$B$29:$B$128="Role")*((('Data-Input'!$C$29:$C$128=$B$1)+('Data-Input'!$C$29:$C$128=$AH$1))&gt;0)*('Data-Input'!$D$29:$D$128-'Data-Input'!$E$29:$E$128))+SUMPRODUCT(('Data-Input'!$A$29:$A$128=A127)*('Data-Input'!$B$29:$B$128="DamageType")*('Data-Input'!$C$29:$C$128=$E$1)*('Data-Input'!$D$29:$D$128-'Data-Input'!$E$29:$E$128))+SUMPRODUCT(('Data-Input'!$A$29:$A$128=A127)*('Data-Input'!$B$29:$B$128="Resource")*('Data-Input'!$C$29:$C$128=$AB$1)*('Data-Input'!$D$29:$D$128-'Data-Input'!$E$29:$E$128)))</f>
        <v/>
      </c>
      <c r="AE127">
        <f>Heroes!$R127</f>
        <v/>
      </c>
      <c r="AF127">
        <f>IF($A$1="",0,IF(AND(OR(W127="Dash/Blink",W127="High Mobility",W127="Global Dive",W127="Mobility",X127="Dash/Blink",X127="High Mobility",X127="Global Dive",X127="Mobility"),$AA$1="Ranged"),$AC$1,0))</f>
        <v/>
      </c>
      <c r="AG127">
        <f>IF($A$1="",0,IF(AND(AE127="Yes",OR($K$1="Sustain",$K$1="Healing",$L$1="Sustain",$L$1="Healing")),$AD$1,0))</f>
        <v/>
      </c>
    </row>
    <row r="128" ht="15" customHeight="1">
      <c r="A128">
        <f>Heroes!$B128</f>
        <v/>
      </c>
      <c r="B128">
        <f>Heroes!$C128</f>
        <v/>
      </c>
      <c r="C128">
        <f>Heroes!$D128</f>
        <v/>
      </c>
      <c r="D128">
        <f>Heroes!$E128</f>
        <v/>
      </c>
      <c r="E128">
        <f>Heroes!$F128</f>
        <v/>
      </c>
      <c r="F128">
        <f>Heroes!$H128</f>
        <v/>
      </c>
      <c r="G128">
        <f>Heroes!$K128</f>
        <v/>
      </c>
      <c r="H128">
        <f>Heroes!$Q128</f>
        <v/>
      </c>
      <c r="I128">
        <f>IFERROR(INDEX('Data-Input'!$B$19:$G$24,MATCH(B128,'Data-Input'!$A$19:$A$24,0),MATCH($B$1,'Data-Input'!$B$18:$G$18,0)),0)</f>
        <v/>
      </c>
      <c r="J128">
        <f>IF(C128&lt;&gt;"",IFERROR(INDEX('Data-Input'!$B$19:$G$24,MATCH(C128,'Data-Input'!$A$19:$A$24,0),MATCH($B$1,'Data-Input'!$B$18:$G$18,0)),0),I128)</f>
        <v/>
      </c>
      <c r="K128">
        <f>MAX(I128,J128)</f>
        <v/>
      </c>
      <c r="L128">
        <f>((D128+E128)/2-$C$1)*$H$1</f>
        <v/>
      </c>
      <c r="M128">
        <f>F128-$D$1</f>
        <v/>
      </c>
      <c r="N128">
        <f>IF(M128&gt;20,M128*$I$1,0)</f>
        <v/>
      </c>
      <c r="O128">
        <f>IF(G128="Mixed",$Q$1,IF(G128=$E$1,$O$1,$P$1))</f>
        <v/>
      </c>
      <c r="P128">
        <f>(H128-$F$1)*$N$1</f>
        <v/>
      </c>
      <c r="Q128">
        <f>K128*$G$1+L128+N128+O128+P128+Y128+Z128+AF128+AG128</f>
        <v/>
      </c>
      <c r="R128">
        <f>IFERROR(INDEX('Data-Input'!$C$190:$C$1189,MATCH(A128&amp;"|"&amp;$A$1,'Data-Input'!$E$190:$E$1189,0)),Q128)</f>
        <v/>
      </c>
      <c r="S128">
        <f>IF(OR($A$1="",A128=$A$1),-1000000000000000,R128)</f>
        <v/>
      </c>
      <c r="T128">
        <f>S128+ROW()*0.0000001</f>
        <v/>
      </c>
      <c r="U128">
        <f>Heroes!$M128</f>
        <v/>
      </c>
      <c r="V128">
        <f>IF(OR($A$1="",A128=$A$1,U128="",U128&lt;&gt;$J$1),-1000000000000000,R128)+ROW()*0.0000001</f>
        <v/>
      </c>
      <c r="W128">
        <f>Heroes!$I128</f>
        <v/>
      </c>
      <c r="X128">
        <f>Heroes!$J128</f>
        <v/>
      </c>
      <c r="Y128">
        <f>IF($A$1="",0,MAX(IF(W128&lt;&gt;"",IFERROR(INDEX('Data-Input'!$B$164:$W$185,MATCH(W128,'Data-Input'!$A$164:$A$185,0),MATCH($K$1,'Data-Input'!$B$163:$W$163,0)),0),0),IF(AND(W128&lt;&gt;"",$L$1&lt;&gt;""),IFERROR(INDEX('Data-Input'!$B$164:$W$185,MATCH(W128,'Data-Input'!$A$164:$A$185,0),MATCH($L$1,'Data-Input'!$B$163:$W$163,0)),0),0),IF(X128&lt;&gt;"",IFERROR(INDEX('Data-Input'!$B$164:$W$185,MATCH(X128,'Data-Input'!$A$164:$A$185,0),MATCH($K$1,'Data-Input'!$B$163:$W$163,0)),0),0),IF(AND(X128&lt;&gt;"",$L$1&lt;&gt;""),IFERROR(INDEX('Data-Input'!$B$164:$W$185,MATCH(X128,'Data-Input'!$A$164:$A$185,0),MATCH($L$1,'Data-Input'!$B$163:$W$163,0)),0),0))*$M$1)</f>
        <v/>
      </c>
      <c r="Z128">
        <f>IF($A$1="",0,SUMPRODUCT(('Data-Input'!$A$29:$A$128=A128)*('Data-Input'!$B$29:$B$128="Tag")*((('Data-Input'!$C$29:$C$128=$K$1)+('Data-Input'!$C$29:$C$128=$L$1))&gt;0)*('Data-Input'!$D$29:$D$128-'Data-Input'!$E$29:$E$128))+SUMPRODUCT(('Data-Input'!$A$29:$A$128=A128)*('Data-Input'!$B$29:$B$128="Hero")*('Data-Input'!$C$29:$C$128=$A$1)*('Data-Input'!$D$29:$D$128-'Data-Input'!$E$29:$E$128))+SUMPRODUCT(('Data-Input'!$A$29:$A$128=A128)*('Data-Input'!$B$29:$B$128="Role")*((('Data-Input'!$C$29:$C$128=$B$1)+('Data-Input'!$C$29:$C$128=$AH$1))&gt;0)*('Data-Input'!$D$29:$D$128-'Data-Input'!$E$29:$E$128))+SUMPRODUCT(('Data-Input'!$A$29:$A$128=A128)*('Data-Input'!$B$29:$B$128="DamageType")*('Data-Input'!$C$29:$C$128=$E$1)*('Data-Input'!$D$29:$D$128-'Data-Input'!$E$29:$E$128))+SUMPRODUCT(('Data-Input'!$A$29:$A$128=A128)*('Data-Input'!$B$29:$B$128="Resource")*('Data-Input'!$C$29:$C$128=$AB$1)*('Data-Input'!$D$29:$D$128-'Data-Input'!$E$29:$E$128)))</f>
        <v/>
      </c>
      <c r="AE128">
        <f>Heroes!$R128</f>
        <v/>
      </c>
      <c r="AF128">
        <f>IF($A$1="",0,IF(AND(OR(W128="Dash/Blink",W128="High Mobility",W128="Global Dive",W128="Mobility",X128="Dash/Blink",X128="High Mobility",X128="Global Dive",X128="Mobility"),$AA$1="Ranged"),$AC$1,0))</f>
        <v/>
      </c>
      <c r="AG128">
        <f>IF($A$1="",0,IF(AND(AE128="Yes",OR($K$1="Sustain",$K$1="Healing",$L$1="Sustain",$L$1="Healing")),$AD$1,0))</f>
        <v/>
      </c>
    </row>
    <row r="129" ht="15" customHeight="1">
      <c r="A129">
        <f>Heroes!$B129</f>
        <v/>
      </c>
      <c r="B129">
        <f>Heroes!$C129</f>
        <v/>
      </c>
      <c r="C129">
        <f>Heroes!$D129</f>
        <v/>
      </c>
      <c r="D129">
        <f>Heroes!$E129</f>
        <v/>
      </c>
      <c r="E129">
        <f>Heroes!$F129</f>
        <v/>
      </c>
      <c r="F129">
        <f>Heroes!$H129</f>
        <v/>
      </c>
      <c r="G129">
        <f>Heroes!$K129</f>
        <v/>
      </c>
      <c r="H129">
        <f>Heroes!$Q129</f>
        <v/>
      </c>
      <c r="I129">
        <f>IFERROR(INDEX('Data-Input'!$B$19:$G$24,MATCH(B129,'Data-Input'!$A$19:$A$24,0),MATCH($B$1,'Data-Input'!$B$18:$G$18,0)),0)</f>
        <v/>
      </c>
      <c r="J129">
        <f>IF(C129&lt;&gt;"",IFERROR(INDEX('Data-Input'!$B$19:$G$24,MATCH(C129,'Data-Input'!$A$19:$A$24,0),MATCH($B$1,'Data-Input'!$B$18:$G$18,0)),0),I129)</f>
        <v/>
      </c>
      <c r="K129">
        <f>MAX(I129,J129)</f>
        <v/>
      </c>
      <c r="L129">
        <f>((D129+E129)/2-$C$1)*$H$1</f>
        <v/>
      </c>
      <c r="M129">
        <f>F129-$D$1</f>
        <v/>
      </c>
      <c r="N129">
        <f>IF(M129&gt;20,M129*$I$1,0)</f>
        <v/>
      </c>
      <c r="O129">
        <f>IF(G129="Mixed",$Q$1,IF(G129=$E$1,$O$1,$P$1))</f>
        <v/>
      </c>
      <c r="P129">
        <f>(H129-$F$1)*$N$1</f>
        <v/>
      </c>
      <c r="Q129">
        <f>K129*$G$1+L129+N129+O129+P129+Y129+Z129+AF129+AG129</f>
        <v/>
      </c>
      <c r="R129">
        <f>IFERROR(INDEX('Data-Input'!$C$190:$C$1189,MATCH(A129&amp;"|"&amp;$A$1,'Data-Input'!$E$190:$E$1189,0)),Q129)</f>
        <v/>
      </c>
      <c r="S129">
        <f>IF(OR($A$1="",A129=$A$1),-1000000000000000,R129)</f>
        <v/>
      </c>
      <c r="T129">
        <f>S129+ROW()*0.0000001</f>
        <v/>
      </c>
      <c r="U129">
        <f>Heroes!$M129</f>
        <v/>
      </c>
      <c r="V129">
        <f>IF(OR($A$1="",A129=$A$1,U129="",U129&lt;&gt;$J$1),-1000000000000000,R129)+ROW()*0.0000001</f>
        <v/>
      </c>
      <c r="W129">
        <f>Heroes!$I129</f>
        <v/>
      </c>
      <c r="X129">
        <f>Heroes!$J129</f>
        <v/>
      </c>
      <c r="Y129">
        <f>IF($A$1="",0,MAX(IF(W129&lt;&gt;"",IFERROR(INDEX('Data-Input'!$B$164:$W$185,MATCH(W129,'Data-Input'!$A$164:$A$185,0),MATCH($K$1,'Data-Input'!$B$163:$W$163,0)),0),0),IF(AND(W129&lt;&gt;"",$L$1&lt;&gt;""),IFERROR(INDEX('Data-Input'!$B$164:$W$185,MATCH(W129,'Data-Input'!$A$164:$A$185,0),MATCH($L$1,'Data-Input'!$B$163:$W$163,0)),0),0),IF(X129&lt;&gt;"",IFERROR(INDEX('Data-Input'!$B$164:$W$185,MATCH(X129,'Data-Input'!$A$164:$A$185,0),MATCH($K$1,'Data-Input'!$B$163:$W$163,0)),0),0),IF(AND(X129&lt;&gt;"",$L$1&lt;&gt;""),IFERROR(INDEX('Data-Input'!$B$164:$W$185,MATCH(X129,'Data-Input'!$A$164:$A$185,0),MATCH($L$1,'Data-Input'!$B$163:$W$163,0)),0),0))*$M$1)</f>
        <v/>
      </c>
      <c r="Z129">
        <f>IF($A$1="",0,SUMPRODUCT(('Data-Input'!$A$29:$A$128=A129)*('Data-Input'!$B$29:$B$128="Tag")*((('Data-Input'!$C$29:$C$128=$K$1)+('Data-Input'!$C$29:$C$128=$L$1))&gt;0)*('Data-Input'!$D$29:$D$128-'Data-Input'!$E$29:$E$128))+SUMPRODUCT(('Data-Input'!$A$29:$A$128=A129)*('Data-Input'!$B$29:$B$128="Hero")*('Data-Input'!$C$29:$C$128=$A$1)*('Data-Input'!$D$29:$D$128-'Data-Input'!$E$29:$E$128))+SUMPRODUCT(('Data-Input'!$A$29:$A$128=A129)*('Data-Input'!$B$29:$B$128="Role")*((('Data-Input'!$C$29:$C$128=$B$1)+('Data-Input'!$C$29:$C$128=$AH$1))&gt;0)*('Data-Input'!$D$29:$D$128-'Data-Input'!$E$29:$E$128))+SUMPRODUCT(('Data-Input'!$A$29:$A$128=A129)*('Data-Input'!$B$29:$B$128="DamageType")*('Data-Input'!$C$29:$C$128=$E$1)*('Data-Input'!$D$29:$D$128-'Data-Input'!$E$29:$E$128))+SUMPRODUCT(('Data-Input'!$A$29:$A$128=A129)*('Data-Input'!$B$29:$B$128="Resource")*('Data-Input'!$C$29:$C$128=$AB$1)*('Data-Input'!$D$29:$D$128-'Data-Input'!$E$29:$E$128)))</f>
        <v/>
      </c>
      <c r="AE129">
        <f>Heroes!$R129</f>
        <v/>
      </c>
      <c r="AF129">
        <f>IF($A$1="",0,IF(AND(OR(W129="Dash/Blink",W129="High Mobility",W129="Global Dive",W129="Mobility",X129="Dash/Blink",X129="High Mobility",X129="Global Dive",X129="Mobility"),$AA$1="Ranged"),$AC$1,0))</f>
        <v/>
      </c>
      <c r="AG129">
        <f>IF($A$1="",0,IF(AND(AE129="Yes",OR($K$1="Sustain",$K$1="Healing",$L$1="Sustain",$L$1="Healing")),$AD$1,0))</f>
        <v/>
      </c>
    </row>
    <row r="130" ht="15" customHeight="1">
      <c r="A130">
        <f>Heroes!$B130</f>
        <v/>
      </c>
      <c r="B130">
        <f>Heroes!$C130</f>
        <v/>
      </c>
      <c r="C130">
        <f>Heroes!$D130</f>
        <v/>
      </c>
      <c r="D130">
        <f>Heroes!$E130</f>
        <v/>
      </c>
      <c r="E130">
        <f>Heroes!$F130</f>
        <v/>
      </c>
      <c r="F130">
        <f>Heroes!$H130</f>
        <v/>
      </c>
      <c r="G130">
        <f>Heroes!$K130</f>
        <v/>
      </c>
      <c r="H130">
        <f>Heroes!$Q130</f>
        <v/>
      </c>
      <c r="I130">
        <f>IFERROR(INDEX('Data-Input'!$B$19:$G$24,MATCH(B130,'Data-Input'!$A$19:$A$24,0),MATCH($B$1,'Data-Input'!$B$18:$G$18,0)),0)</f>
        <v/>
      </c>
      <c r="J130">
        <f>IF(C130&lt;&gt;"",IFERROR(INDEX('Data-Input'!$B$19:$G$24,MATCH(C130,'Data-Input'!$A$19:$A$24,0),MATCH($B$1,'Data-Input'!$B$18:$G$18,0)),0),I130)</f>
        <v/>
      </c>
      <c r="K130">
        <f>MAX(I130,J130)</f>
        <v/>
      </c>
      <c r="L130">
        <f>((D130+E130)/2-$C$1)*$H$1</f>
        <v/>
      </c>
      <c r="M130">
        <f>F130-$D$1</f>
        <v/>
      </c>
      <c r="N130">
        <f>IF(M130&gt;20,M130*$I$1,0)</f>
        <v/>
      </c>
      <c r="O130">
        <f>IF(G130="Mixed",$Q$1,IF(G130=$E$1,$O$1,$P$1))</f>
        <v/>
      </c>
      <c r="P130">
        <f>(H130-$F$1)*$N$1</f>
        <v/>
      </c>
      <c r="Q130">
        <f>K130*$G$1+L130+N130+O130+P130+Y130+Z130+AF130+AG130</f>
        <v/>
      </c>
      <c r="R130">
        <f>IFERROR(INDEX('Data-Input'!$C$190:$C$1189,MATCH(A130&amp;"|"&amp;$A$1,'Data-Input'!$E$190:$E$1189,0)),Q130)</f>
        <v/>
      </c>
      <c r="S130">
        <f>IF(OR($A$1="",A130=$A$1),-1000000000000000,R130)</f>
        <v/>
      </c>
      <c r="T130">
        <f>S130+ROW()*0.0000001</f>
        <v/>
      </c>
      <c r="U130">
        <f>Heroes!$M130</f>
        <v/>
      </c>
      <c r="V130">
        <f>IF(OR($A$1="",A130=$A$1,U130="",U130&lt;&gt;$J$1),-1000000000000000,R130)+ROW()*0.0000001</f>
        <v/>
      </c>
      <c r="W130">
        <f>Heroes!$I130</f>
        <v/>
      </c>
      <c r="X130">
        <f>Heroes!$J130</f>
        <v/>
      </c>
      <c r="Y130">
        <f>IF($A$1="",0,MAX(IF(W130&lt;&gt;"",IFERROR(INDEX('Data-Input'!$B$164:$W$185,MATCH(W130,'Data-Input'!$A$164:$A$185,0),MATCH($K$1,'Data-Input'!$B$163:$W$163,0)),0),0),IF(AND(W130&lt;&gt;"",$L$1&lt;&gt;""),IFERROR(INDEX('Data-Input'!$B$164:$W$185,MATCH(W130,'Data-Input'!$A$164:$A$185,0),MATCH($L$1,'Data-Input'!$B$163:$W$163,0)),0),0),IF(X130&lt;&gt;"",IFERROR(INDEX('Data-Input'!$B$164:$W$185,MATCH(X130,'Data-Input'!$A$164:$A$185,0),MATCH($K$1,'Data-Input'!$B$163:$W$163,0)),0),0),IF(AND(X130&lt;&gt;"",$L$1&lt;&gt;""),IFERROR(INDEX('Data-Input'!$B$164:$W$185,MATCH(X130,'Data-Input'!$A$164:$A$185,0),MATCH($L$1,'Data-Input'!$B$163:$W$163,0)),0),0))*$M$1)</f>
        <v/>
      </c>
      <c r="Z130">
        <f>IF($A$1="",0,SUMPRODUCT(('Data-Input'!$A$29:$A$128=A130)*('Data-Input'!$B$29:$B$128="Tag")*((('Data-Input'!$C$29:$C$128=$K$1)+('Data-Input'!$C$29:$C$128=$L$1))&gt;0)*('Data-Input'!$D$29:$D$128-'Data-Input'!$E$29:$E$128))+SUMPRODUCT(('Data-Input'!$A$29:$A$128=A130)*('Data-Input'!$B$29:$B$128="Hero")*('Data-Input'!$C$29:$C$128=$A$1)*('Data-Input'!$D$29:$D$128-'Data-Input'!$E$29:$E$128))+SUMPRODUCT(('Data-Input'!$A$29:$A$128=A130)*('Data-Input'!$B$29:$B$128="Role")*((('Data-Input'!$C$29:$C$128=$B$1)+('Data-Input'!$C$29:$C$128=$AH$1))&gt;0)*('Data-Input'!$D$29:$D$128-'Data-Input'!$E$29:$E$128))+SUMPRODUCT(('Data-Input'!$A$29:$A$128=A130)*('Data-Input'!$B$29:$B$128="DamageType")*('Data-Input'!$C$29:$C$128=$E$1)*('Data-Input'!$D$29:$D$128-'Data-Input'!$E$29:$E$128))+SUMPRODUCT(('Data-Input'!$A$29:$A$128=A130)*('Data-Input'!$B$29:$B$128="Resource")*('Data-Input'!$C$29:$C$128=$AB$1)*('Data-Input'!$D$29:$D$128-'Data-Input'!$E$29:$E$128)))</f>
        <v/>
      </c>
      <c r="AE130">
        <f>Heroes!$R130</f>
        <v/>
      </c>
      <c r="AF130">
        <f>IF($A$1="",0,IF(AND(OR(W130="Dash/Blink",W130="High Mobility",W130="Global Dive",W130="Mobility",X130="Dash/Blink",X130="High Mobility",X130="Global Dive",X130="Mobility"),$AA$1="Ranged"),$AC$1,0))</f>
        <v/>
      </c>
      <c r="AG130">
        <f>IF($A$1="",0,IF(AND(AE130="Yes",OR($K$1="Sustain",$K$1="Healing",$L$1="Sustain",$L$1="Healing")),$AD$1,0))</f>
        <v/>
      </c>
    </row>
    <row r="131" ht="15" customHeight="1">
      <c r="A131">
        <f>Heroes!$B131</f>
        <v/>
      </c>
      <c r="B131">
        <f>Heroes!$C131</f>
        <v/>
      </c>
      <c r="C131">
        <f>Heroes!$D131</f>
        <v/>
      </c>
      <c r="D131">
        <f>Heroes!$E131</f>
        <v/>
      </c>
      <c r="E131">
        <f>Heroes!$F131</f>
        <v/>
      </c>
      <c r="F131">
        <f>Heroes!$H131</f>
        <v/>
      </c>
      <c r="G131">
        <f>Heroes!$K131</f>
        <v/>
      </c>
      <c r="H131">
        <f>Heroes!$Q131</f>
        <v/>
      </c>
      <c r="I131">
        <f>IFERROR(INDEX('Data-Input'!$B$19:$G$24,MATCH(B131,'Data-Input'!$A$19:$A$24,0),MATCH($B$1,'Data-Input'!$B$18:$G$18,0)),0)</f>
        <v/>
      </c>
      <c r="J131">
        <f>IF(C131&lt;&gt;"",IFERROR(INDEX('Data-Input'!$B$19:$G$24,MATCH(C131,'Data-Input'!$A$19:$A$24,0),MATCH($B$1,'Data-Input'!$B$18:$G$18,0)),0),I131)</f>
        <v/>
      </c>
      <c r="K131">
        <f>MAX(I131,J131)</f>
        <v/>
      </c>
      <c r="L131">
        <f>((D131+E131)/2-$C$1)*$H$1</f>
        <v/>
      </c>
      <c r="M131">
        <f>F131-$D$1</f>
        <v/>
      </c>
      <c r="N131">
        <f>IF(M131&gt;20,M131*$I$1,0)</f>
        <v/>
      </c>
      <c r="O131">
        <f>IF(G131="Mixed",$Q$1,IF(G131=$E$1,$O$1,$P$1))</f>
        <v/>
      </c>
      <c r="P131">
        <f>(H131-$F$1)*$N$1</f>
        <v/>
      </c>
      <c r="Q131">
        <f>K131*$G$1+L131+N131+O131+P131+Y131+Z131+AF131+AG131</f>
        <v/>
      </c>
      <c r="R131">
        <f>IFERROR(INDEX('Data-Input'!$C$190:$C$1189,MATCH(A131&amp;"|"&amp;$A$1,'Data-Input'!$E$190:$E$1189,0)),Q131)</f>
        <v/>
      </c>
      <c r="S131">
        <f>IF(OR($A$1="",A131=$A$1),-1000000000000000,R131)</f>
        <v/>
      </c>
      <c r="T131">
        <f>S131+ROW()*0.0000001</f>
        <v/>
      </c>
      <c r="U131">
        <f>Heroes!$M131</f>
        <v/>
      </c>
      <c r="V131">
        <f>IF(OR($A$1="",A131=$A$1,U131="",U131&lt;&gt;$J$1),-1000000000000000,R131)+ROW()*0.0000001</f>
        <v/>
      </c>
      <c r="W131">
        <f>Heroes!$I131</f>
        <v/>
      </c>
      <c r="X131">
        <f>Heroes!$J131</f>
        <v/>
      </c>
      <c r="Y131">
        <f>IF($A$1="",0,MAX(IF(W131&lt;&gt;"",IFERROR(INDEX('Data-Input'!$B$164:$W$185,MATCH(W131,'Data-Input'!$A$164:$A$185,0),MATCH($K$1,'Data-Input'!$B$163:$W$163,0)),0),0),IF(AND(W131&lt;&gt;"",$L$1&lt;&gt;""),IFERROR(INDEX('Data-Input'!$B$164:$W$185,MATCH(W131,'Data-Input'!$A$164:$A$185,0),MATCH($L$1,'Data-Input'!$B$163:$W$163,0)),0),0),IF(X131&lt;&gt;"",IFERROR(INDEX('Data-Input'!$B$164:$W$185,MATCH(X131,'Data-Input'!$A$164:$A$185,0),MATCH($K$1,'Data-Input'!$B$163:$W$163,0)),0),0),IF(AND(X131&lt;&gt;"",$L$1&lt;&gt;""),IFERROR(INDEX('Data-Input'!$B$164:$W$185,MATCH(X131,'Data-Input'!$A$164:$A$185,0),MATCH($L$1,'Data-Input'!$B$163:$W$163,0)),0),0))*$M$1)</f>
        <v/>
      </c>
      <c r="Z131">
        <f>IF($A$1="",0,SUMPRODUCT(('Data-Input'!$A$29:$A$128=A131)*('Data-Input'!$B$29:$B$128="Tag")*((('Data-Input'!$C$29:$C$128=$K$1)+('Data-Input'!$C$29:$C$128=$L$1))&gt;0)*('Data-Input'!$D$29:$D$128-'Data-Input'!$E$29:$E$128))+SUMPRODUCT(('Data-Input'!$A$29:$A$128=A131)*('Data-Input'!$B$29:$B$128="Hero")*('Data-Input'!$C$29:$C$128=$A$1)*('Data-Input'!$D$29:$D$128-'Data-Input'!$E$29:$E$128))+SUMPRODUCT(('Data-Input'!$A$29:$A$128=A131)*('Data-Input'!$B$29:$B$128="Role")*((('Data-Input'!$C$29:$C$128=$B$1)+('Data-Input'!$C$29:$C$128=$AH$1))&gt;0)*('Data-Input'!$D$29:$D$128-'Data-Input'!$E$29:$E$128))+SUMPRODUCT(('Data-Input'!$A$29:$A$128=A131)*('Data-Input'!$B$29:$B$128="DamageType")*('Data-Input'!$C$29:$C$128=$E$1)*('Data-Input'!$D$29:$D$128-'Data-Input'!$E$29:$E$128))+SUMPRODUCT(('Data-Input'!$A$29:$A$128=A131)*('Data-Input'!$B$29:$B$128="Resource")*('Data-Input'!$C$29:$C$128=$AB$1)*('Data-Input'!$D$29:$D$128-'Data-Input'!$E$29:$E$128)))</f>
        <v/>
      </c>
      <c r="AE131">
        <f>Heroes!$R131</f>
        <v/>
      </c>
      <c r="AF131">
        <f>IF($A$1="",0,IF(AND(OR(W131="Dash/Blink",W131="High Mobility",W131="Global Dive",W131="Mobility",X131="Dash/Blink",X131="High Mobility",X131="Global Dive",X131="Mobility"),$AA$1="Ranged"),$AC$1,0))</f>
        <v/>
      </c>
      <c r="AG131">
        <f>IF($A$1="",0,IF(AND(AE131="Yes",OR($K$1="Sustain",$K$1="Healing",$L$1="Sustain",$L$1="Healing")),$AD$1,0))</f>
        <v/>
      </c>
    </row>
    <row r="132" ht="15" customHeight="1">
      <c r="A132">
        <f>Heroes!$B132</f>
        <v/>
      </c>
      <c r="B132">
        <f>Heroes!$C132</f>
        <v/>
      </c>
      <c r="C132">
        <f>Heroes!$D132</f>
        <v/>
      </c>
      <c r="D132">
        <f>Heroes!$E132</f>
        <v/>
      </c>
      <c r="E132">
        <f>Heroes!$F132</f>
        <v/>
      </c>
      <c r="F132">
        <f>Heroes!$H132</f>
        <v/>
      </c>
      <c r="G132">
        <f>Heroes!$K132</f>
        <v/>
      </c>
      <c r="H132">
        <f>Heroes!$Q132</f>
        <v/>
      </c>
      <c r="I132">
        <f>IFERROR(INDEX('Data-Input'!$B$19:$G$24,MATCH(B132,'Data-Input'!$A$19:$A$24,0),MATCH($B$1,'Data-Input'!$B$18:$G$18,0)),0)</f>
        <v/>
      </c>
      <c r="J132">
        <f>IF(C132&lt;&gt;"",IFERROR(INDEX('Data-Input'!$B$19:$G$24,MATCH(C132,'Data-Input'!$A$19:$A$24,0),MATCH($B$1,'Data-Input'!$B$18:$G$18,0)),0),I132)</f>
        <v/>
      </c>
      <c r="K132">
        <f>MAX(I132,J132)</f>
        <v/>
      </c>
      <c r="L132">
        <f>((D132+E132)/2-$C$1)*$H$1</f>
        <v/>
      </c>
      <c r="M132">
        <f>F132-$D$1</f>
        <v/>
      </c>
      <c r="N132">
        <f>IF(M132&gt;20,M132*$I$1,0)</f>
        <v/>
      </c>
      <c r="O132">
        <f>IF(G132="Mixed",$Q$1,IF(G132=$E$1,$O$1,$P$1))</f>
        <v/>
      </c>
      <c r="P132">
        <f>(H132-$F$1)*$N$1</f>
        <v/>
      </c>
      <c r="Q132">
        <f>K132*$G$1+L132+N132+O132+P132+Y132+Z132+AF132+AG132</f>
        <v/>
      </c>
      <c r="R132">
        <f>IFERROR(INDEX('Data-Input'!$C$190:$C$1189,MATCH(A132&amp;"|"&amp;$A$1,'Data-Input'!$E$190:$E$1189,0)),Q132)</f>
        <v/>
      </c>
      <c r="S132">
        <f>IF(OR($A$1="",A132=$A$1),-1000000000000000,R132)</f>
        <v/>
      </c>
      <c r="T132">
        <f>S132+ROW()*0.0000001</f>
        <v/>
      </c>
      <c r="U132">
        <f>Heroes!$M132</f>
        <v/>
      </c>
      <c r="V132">
        <f>IF(OR($A$1="",A132=$A$1,U132="",U132&lt;&gt;$J$1),-1000000000000000,R132)+ROW()*0.0000001</f>
        <v/>
      </c>
      <c r="W132">
        <f>Heroes!$I132</f>
        <v/>
      </c>
      <c r="X132">
        <f>Heroes!$J132</f>
        <v/>
      </c>
      <c r="Y132">
        <f>IF($A$1="",0,MAX(IF(W132&lt;&gt;"",IFERROR(INDEX('Data-Input'!$B$164:$W$185,MATCH(W132,'Data-Input'!$A$164:$A$185,0),MATCH($K$1,'Data-Input'!$B$163:$W$163,0)),0),0),IF(AND(W132&lt;&gt;"",$L$1&lt;&gt;""),IFERROR(INDEX('Data-Input'!$B$164:$W$185,MATCH(W132,'Data-Input'!$A$164:$A$185,0),MATCH($L$1,'Data-Input'!$B$163:$W$163,0)),0),0),IF(X132&lt;&gt;"",IFERROR(INDEX('Data-Input'!$B$164:$W$185,MATCH(X132,'Data-Input'!$A$164:$A$185,0),MATCH($K$1,'Data-Input'!$B$163:$W$163,0)),0),0),IF(AND(X132&lt;&gt;"",$L$1&lt;&gt;""),IFERROR(INDEX('Data-Input'!$B$164:$W$185,MATCH(X132,'Data-Input'!$A$164:$A$185,0),MATCH($L$1,'Data-Input'!$B$163:$W$163,0)),0),0))*$M$1)</f>
        <v/>
      </c>
      <c r="Z132">
        <f>IF($A$1="",0,SUMPRODUCT(('Data-Input'!$A$29:$A$128=A132)*('Data-Input'!$B$29:$B$128="Tag")*((('Data-Input'!$C$29:$C$128=$K$1)+('Data-Input'!$C$29:$C$128=$L$1))&gt;0)*('Data-Input'!$D$29:$D$128-'Data-Input'!$E$29:$E$128))+SUMPRODUCT(('Data-Input'!$A$29:$A$128=A132)*('Data-Input'!$B$29:$B$128="Hero")*('Data-Input'!$C$29:$C$128=$A$1)*('Data-Input'!$D$29:$D$128-'Data-Input'!$E$29:$E$128))+SUMPRODUCT(('Data-Input'!$A$29:$A$128=A132)*('Data-Input'!$B$29:$B$128="Role")*((('Data-Input'!$C$29:$C$128=$B$1)+('Data-Input'!$C$29:$C$128=$AH$1))&gt;0)*('Data-Input'!$D$29:$D$128-'Data-Input'!$E$29:$E$128))+SUMPRODUCT(('Data-Input'!$A$29:$A$128=A132)*('Data-Input'!$B$29:$B$128="DamageType")*('Data-Input'!$C$29:$C$128=$E$1)*('Data-Input'!$D$29:$D$128-'Data-Input'!$E$29:$E$128))+SUMPRODUCT(('Data-Input'!$A$29:$A$128=A132)*('Data-Input'!$B$29:$B$128="Resource")*('Data-Input'!$C$29:$C$128=$AB$1)*('Data-Input'!$D$29:$D$128-'Data-Input'!$E$29:$E$128)))</f>
        <v/>
      </c>
      <c r="AE132">
        <f>Heroes!$R132</f>
        <v/>
      </c>
      <c r="AF132">
        <f>IF($A$1="",0,IF(AND(OR(W132="Dash/Blink",W132="High Mobility",W132="Global Dive",W132="Mobility",X132="Dash/Blink",X132="High Mobility",X132="Global Dive",X132="Mobility"),$AA$1="Ranged"),$AC$1,0))</f>
        <v/>
      </c>
      <c r="AG132">
        <f>IF($A$1="",0,IF(AND(AE132="Yes",OR($K$1="Sustain",$K$1="Healing",$L$1="Sustain",$L$1="Healing")),$AD$1,0))</f>
        <v/>
      </c>
    </row>
    <row r="133" ht="15" customHeight="1">
      <c r="A133">
        <f>Heroes!$B133</f>
        <v/>
      </c>
      <c r="B133">
        <f>Heroes!$C133</f>
        <v/>
      </c>
      <c r="C133">
        <f>Heroes!$D133</f>
        <v/>
      </c>
      <c r="D133">
        <f>Heroes!$E133</f>
        <v/>
      </c>
      <c r="E133">
        <f>Heroes!$F133</f>
        <v/>
      </c>
      <c r="F133">
        <f>Heroes!$H133</f>
        <v/>
      </c>
      <c r="G133">
        <f>Heroes!$K133</f>
        <v/>
      </c>
      <c r="H133">
        <f>Heroes!$Q133</f>
        <v/>
      </c>
      <c r="I133">
        <f>IFERROR(INDEX('Data-Input'!$B$19:$G$24,MATCH(B133,'Data-Input'!$A$19:$A$24,0),MATCH($B$1,'Data-Input'!$B$18:$G$18,0)),0)</f>
        <v/>
      </c>
      <c r="J133">
        <f>IF(C133&lt;&gt;"",IFERROR(INDEX('Data-Input'!$B$19:$G$24,MATCH(C133,'Data-Input'!$A$19:$A$24,0),MATCH($B$1,'Data-Input'!$B$18:$G$18,0)),0),I133)</f>
        <v/>
      </c>
      <c r="K133">
        <f>MAX(I133,J133)</f>
        <v/>
      </c>
      <c r="L133">
        <f>((D133+E133)/2-$C$1)*$H$1</f>
        <v/>
      </c>
      <c r="M133">
        <f>F133-$D$1</f>
        <v/>
      </c>
      <c r="N133">
        <f>IF(M133&gt;20,M133*$I$1,0)</f>
        <v/>
      </c>
      <c r="O133">
        <f>IF(G133="Mixed",$Q$1,IF(G133=$E$1,$O$1,$P$1))</f>
        <v/>
      </c>
      <c r="P133">
        <f>(H133-$F$1)*$N$1</f>
        <v/>
      </c>
      <c r="Q133">
        <f>K133*$G$1+L133+N133+O133+P133+Y133+Z133+AF133+AG133</f>
        <v/>
      </c>
      <c r="R133">
        <f>IFERROR(INDEX('Data-Input'!$C$190:$C$1189,MATCH(A133&amp;"|"&amp;$A$1,'Data-Input'!$E$190:$E$1189,0)),Q133)</f>
        <v/>
      </c>
      <c r="S133">
        <f>IF(OR($A$1="",A133=$A$1),-1000000000000000,R133)</f>
        <v/>
      </c>
      <c r="T133">
        <f>S133+ROW()*0.0000001</f>
        <v/>
      </c>
      <c r="U133">
        <f>Heroes!$M133</f>
        <v/>
      </c>
      <c r="V133">
        <f>IF(OR($A$1="",A133=$A$1,U133="",U133&lt;&gt;$J$1),-1000000000000000,R133)+ROW()*0.0000001</f>
        <v/>
      </c>
      <c r="W133">
        <f>Heroes!$I133</f>
        <v/>
      </c>
      <c r="X133">
        <f>Heroes!$J133</f>
        <v/>
      </c>
      <c r="Y133">
        <f>IF($A$1="",0,MAX(IF(W133&lt;&gt;"",IFERROR(INDEX('Data-Input'!$B$164:$W$185,MATCH(W133,'Data-Input'!$A$164:$A$185,0),MATCH($K$1,'Data-Input'!$B$163:$W$163,0)),0),0),IF(AND(W133&lt;&gt;"",$L$1&lt;&gt;""),IFERROR(INDEX('Data-Input'!$B$164:$W$185,MATCH(W133,'Data-Input'!$A$164:$A$185,0),MATCH($L$1,'Data-Input'!$B$163:$W$163,0)),0),0),IF(X133&lt;&gt;"",IFERROR(INDEX('Data-Input'!$B$164:$W$185,MATCH(X133,'Data-Input'!$A$164:$A$185,0),MATCH($K$1,'Data-Input'!$B$163:$W$163,0)),0),0),IF(AND(X133&lt;&gt;"",$L$1&lt;&gt;""),IFERROR(INDEX('Data-Input'!$B$164:$W$185,MATCH(X133,'Data-Input'!$A$164:$A$185,0),MATCH($L$1,'Data-Input'!$B$163:$W$163,0)),0),0))*$M$1)</f>
        <v/>
      </c>
      <c r="Z133">
        <f>IF($A$1="",0,SUMPRODUCT(('Data-Input'!$A$29:$A$128=A133)*('Data-Input'!$B$29:$B$128="Tag")*((('Data-Input'!$C$29:$C$128=$K$1)+('Data-Input'!$C$29:$C$128=$L$1))&gt;0)*('Data-Input'!$D$29:$D$128-'Data-Input'!$E$29:$E$128))+SUMPRODUCT(('Data-Input'!$A$29:$A$128=A133)*('Data-Input'!$B$29:$B$128="Hero")*('Data-Input'!$C$29:$C$128=$A$1)*('Data-Input'!$D$29:$D$128-'Data-Input'!$E$29:$E$128))+SUMPRODUCT(('Data-Input'!$A$29:$A$128=A133)*('Data-Input'!$B$29:$B$128="Role")*((('Data-Input'!$C$29:$C$128=$B$1)+('Data-Input'!$C$29:$C$128=$AH$1))&gt;0)*('Data-Input'!$D$29:$D$128-'Data-Input'!$E$29:$E$128))+SUMPRODUCT(('Data-Input'!$A$29:$A$128=A133)*('Data-Input'!$B$29:$B$128="DamageType")*('Data-Input'!$C$29:$C$128=$E$1)*('Data-Input'!$D$29:$D$128-'Data-Input'!$E$29:$E$128))+SUMPRODUCT(('Data-Input'!$A$29:$A$128=A133)*('Data-Input'!$B$29:$B$128="Resource")*('Data-Input'!$C$29:$C$128=$AB$1)*('Data-Input'!$D$29:$D$128-'Data-Input'!$E$29:$E$128)))</f>
        <v/>
      </c>
      <c r="AE133">
        <f>Heroes!$R133</f>
        <v/>
      </c>
      <c r="AF133">
        <f>IF($A$1="",0,IF(AND(OR(W133="Dash/Blink",W133="High Mobility",W133="Global Dive",W133="Mobility",X133="Dash/Blink",X133="High Mobility",X133="Global Dive",X133="Mobility"),$AA$1="Ranged"),$AC$1,0))</f>
        <v/>
      </c>
      <c r="AG133">
        <f>IF($A$1="",0,IF(AND(AE133="Yes",OR($K$1="Sustain",$K$1="Healing",$L$1="Sustain",$L$1="Healing")),$AD$1,0))</f>
        <v/>
      </c>
    </row>
    <row r="134" ht="15" customHeight="1">
      <c r="A134">
        <f>Heroes!$B134</f>
        <v/>
      </c>
      <c r="B134">
        <f>Heroes!$C134</f>
        <v/>
      </c>
      <c r="C134">
        <f>Heroes!$D134</f>
        <v/>
      </c>
      <c r="D134">
        <f>Heroes!$E134</f>
        <v/>
      </c>
      <c r="E134">
        <f>Heroes!$F134</f>
        <v/>
      </c>
      <c r="F134">
        <f>Heroes!$H134</f>
        <v/>
      </c>
      <c r="G134">
        <f>Heroes!$K134</f>
        <v/>
      </c>
      <c r="H134">
        <f>Heroes!$Q134</f>
        <v/>
      </c>
      <c r="I134">
        <f>IFERROR(INDEX('Data-Input'!$B$19:$G$24,MATCH(B134,'Data-Input'!$A$19:$A$24,0),MATCH($B$1,'Data-Input'!$B$18:$G$18,0)),0)</f>
        <v/>
      </c>
      <c r="J134">
        <f>IF(C134&lt;&gt;"",IFERROR(INDEX('Data-Input'!$B$19:$G$24,MATCH(C134,'Data-Input'!$A$19:$A$24,0),MATCH($B$1,'Data-Input'!$B$18:$G$18,0)),0),I134)</f>
        <v/>
      </c>
      <c r="K134">
        <f>MAX(I134,J134)</f>
        <v/>
      </c>
      <c r="L134">
        <f>((D134+E134)/2-$C$1)*$H$1</f>
        <v/>
      </c>
      <c r="M134">
        <f>F134-$D$1</f>
        <v/>
      </c>
      <c r="N134">
        <f>IF(M134&gt;20,M134*$I$1,0)</f>
        <v/>
      </c>
      <c r="O134">
        <f>IF(G134="Mixed",$Q$1,IF(G134=$E$1,$O$1,$P$1))</f>
        <v/>
      </c>
      <c r="P134">
        <f>(H134-$F$1)*$N$1</f>
        <v/>
      </c>
      <c r="Q134">
        <f>K134*$G$1+L134+N134+O134+P134+Y134+Z134+AF134+AG134</f>
        <v/>
      </c>
      <c r="R134">
        <f>IFERROR(INDEX('Data-Input'!$C$190:$C$1189,MATCH(A134&amp;"|"&amp;$A$1,'Data-Input'!$E$190:$E$1189,0)),Q134)</f>
        <v/>
      </c>
      <c r="S134">
        <f>IF(OR($A$1="",A134=$A$1),-1000000000000000,R134)</f>
        <v/>
      </c>
      <c r="T134">
        <f>S134+ROW()*0.0000001</f>
        <v/>
      </c>
      <c r="U134">
        <f>Heroes!$M134</f>
        <v/>
      </c>
      <c r="V134">
        <f>IF(OR($A$1="",A134=$A$1,U134="",U134&lt;&gt;$J$1),-1000000000000000,R134)+ROW()*0.0000001</f>
        <v/>
      </c>
      <c r="W134">
        <f>Heroes!$I134</f>
        <v/>
      </c>
      <c r="X134">
        <f>Heroes!$J134</f>
        <v/>
      </c>
      <c r="Y134">
        <f>IF($A$1="",0,MAX(IF(W134&lt;&gt;"",IFERROR(INDEX('Data-Input'!$B$164:$W$185,MATCH(W134,'Data-Input'!$A$164:$A$185,0),MATCH($K$1,'Data-Input'!$B$163:$W$163,0)),0),0),IF(AND(W134&lt;&gt;"",$L$1&lt;&gt;""),IFERROR(INDEX('Data-Input'!$B$164:$W$185,MATCH(W134,'Data-Input'!$A$164:$A$185,0),MATCH($L$1,'Data-Input'!$B$163:$W$163,0)),0),0),IF(X134&lt;&gt;"",IFERROR(INDEX('Data-Input'!$B$164:$W$185,MATCH(X134,'Data-Input'!$A$164:$A$185,0),MATCH($K$1,'Data-Input'!$B$163:$W$163,0)),0),0),IF(AND(X134&lt;&gt;"",$L$1&lt;&gt;""),IFERROR(INDEX('Data-Input'!$B$164:$W$185,MATCH(X134,'Data-Input'!$A$164:$A$185,0),MATCH($L$1,'Data-Input'!$B$163:$W$163,0)),0),0))*$M$1)</f>
        <v/>
      </c>
      <c r="Z134">
        <f>IF($A$1="",0,SUMPRODUCT(('Data-Input'!$A$29:$A$128=A134)*('Data-Input'!$B$29:$B$128="Tag")*((('Data-Input'!$C$29:$C$128=$K$1)+('Data-Input'!$C$29:$C$128=$L$1))&gt;0)*('Data-Input'!$D$29:$D$128-'Data-Input'!$E$29:$E$128))+SUMPRODUCT(('Data-Input'!$A$29:$A$128=A134)*('Data-Input'!$B$29:$B$128="Hero")*('Data-Input'!$C$29:$C$128=$A$1)*('Data-Input'!$D$29:$D$128-'Data-Input'!$E$29:$E$128))+SUMPRODUCT(('Data-Input'!$A$29:$A$128=A134)*('Data-Input'!$B$29:$B$128="Role")*((('Data-Input'!$C$29:$C$128=$B$1)+('Data-Input'!$C$29:$C$128=$AH$1))&gt;0)*('Data-Input'!$D$29:$D$128-'Data-Input'!$E$29:$E$128))+SUMPRODUCT(('Data-Input'!$A$29:$A$128=A134)*('Data-Input'!$B$29:$B$128="DamageType")*('Data-Input'!$C$29:$C$128=$E$1)*('Data-Input'!$D$29:$D$128-'Data-Input'!$E$29:$E$128))+SUMPRODUCT(('Data-Input'!$A$29:$A$128=A134)*('Data-Input'!$B$29:$B$128="Resource")*('Data-Input'!$C$29:$C$128=$AB$1)*('Data-Input'!$D$29:$D$128-'Data-Input'!$E$29:$E$128)))</f>
        <v/>
      </c>
      <c r="AE134">
        <f>Heroes!$R134</f>
        <v/>
      </c>
      <c r="AF134">
        <f>IF($A$1="",0,IF(AND(OR(W134="Dash/Blink",W134="High Mobility",W134="Global Dive",W134="Mobility",X134="Dash/Blink",X134="High Mobility",X134="Global Dive",X134="Mobility"),$AA$1="Ranged"),$AC$1,0))</f>
        <v/>
      </c>
      <c r="AG134">
        <f>IF($A$1="",0,IF(AND(AE134="Yes",OR($K$1="Sustain",$K$1="Healing",$L$1="Sustain",$L$1="Healing")),$AD$1,0))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2026-07-19T13:03:38Z</dcterms:created>
  <dcterms:modified xmlns:dcterms="http://purl.org/dc/terms/" xmlns:xsi="http://www.w3.org/2001/XMLSchema-instance" xsi:type="dcterms:W3CDTF">2026-07-24T15:16:29Z</dcterms:modified>
  <cp:lastModifiedBy>Fredrick Mahinay</cp:lastModifiedBy>
  <cp:revision>0</cp:revision>
</cp:coreProperties>
</file>