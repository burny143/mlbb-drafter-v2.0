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oes" sheetId="1" state="visible" r:id="rId3"/>
    <sheet name="RoleMatrix" sheetId="2" state="visible" r:id="rId4"/>
    <sheet name="Weights" sheetId="3" state="visible" r:id="rId5"/>
    <sheet name="ManualOverrides" sheetId="4" state="visible" r:id="rId6"/>
    <sheet name="Lookup" sheetId="5" state="visible" r:id="rId7"/>
    <sheet name="TagsReference" sheetId="6" state="visible" r:id="rId8"/>
    <sheet name="StyleMatrix" sheetId="7" state="visible" r:id="rId9"/>
    <sheet name="CounterCalculator" sheetId="8" state="visible" r:id="rId10"/>
    <sheet name="LookupCalc" sheetId="9" state="hidden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<sst xmlns="http://schemas.openxmlformats.org/spreadsheetml/2006/main" count="1670" uniqueCount="443">
  <si>
    <t xml:space="preserve">id</t>
  </si>
  <si>
    <t xml:space="preserve">name</t>
  </si>
  <si>
    <t xml:space="preserve">role</t>
  </si>
  <si>
    <t xml:space="preserve">role2</t>
  </si>
  <si>
    <t xml:space="preserve">offense</t>
  </si>
  <si>
    <t xml:space="preserve">ability_effects</t>
  </si>
  <si>
    <t xml:space="preserve">durability</t>
  </si>
  <si>
    <t xml:space="preserve">difficulty</t>
  </si>
  <si>
    <t xml:space="preserve">style1</t>
  </si>
  <si>
    <t xml:space="preserve">style2</t>
  </si>
  <si>
    <t xml:space="preserve">damage_type</t>
  </si>
  <si>
    <t xml:space="preserve">range_type</t>
  </si>
  <si>
    <t xml:space="preserve">lane1</t>
  </si>
  <si>
    <t xml:space="preserve">lane2</t>
  </si>
  <si>
    <t xml:space="preserve">power_spike</t>
  </si>
  <si>
    <t xml:space="preserve">resource</t>
  </si>
  <si>
    <t xml:space="preserve">spike_order</t>
  </si>
  <si>
    <t xml:space="preserve">1</t>
  </si>
  <si>
    <t xml:space="preserve">Miya</t>
  </si>
  <si>
    <t xml:space="preserve">Marksman</t>
  </si>
  <si>
    <t xml:space="preserve">DPS</t>
  </si>
  <si>
    <t xml:space="preserve">AoE Damage</t>
  </si>
  <si>
    <t xml:space="preserve">Physical</t>
  </si>
  <si>
    <t xml:space="preserve">Ranged</t>
  </si>
  <si>
    <t xml:space="preserve">Gold Lane</t>
  </si>
  <si>
    <t xml:space="preserve">Late</t>
  </si>
  <si>
    <t xml:space="preserve">Mana</t>
  </si>
  <si>
    <t xml:space="preserve">2</t>
  </si>
  <si>
    <t xml:space="preserve">Balmond</t>
  </si>
  <si>
    <t xml:space="preserve">Fighter</t>
  </si>
  <si>
    <t xml:space="preserve">Sustain</t>
  </si>
  <si>
    <t xml:space="preserve">Execute</t>
  </si>
  <si>
    <t xml:space="preserve">Melee</t>
  </si>
  <si>
    <t xml:space="preserve">Jungle</t>
  </si>
  <si>
    <t xml:space="preserve">EXP Lane</t>
  </si>
  <si>
    <t xml:space="preserve">Mid</t>
  </si>
  <si>
    <t xml:space="preserve">None</t>
  </si>
  <si>
    <t xml:space="preserve">3</t>
  </si>
  <si>
    <t xml:space="preserve">Saber</t>
  </si>
  <si>
    <t xml:space="preserve">Assassin</t>
  </si>
  <si>
    <t xml:space="preserve">Burst</t>
  </si>
  <si>
    <t xml:space="preserve">Targeted CC</t>
  </si>
  <si>
    <t xml:space="preserve">Roaming</t>
  </si>
  <si>
    <t xml:space="preserve">Early-Mid</t>
  </si>
  <si>
    <t xml:space="preserve">4</t>
  </si>
  <si>
    <t xml:space="preserve">Alice</t>
  </si>
  <si>
    <t xml:space="preserve">Mage</t>
  </si>
  <si>
    <t xml:space="preserve">Magic</t>
  </si>
  <si>
    <t xml:space="preserve">5</t>
  </si>
  <si>
    <t xml:space="preserve">Nana</t>
  </si>
  <si>
    <t xml:space="preserve">Poke</t>
  </si>
  <si>
    <t xml:space="preserve">Soft CC</t>
  </si>
  <si>
    <t xml:space="preserve">Mid Lane</t>
  </si>
  <si>
    <t xml:space="preserve">6</t>
  </si>
  <si>
    <t xml:space="preserve">Tigreal</t>
  </si>
  <si>
    <t xml:space="preserve">Tank</t>
  </si>
  <si>
    <t xml:space="preserve">AoE CC</t>
  </si>
  <si>
    <t xml:space="preserve">Hard CC</t>
  </si>
  <si>
    <t xml:space="preserve">7</t>
  </si>
  <si>
    <t xml:space="preserve">Alucard</t>
  </si>
  <si>
    <t xml:space="preserve">8</t>
  </si>
  <si>
    <t xml:space="preserve">Karina</t>
  </si>
  <si>
    <t xml:space="preserve">9</t>
  </si>
  <si>
    <t xml:space="preserve">Akai</t>
  </si>
  <si>
    <t xml:space="preserve">Shield</t>
  </si>
  <si>
    <t xml:space="preserve">10</t>
  </si>
  <si>
    <t xml:space="preserve">Franco</t>
  </si>
  <si>
    <t xml:space="preserve">11</t>
  </si>
  <si>
    <t xml:space="preserve">Bane</t>
  </si>
  <si>
    <t xml:space="preserve">Mixed</t>
  </si>
  <si>
    <t xml:space="preserve">12</t>
  </si>
  <si>
    <t xml:space="preserve">Bruno</t>
  </si>
  <si>
    <t xml:space="preserve">13</t>
  </si>
  <si>
    <t xml:space="preserve">Clint</t>
  </si>
  <si>
    <t xml:space="preserve">Mid-Late</t>
  </si>
  <si>
    <t xml:space="preserve">14</t>
  </si>
  <si>
    <t xml:space="preserve">Rafaela</t>
  </si>
  <si>
    <t xml:space="preserve">Support</t>
  </si>
  <si>
    <t xml:space="preserve">Healing</t>
  </si>
  <si>
    <t xml:space="preserve">15</t>
  </si>
  <si>
    <t xml:space="preserve">Eudora</t>
  </si>
  <si>
    <t xml:space="preserve">16</t>
  </si>
  <si>
    <t xml:space="preserve">Zilong</t>
  </si>
  <si>
    <t xml:space="preserve">Mobility</t>
  </si>
  <si>
    <t xml:space="preserve">17</t>
  </si>
  <si>
    <t xml:space="preserve">Fanny</t>
  </si>
  <si>
    <t xml:space="preserve">High Mobility</t>
  </si>
  <si>
    <t xml:space="preserve">Early</t>
  </si>
  <si>
    <t xml:space="preserve">Energy</t>
  </si>
  <si>
    <t xml:space="preserve">18</t>
  </si>
  <si>
    <t xml:space="preserve">Layla</t>
  </si>
  <si>
    <t xml:space="preserve">19</t>
  </si>
  <si>
    <t xml:space="preserve">Minotaur</t>
  </si>
  <si>
    <t xml:space="preserve">20</t>
  </si>
  <si>
    <t xml:space="preserve">Lolita</t>
  </si>
  <si>
    <t xml:space="preserve">21</t>
  </si>
  <si>
    <t xml:space="preserve">Hayabusa</t>
  </si>
  <si>
    <t xml:space="preserve">I-Frame</t>
  </si>
  <si>
    <t xml:space="preserve">22</t>
  </si>
  <si>
    <t xml:space="preserve">Freya</t>
  </si>
  <si>
    <t xml:space="preserve">23</t>
  </si>
  <si>
    <t xml:space="preserve">Gord</t>
  </si>
  <si>
    <t xml:space="preserve">24</t>
  </si>
  <si>
    <t xml:space="preserve">Natalia</t>
  </si>
  <si>
    <t xml:space="preserve">Vision</t>
  </si>
  <si>
    <t xml:space="preserve">25</t>
  </si>
  <si>
    <t xml:space="preserve">Kagura</t>
  </si>
  <si>
    <t xml:space="preserve">26</t>
  </si>
  <si>
    <t xml:space="preserve">Chou</t>
  </si>
  <si>
    <t xml:space="preserve">Dash/Blink</t>
  </si>
  <si>
    <t xml:space="preserve">27</t>
  </si>
  <si>
    <t xml:space="preserve">Sun</t>
  </si>
  <si>
    <t xml:space="preserve">Summoner</t>
  </si>
  <si>
    <t xml:space="preserve">28</t>
  </si>
  <si>
    <t xml:space="preserve">Alpha</t>
  </si>
  <si>
    <t xml:space="preserve">True Damage</t>
  </si>
  <si>
    <t xml:space="preserve">29</t>
  </si>
  <si>
    <t xml:space="preserve">Ruby</t>
  </si>
  <si>
    <t xml:space="preserve">30</t>
  </si>
  <si>
    <t xml:space="preserve">Yi Sun-shin</t>
  </si>
  <si>
    <t xml:space="preserve">Hybrid</t>
  </si>
  <si>
    <t xml:space="preserve">31</t>
  </si>
  <si>
    <t xml:space="preserve">Moskov</t>
  </si>
  <si>
    <t xml:space="preserve">32</t>
  </si>
  <si>
    <t xml:space="preserve">Johnson</t>
  </si>
  <si>
    <t xml:space="preserve">Global Dive</t>
  </si>
  <si>
    <t xml:space="preserve">33</t>
  </si>
  <si>
    <t xml:space="preserve">Cyclops</t>
  </si>
  <si>
    <t xml:space="preserve">34</t>
  </si>
  <si>
    <t xml:space="preserve">Estes</t>
  </si>
  <si>
    <t xml:space="preserve">35</t>
  </si>
  <si>
    <t xml:space="preserve">Hilda</t>
  </si>
  <si>
    <t xml:space="preserve">36</t>
  </si>
  <si>
    <t xml:space="preserve">Aurora</t>
  </si>
  <si>
    <t xml:space="preserve">37</t>
  </si>
  <si>
    <t xml:space="preserve">Lapu-Lapu</t>
  </si>
  <si>
    <t xml:space="preserve">38</t>
  </si>
  <si>
    <t xml:space="preserve">Vexana</t>
  </si>
  <si>
    <t xml:space="preserve">39</t>
  </si>
  <si>
    <t xml:space="preserve">Roger</t>
  </si>
  <si>
    <t xml:space="preserve">40</t>
  </si>
  <si>
    <t xml:space="preserve">Karrie</t>
  </si>
  <si>
    <t xml:space="preserve">41</t>
  </si>
  <si>
    <t xml:space="preserve">Gatotkaca</t>
  </si>
  <si>
    <t xml:space="preserve">Damage Reduction</t>
  </si>
  <si>
    <t xml:space="preserve">42</t>
  </si>
  <si>
    <t xml:space="preserve">Harley</t>
  </si>
  <si>
    <t xml:space="preserve">43</t>
  </si>
  <si>
    <t xml:space="preserve">Irithel</t>
  </si>
  <si>
    <t xml:space="preserve">44</t>
  </si>
  <si>
    <t xml:space="preserve">Grock</t>
  </si>
  <si>
    <t xml:space="preserve">45</t>
  </si>
  <si>
    <t xml:space="preserve">Argus</t>
  </si>
  <si>
    <t xml:space="preserve">46</t>
  </si>
  <si>
    <t xml:space="preserve">Odette</t>
  </si>
  <si>
    <t xml:space="preserve">47</t>
  </si>
  <si>
    <t xml:space="preserve">Lancelot</t>
  </si>
  <si>
    <t xml:space="preserve">48</t>
  </si>
  <si>
    <t xml:space="preserve">Diggie</t>
  </si>
  <si>
    <t xml:space="preserve">49</t>
  </si>
  <si>
    <t xml:space="preserve">Hylos</t>
  </si>
  <si>
    <t xml:space="preserve">50</t>
  </si>
  <si>
    <t xml:space="preserve">Zhask</t>
  </si>
  <si>
    <t xml:space="preserve">51</t>
  </si>
  <si>
    <t xml:space="preserve">Helcurt</t>
  </si>
  <si>
    <t xml:space="preserve">52</t>
  </si>
  <si>
    <t xml:space="preserve">Pharsa</t>
  </si>
  <si>
    <t xml:space="preserve">53</t>
  </si>
  <si>
    <t xml:space="preserve">Lesley</t>
  </si>
  <si>
    <t xml:space="preserve">54</t>
  </si>
  <si>
    <t xml:space="preserve">Jawhead</t>
  </si>
  <si>
    <t xml:space="preserve">55</t>
  </si>
  <si>
    <t xml:space="preserve">Angela</t>
  </si>
  <si>
    <t xml:space="preserve">56</t>
  </si>
  <si>
    <t xml:space="preserve">Gusion</t>
  </si>
  <si>
    <t xml:space="preserve">57</t>
  </si>
  <si>
    <t xml:space="preserve">Valir</t>
  </si>
  <si>
    <t xml:space="preserve">58</t>
  </si>
  <si>
    <t xml:space="preserve">Martis</t>
  </si>
  <si>
    <t xml:space="preserve">59</t>
  </si>
  <si>
    <t xml:space="preserve">Uranus</t>
  </si>
  <si>
    <t xml:space="preserve">60</t>
  </si>
  <si>
    <t xml:space="preserve">Hanabi</t>
  </si>
  <si>
    <t xml:space="preserve">61</t>
  </si>
  <si>
    <t xml:space="preserve">Chang'e</t>
  </si>
  <si>
    <t xml:space="preserve">62</t>
  </si>
  <si>
    <t xml:space="preserve">Kaja</t>
  </si>
  <si>
    <t xml:space="preserve">63</t>
  </si>
  <si>
    <t xml:space="preserve">Selena</t>
  </si>
  <si>
    <t xml:space="preserve">64</t>
  </si>
  <si>
    <t xml:space="preserve">Aldous</t>
  </si>
  <si>
    <t xml:space="preserve">65</t>
  </si>
  <si>
    <t xml:space="preserve">Claude</t>
  </si>
  <si>
    <t xml:space="preserve">66</t>
  </si>
  <si>
    <t xml:space="preserve">Vale</t>
  </si>
  <si>
    <t xml:space="preserve">67</t>
  </si>
  <si>
    <t xml:space="preserve">Leomord</t>
  </si>
  <si>
    <t xml:space="preserve">68</t>
  </si>
  <si>
    <t xml:space="preserve">Lunox</t>
  </si>
  <si>
    <t xml:space="preserve">69</t>
  </si>
  <si>
    <t xml:space="preserve">Hanzo</t>
  </si>
  <si>
    <t xml:space="preserve">70</t>
  </si>
  <si>
    <t xml:space="preserve">Belerick</t>
  </si>
  <si>
    <t xml:space="preserve">71</t>
  </si>
  <si>
    <t xml:space="preserve">Kimmy</t>
  </si>
  <si>
    <t xml:space="preserve">72</t>
  </si>
  <si>
    <t xml:space="preserve">Thamuz</t>
  </si>
  <si>
    <t xml:space="preserve">73</t>
  </si>
  <si>
    <t xml:space="preserve">Harith</t>
  </si>
  <si>
    <t xml:space="preserve">74</t>
  </si>
  <si>
    <t xml:space="preserve">Minsitthar</t>
  </si>
  <si>
    <t xml:space="preserve">75</t>
  </si>
  <si>
    <t xml:space="preserve">Kadita</t>
  </si>
  <si>
    <t xml:space="preserve">76</t>
  </si>
  <si>
    <t xml:space="preserve">Faramis</t>
  </si>
  <si>
    <t xml:space="preserve">77</t>
  </si>
  <si>
    <t xml:space="preserve">Badang</t>
  </si>
  <si>
    <t xml:space="preserve">78</t>
  </si>
  <si>
    <t xml:space="preserve">Khufra</t>
  </si>
  <si>
    <t xml:space="preserve">79</t>
  </si>
  <si>
    <t xml:space="preserve">Granger</t>
  </si>
  <si>
    <t xml:space="preserve">80</t>
  </si>
  <si>
    <t xml:space="preserve">Guinevere</t>
  </si>
  <si>
    <t xml:space="preserve">81</t>
  </si>
  <si>
    <t xml:space="preserve">Esmeralda</t>
  </si>
  <si>
    <t xml:space="preserve">82</t>
  </si>
  <si>
    <t xml:space="preserve">Terizla</t>
  </si>
  <si>
    <t xml:space="preserve">83</t>
  </si>
  <si>
    <t xml:space="preserve">X.Borg</t>
  </si>
  <si>
    <t xml:space="preserve">84</t>
  </si>
  <si>
    <t xml:space="preserve">Ling</t>
  </si>
  <si>
    <t xml:space="preserve">85</t>
  </si>
  <si>
    <t xml:space="preserve">Dyrroth</t>
  </si>
  <si>
    <t xml:space="preserve">86</t>
  </si>
  <si>
    <t xml:space="preserve">Lylia</t>
  </si>
  <si>
    <t xml:space="preserve">87</t>
  </si>
  <si>
    <t xml:space="preserve">Baxia</t>
  </si>
  <si>
    <t xml:space="preserve">Anti-Heal</t>
  </si>
  <si>
    <t xml:space="preserve">88</t>
  </si>
  <si>
    <t xml:space="preserve">Masha</t>
  </si>
  <si>
    <t xml:space="preserve">89</t>
  </si>
  <si>
    <t xml:space="preserve">Wanwan</t>
  </si>
  <si>
    <t xml:space="preserve">90</t>
  </si>
  <si>
    <t xml:space="preserve">Silvanna</t>
  </si>
  <si>
    <t xml:space="preserve">91</t>
  </si>
  <si>
    <t xml:space="preserve">Cecilion</t>
  </si>
  <si>
    <t xml:space="preserve">92</t>
  </si>
  <si>
    <t xml:space="preserve">Carmilla</t>
  </si>
  <si>
    <t xml:space="preserve">93</t>
  </si>
  <si>
    <t xml:space="preserve">Atlas</t>
  </si>
  <si>
    <t xml:space="preserve">94</t>
  </si>
  <si>
    <t xml:space="preserve">Popol and Kupa</t>
  </si>
  <si>
    <t xml:space="preserve">95</t>
  </si>
  <si>
    <t xml:space="preserve">Yu Zhong</t>
  </si>
  <si>
    <t xml:space="preserve">96</t>
  </si>
  <si>
    <t xml:space="preserve">Luo Yi</t>
  </si>
  <si>
    <t xml:space="preserve">97</t>
  </si>
  <si>
    <t xml:space="preserve">Benedetta</t>
  </si>
  <si>
    <t xml:space="preserve">98</t>
  </si>
  <si>
    <t xml:space="preserve">Khaleed</t>
  </si>
  <si>
    <t xml:space="preserve">99</t>
  </si>
  <si>
    <t xml:space="preserve">Barats</t>
  </si>
  <si>
    <t xml:space="preserve">100</t>
  </si>
  <si>
    <t xml:space="preserve">Brody</t>
  </si>
  <si>
    <t xml:space="preserve">101</t>
  </si>
  <si>
    <t xml:space="preserve">Yve</t>
  </si>
  <si>
    <t xml:space="preserve">102</t>
  </si>
  <si>
    <t xml:space="preserve">Mathilda</t>
  </si>
  <si>
    <t xml:space="preserve">103</t>
  </si>
  <si>
    <t xml:space="preserve">Paquito</t>
  </si>
  <si>
    <t xml:space="preserve">104</t>
  </si>
  <si>
    <t xml:space="preserve">Gloo</t>
  </si>
  <si>
    <t xml:space="preserve">105</t>
  </si>
  <si>
    <t xml:space="preserve">Beatrix</t>
  </si>
  <si>
    <t xml:space="preserve">106</t>
  </si>
  <si>
    <t xml:space="preserve">Phoveus</t>
  </si>
  <si>
    <t xml:space="preserve">107</t>
  </si>
  <si>
    <t xml:space="preserve">Natan</t>
  </si>
  <si>
    <t xml:space="preserve">108</t>
  </si>
  <si>
    <t xml:space="preserve">Aulus</t>
  </si>
  <si>
    <t xml:space="preserve">109</t>
  </si>
  <si>
    <t xml:space="preserve">Aamon</t>
  </si>
  <si>
    <t xml:space="preserve">110</t>
  </si>
  <si>
    <t xml:space="preserve">Valentina</t>
  </si>
  <si>
    <t xml:space="preserve">111</t>
  </si>
  <si>
    <t xml:space="preserve">Edith</t>
  </si>
  <si>
    <t xml:space="preserve">112</t>
  </si>
  <si>
    <t xml:space="preserve">Floryn</t>
  </si>
  <si>
    <t xml:space="preserve">113</t>
  </si>
  <si>
    <t xml:space="preserve">Yin</t>
  </si>
  <si>
    <t xml:space="preserve">114</t>
  </si>
  <si>
    <t xml:space="preserve">Melissa</t>
  </si>
  <si>
    <t xml:space="preserve">115</t>
  </si>
  <si>
    <t xml:space="preserve">Xavier</t>
  </si>
  <si>
    <t xml:space="preserve">116</t>
  </si>
  <si>
    <t xml:space="preserve">Julian</t>
  </si>
  <si>
    <t xml:space="preserve">117</t>
  </si>
  <si>
    <t xml:space="preserve">Fredrinn</t>
  </si>
  <si>
    <t xml:space="preserve">118</t>
  </si>
  <si>
    <t xml:space="preserve">Joy</t>
  </si>
  <si>
    <t xml:space="preserve">119</t>
  </si>
  <si>
    <t xml:space="preserve">Novaria</t>
  </si>
  <si>
    <t xml:space="preserve">120</t>
  </si>
  <si>
    <t xml:space="preserve">Arlott</t>
  </si>
  <si>
    <t xml:space="preserve">121</t>
  </si>
  <si>
    <t xml:space="preserve">Ixia</t>
  </si>
  <si>
    <t xml:space="preserve">122</t>
  </si>
  <si>
    <t xml:space="preserve">Nolan</t>
  </si>
  <si>
    <t xml:space="preserve">123</t>
  </si>
  <si>
    <t xml:space="preserve">Cici</t>
  </si>
  <si>
    <t xml:space="preserve">124</t>
  </si>
  <si>
    <t xml:space="preserve">Chip</t>
  </si>
  <si>
    <t xml:space="preserve">125</t>
  </si>
  <si>
    <t xml:space="preserve">Zhuxin</t>
  </si>
  <si>
    <t xml:space="preserve">126</t>
  </si>
  <si>
    <t xml:space="preserve">Suyou</t>
  </si>
  <si>
    <t xml:space="preserve">127</t>
  </si>
  <si>
    <t xml:space="preserve">Lukas</t>
  </si>
  <si>
    <t xml:space="preserve">128</t>
  </si>
  <si>
    <t xml:space="preserve">Kalea</t>
  </si>
  <si>
    <t xml:space="preserve">129</t>
  </si>
  <si>
    <t xml:space="preserve">Zetian</t>
  </si>
  <si>
    <t xml:space="preserve">130</t>
  </si>
  <si>
    <t xml:space="preserve">Obsidia</t>
  </si>
  <si>
    <t xml:space="preserve">131</t>
  </si>
  <si>
    <t xml:space="preserve">Sora</t>
  </si>
  <si>
    <t xml:space="preserve">132</t>
  </si>
  <si>
    <t xml:space="preserve">Marcel</t>
  </si>
  <si>
    <t xml:space="preserve">133</t>
  </si>
  <si>
    <t xml:space="preserve">Hirara</t>
  </si>
  <si>
    <t xml:space="preserve">Attacker\Defender</t>
  </si>
  <si>
    <t xml:space="preserve">Coefficient</t>
  </si>
  <si>
    <t xml:space="preserve">Value</t>
  </si>
  <si>
    <t xml:space="preserve">Description</t>
  </si>
  <si>
    <t xml:space="preserve">role_mult</t>
  </si>
  <si>
    <t xml:space="preserve">Multiplier for role advantage</t>
  </si>
  <si>
    <t xml:space="preserve">burst_mult</t>
  </si>
  <si>
    <t xml:space="preserve">Multiplier for (offense+ability_effects)/2 vs durability</t>
  </si>
  <si>
    <t xml:space="preserve">diff_mult</t>
  </si>
  <si>
    <t xml:space="preserve">Multiplier for difficulty gap advantage (if &gt;20)</t>
  </si>
  <si>
    <t xml:space="preserve">Attacker</t>
  </si>
  <si>
    <t xml:space="preserve">Defender</t>
  </si>
  <si>
    <t xml:space="preserve">Score</t>
  </si>
  <si>
    <t xml:space="preserve">Note</t>
  </si>
  <si>
    <t xml:space="preserve">Key (auto - do not edit)</t>
  </si>
  <si>
    <t xml:space="preserve">Top 5 — Overall Counters</t>
  </si>
  <si>
    <t xml:space="preserve">Counter Name</t>
  </si>
  <si>
    <t xml:space="preserve">Category</t>
  </si>
  <si>
    <t xml:space="preserve">Tag</t>
  </si>
  <si>
    <t xml:space="preserve">Example Heroes</t>
  </si>
  <si>
    <t xml:space="preserve">Status</t>
  </si>
  <si>
    <t xml:space="preserve">Damage Profile</t>
  </si>
  <si>
    <t xml:space="preserve">High, immediate damage designed to delete squishy targets.</t>
  </si>
  <si>
    <t xml:space="preserve">Saber, Eudora, Kadita</t>
  </si>
  <si>
    <t xml:space="preserve">In-use</t>
  </si>
  <si>
    <t xml:space="preserve">Sustained, continuous damage over time, usually from basic attacks.</t>
  </si>
  <si>
    <t xml:space="preserve">Miya, Claude, Moskov</t>
  </si>
  <si>
    <t xml:space="preserve">Long-range, safe chip damage to weaken enemies before a fight.</t>
  </si>
  <si>
    <t xml:space="preserve">Nana, Pharsa, Xavier</t>
  </si>
  <si>
    <t xml:space="preserve">Area of Effect damage that hits multiple targets.</t>
  </si>
  <si>
    <t xml:space="preserve">Alice, Odette, Vale</t>
  </si>
  <si>
    <t xml:space="preserve">Damage that ignores physical armor and magic resistance.</t>
  </si>
  <si>
    <t xml:space="preserve">Karrie, Lesley, X.Borg</t>
  </si>
  <si>
    <t xml:space="preserve">Damage that scales based on the target's missing HP.</t>
  </si>
  <si>
    <t xml:space="preserve">Balmond, Karina, Martis</t>
  </si>
  <si>
    <t xml:space="preserve">Crowd Control</t>
  </si>
  <si>
    <t xml:space="preserve">Completely stops enemy actions (Stun, Knock-up, Suppress, Freeze).</t>
  </si>
  <si>
    <t xml:space="preserve">Franco, Chou, Aurora</t>
  </si>
  <si>
    <t xml:space="preserve">Impairs movement or specific actions but allows retaliation (Slow, Root).</t>
  </si>
  <si>
    <t xml:space="preserve">Yve, Helcurt, Belerick</t>
  </si>
  <si>
    <t xml:space="preserve">Controls multiple enemies in an area.</t>
  </si>
  <si>
    <t xml:space="preserve">Tigreal, Atlas, Minotaur</t>
  </si>
  <si>
    <t xml:space="preserve">Point-and-click control that cannot be dodged by moving.</t>
  </si>
  <si>
    <t xml:space="preserve">Saber, Kaja, Eudora</t>
  </si>
  <si>
    <t xml:space="preserve">Instant or quick repositioning to engage or escape.</t>
  </si>
  <si>
    <t xml:space="preserve">Lancelot, Chou, Harith</t>
  </si>
  <si>
    <t xml:space="preserve">Continuous movement abilities or wall-scaling.</t>
  </si>
  <si>
    <t xml:space="preserve">Ling, Fanny, Joy</t>
  </si>
  <si>
    <t xml:space="preserve">Abilities that allow traversal across the entire map quickly.</t>
  </si>
  <si>
    <t xml:space="preserve">Aldous, Yu Zhong, Johnson</t>
  </si>
  <si>
    <t xml:space="preserve">General movement-enhancing abilities without extreme range.</t>
  </si>
  <si>
    <t xml:space="preserve">Correction</t>
  </si>
  <si>
    <t xml:space="preserve">Survivability</t>
  </si>
  <si>
    <t xml:space="preserve">High innate HP regeneration, Lifesteal, or Spell Vamp.</t>
  </si>
  <si>
    <t xml:space="preserve">Uranus, Alice, Ruby</t>
  </si>
  <si>
    <t xml:space="preserve">Generation of temporary hit points to absorb burst damage.</t>
  </si>
  <si>
    <t xml:space="preserve">Esmeralda, Mathilda, Lolita</t>
  </si>
  <si>
    <t xml:space="preserve">Invulnerability or untargetability frames to dodge skills.</t>
  </si>
  <si>
    <t xml:space="preserve">Lancelot, Benedetta, Wanwan</t>
  </si>
  <si>
    <t xml:space="preserve">Innate percentage-based damage mitigation.</t>
  </si>
  <si>
    <t xml:space="preserve">Terizla, Baxia, Khufra</t>
  </si>
  <si>
    <t xml:space="preserve">Utility</t>
  </si>
  <si>
    <t xml:space="preserve">Restoring HP to allies.</t>
  </si>
  <si>
    <t xml:space="preserve">Estes, Rafaela, Floryn</t>
  </si>
  <si>
    <t xml:space="preserve">Innate reduction of enemy lifesteal/regen without needing items.</t>
  </si>
  <si>
    <t xml:space="preserve">Abilities that reveal hidden enemies or map areas.</t>
  </si>
  <si>
    <t xml:space="preserve">Yi Sun-shin, Aldous, Selena</t>
  </si>
  <si>
    <t xml:space="preserve">Spawns units to fight, tank, or push.</t>
  </si>
  <si>
    <t xml:space="preserve">Zhask, Popol and Kupa, Sun</t>
  </si>
  <si>
    <t xml:space="preserve">Buff</t>
  </si>
  <si>
    <t xml:space="preserve">Grants bonus damage, CC immunity, or speed boost to self or allies.</t>
  </si>
  <si>
    <t xml:space="preserve">Mathilda, Rafaela, Angela</t>
  </si>
  <si>
    <t xml:space="preserve">Fandom wiki</t>
  </si>
  <si>
    <t xml:space="preserve">Morph</t>
  </si>
  <si>
    <t xml:space="preserve">The caster transforms with a unique set of abilities.</t>
  </si>
  <si>
    <t xml:space="preserve">Roger, X.Borg, Silvanna</t>
  </si>
  <si>
    <t xml:space="preserve">Stealth</t>
  </si>
  <si>
    <t xml:space="preserve">Camouflage or invisibility that hides the hero from enemies.</t>
  </si>
  <si>
    <t xml:space="preserve">Natalia, Aamon, Lesley</t>
  </si>
  <si>
    <t xml:space="preserve">Remove CC</t>
  </si>
  <si>
    <t xml:space="preserve">Removes debuffs or crowd control from self or allies.</t>
  </si>
  <si>
    <t xml:space="preserve">Death Immunity</t>
  </si>
  <si>
    <t xml:space="preserve">The caster cannot die from damage for the duration.</t>
  </si>
  <si>
    <t xml:space="preserve">MLBB Counter Calculator</t>
  </si>
  <si>
    <t xml:space="preserve">ATTACKER (auto)</t>
  </si>
  <si>
    <t xml:space="preserve">DEFENDER (auto)</t>
  </si>
  <si>
    <t xml:space="preserve">WEIGHTS (auto)</t>
  </si>
  <si>
    <t xml:space="preserve">Attacker:</t>
  </si>
  <si>
    <t xml:space="preserve">Defender:</t>
  </si>
  <si>
    <t xml:space="preserve">Role</t>
  </si>
  <si>
    <t xml:space="preserve">Role2</t>
  </si>
  <si>
    <t xml:space="preserve">Score Breakdown</t>
  </si>
  <si>
    <t xml:space="preserve">Offense</t>
  </si>
  <si>
    <t xml:space="preserve">Durability</t>
  </si>
  <si>
    <t xml:space="preserve">Component</t>
  </si>
  <si>
    <t xml:space="preserve">Ability Effects</t>
  </si>
  <si>
    <t xml:space="preserve">Difficulty</t>
  </si>
  <si>
    <t xml:space="preserve">Role Advantage</t>
  </si>
  <si>
    <t xml:space="preserve">Style1</t>
  </si>
  <si>
    <t xml:space="preserve">Stat (Burst vs Durability)</t>
  </si>
  <si>
    <t xml:space="preserve">Style2</t>
  </si>
  <si>
    <t xml:space="preserve">Difficulty Gap</t>
  </si>
  <si>
    <t xml:space="preserve">Damage Type</t>
  </si>
  <si>
    <t xml:space="preserve">Damage Type Advantage</t>
  </si>
  <si>
    <t xml:space="preserve">Spike Order</t>
  </si>
  <si>
    <t xml:space="preserve">Power Spike Timing</t>
  </si>
  <si>
    <t xml:space="preserve">Style Matchup</t>
  </si>
  <si>
    <t xml:space="preserve">Base Total (sum of components)</t>
  </si>
  <si>
    <t xml:space="preserve">Manual Override</t>
  </si>
  <si>
    <t xml:space="preserve">TOTAL COUNTER SCORE</t>
  </si>
  <si>
    <t xml:space="preserve">Tip: pick heroes in B3 (Attacker) and D3 (Defender) above. Positive score = Attacker counters Defender.</t>
  </si>
  <si>
    <t xml:space="preserve">Lane1 (helper)</t>
  </si>
  <si>
    <t xml:space="preserve">Lane Sort Key (helper)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</si>
</sst>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9"/>
      <name val="Cambria"/>
      <family val="0"/>
      <charset val="1"/>
    </font>
    <font>
      <b val="true"/>
      <sz val="14"/>
      <name val="Cambria"/>
      <family val="0"/>
      <charset val="1"/>
    </font>
    <font>
      <b val="true"/>
      <i val="true"/>
      <sz val="9"/>
      <color rgb="FF595959"/>
      <name val="Calibri"/>
      <family val="0"/>
      <charset val="1"/>
    </font>
    <font>
      <b val="true"/>
      <sz val="12"/>
      <name val="Cambria"/>
      <family val="0"/>
      <charset val="1"/>
    </font>
    <font>
      <sz val="11"/>
      <name val="Calibri"/>
      <family val="0"/>
      <charset val="1"/>
    </font>
    <font>
      <b val="true"/>
      <sz val="13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9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eroes" displayName="Heroes" ref="A1:Q134" headerRowCount="1" totalsRowCount="0" totalsRowShown="0">
  <autoFilter ref="A1:Q134"/>
  <tableColumns count="17">
    <tableColumn id="1" name="id"/>
    <tableColumn id="2" name="name"/>
    <tableColumn id="3" name="role"/>
    <tableColumn id="4" name="role2"/>
    <tableColumn id="5" name="offense"/>
    <tableColumn id="6" name="ability_effects"/>
    <tableColumn id="7" name="durability"/>
    <tableColumn id="8" name="difficulty"/>
    <tableColumn id="9" name="style1"/>
    <tableColumn id="10" name="style2"/>
    <tableColumn id="11" name="damage_type"/>
    <tableColumn id="12" name="range_type"/>
    <tableColumn id="13" name="lane1"/>
    <tableColumn id="14" name="lane2"/>
    <tableColumn id="15" name="power_spike"/>
    <tableColumn id="16" name="resource"/>
    <tableColumn id="17" name="spike_order"/>
  </tableColumns>
</table>
</file>

<file path=xl/tables/table2.xml><?xml version="1.0" encoding="utf-8"?>
<table xmlns="http://schemas.openxmlformats.org/spreadsheetml/2006/main" id="2" name="ManualOverrides" displayName="ManualOverrides" ref="A1:D2" headerRowCount="1" totalsRowCount="0" totalsRowShown="0">
  <autoFilter ref="A1:D2"/>
  <tableColumns count="4">
    <tableColumn id="1" name="Attacker"/>
    <tableColumn id="2" name="Defender"/>
    <tableColumn id="3" name="Score"/>
    <tableColumn id="4" name="Note"/>
  </tableColumns>
</table>
</file>

<file path=xl/tables/table3.xml><?xml version="1.0" encoding="utf-8"?>
<table xmlns="http://schemas.openxmlformats.org/spreadsheetml/2006/main" id="3" name="RoleMatrix" displayName="RoleMatrix" ref="A1:G7" headerRowCount="1" totalsRowCount="0" totalsRowShown="0">
  <autoFilter ref="A1:G7"/>
  <tableColumns count="7">
    <tableColumn id="1" name="Attacker\Defender"/>
    <tableColumn id="2" name="Tank"/>
    <tableColumn id="3" name="Fighter"/>
    <tableColumn id="4" name="Assassin"/>
    <tableColumn id="5" name="Mage"/>
    <tableColumn id="6" name="Marksman"/>
    <tableColumn id="7" name="Support"/>
  </tableColumns>
</table>
</file>

<file path=xl/tables/table4.xml><?xml version="1.0" encoding="utf-8"?>
<table xmlns="http://schemas.openxmlformats.org/spreadsheetml/2006/main" id="4" name="StyleMatrix" displayName="StyleMatrix" ref="A1:W23" headerRowCount="1" totalsRowCount="0" totalsRowShown="0">
  <autoFilter ref="A1:W23"/>
  <tableColumns count="23">
    <tableColumn id="1" name="Attacker\Defender"/>
    <tableColumn id="2" name="Burst"/>
    <tableColumn id="3" name="DPS"/>
    <tableColumn id="4" name="Poke"/>
    <tableColumn id="5" name="AoE Damage"/>
    <tableColumn id="6" name="True Damage"/>
    <tableColumn id="7" name="Execute"/>
    <tableColumn id="8" name="Hard CC"/>
    <tableColumn id="9" name="Soft CC"/>
    <tableColumn id="10" name="AoE CC"/>
    <tableColumn id="11" name="Targeted CC"/>
    <tableColumn id="12" name="Dash/Blink"/>
    <tableColumn id="13" name="High Mobility"/>
    <tableColumn id="14" name="Global Dive"/>
    <tableColumn id="15" name="Mobility"/>
    <tableColumn id="16" name="Sustain"/>
    <tableColumn id="17" name="Shield"/>
    <tableColumn id="18" name="I-Frame"/>
    <tableColumn id="19" name="Damage Reduction"/>
    <tableColumn id="20" name="Healing"/>
    <tableColumn id="21" name="Anti-Heal"/>
    <tableColumn id="22" name="Vision"/>
    <tableColumn id="23" name="Summoner"/>
  </tableColumns>
</table>
</file>

<file path=xl/tables/table5.xml><?xml version="1.0" encoding="utf-8"?>
<table xmlns="http://schemas.openxmlformats.org/spreadsheetml/2006/main" id="5" name="TagsReference" displayName="TagsReference" ref="A1:E28" headerRowCount="1" totalsRowCount="0" totalsRowShown="0">
  <autoFilter ref="A1:E28"/>
  <tableColumns count="5">
    <tableColumn id="1" name="Category"/>
    <tableColumn id="2" name="Tag"/>
    <tableColumn id="3" name="Description"/>
    <tableColumn id="4" name="Example Heroes"/>
    <tableColumn id="5" name="Status"/>
  </tableColumns>
</table>
</file>

<file path=xl/tables/table6.xml><?xml version="1.0" encoding="utf-8"?>
<table xmlns="http://schemas.openxmlformats.org/spreadsheetml/2006/main" id="6" name="Weights" displayName="Weights" ref="A1:C4" headerRowCount="1" totalsRowCount="0" totalsRowShown="0">
  <autoFilter ref="A1:C4"/>
  <tableColumns count="3">
    <tableColumn id="1" name="Coefficient"/>
    <tableColumn id="2" name="Value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"/>
    <col collapsed="false" customWidth="true" hidden="false" outlineLevel="0" max="6" min="6" style="1" width="18"/>
    <col collapsed="false" customWidth="true" hidden="false" outlineLevel="0" max="17" min="7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1" t="s">
        <v>17</v>
      </c>
      <c r="B2" s="1" t="s">
        <v>18</v>
      </c>
      <c r="C2" s="1" t="s">
        <v>19</v>
      </c>
      <c r="E2" s="1" t="n">
        <v>70</v>
      </c>
      <c r="F2" s="1" t="n">
        <v>40</v>
      </c>
      <c r="G2" s="1" t="n">
        <v>10</v>
      </c>
      <c r="H2" s="1" t="n">
        <v>10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O2" s="1" t="s">
        <v>25</v>
      </c>
      <c r="P2" s="1" t="s">
        <v>26</v>
      </c>
      <c r="Q2" s="1" t="n">
        <v>5</v>
      </c>
    </row>
    <row r="3" customFormat="false" ht="15" hidden="false" customHeight="true" outlineLevel="0" collapsed="false">
      <c r="A3" s="1" t="s">
        <v>27</v>
      </c>
      <c r="B3" s="1" t="s">
        <v>28</v>
      </c>
      <c r="C3" s="1" t="s">
        <v>29</v>
      </c>
      <c r="E3" s="1" t="n">
        <v>30</v>
      </c>
      <c r="F3" s="1" t="n">
        <v>20</v>
      </c>
      <c r="G3" s="1" t="n">
        <v>80</v>
      </c>
      <c r="H3" s="1" t="n">
        <v>10</v>
      </c>
      <c r="I3" s="1" t="s">
        <v>30</v>
      </c>
      <c r="J3" s="1" t="s">
        <v>31</v>
      </c>
      <c r="K3" s="1" t="s">
        <v>22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n">
        <v>3</v>
      </c>
    </row>
    <row r="4" customFormat="false" ht="15" hidden="false" customHeight="true" outlineLevel="0" collapsed="false">
      <c r="A4" s="1" t="s">
        <v>37</v>
      </c>
      <c r="B4" s="1" t="s">
        <v>38</v>
      </c>
      <c r="C4" s="1" t="s">
        <v>39</v>
      </c>
      <c r="E4" s="1" t="n">
        <v>60</v>
      </c>
      <c r="F4" s="1" t="n">
        <v>60</v>
      </c>
      <c r="G4" s="1" t="n">
        <v>20</v>
      </c>
      <c r="H4" s="1" t="n">
        <v>10</v>
      </c>
      <c r="I4" s="1" t="s">
        <v>40</v>
      </c>
      <c r="J4" s="1" t="s">
        <v>41</v>
      </c>
      <c r="K4" s="1" t="s">
        <v>22</v>
      </c>
      <c r="L4" s="1" t="s">
        <v>32</v>
      </c>
      <c r="M4" s="1" t="s">
        <v>33</v>
      </c>
      <c r="N4" s="1" t="s">
        <v>42</v>
      </c>
      <c r="O4" s="1" t="s">
        <v>43</v>
      </c>
      <c r="P4" s="1" t="s">
        <v>26</v>
      </c>
      <c r="Q4" s="1" t="n">
        <v>2</v>
      </c>
    </row>
    <row r="5" customFormat="false" ht="15" hidden="false" customHeight="true" outlineLevel="0" collapsed="false">
      <c r="A5" s="1" t="s">
        <v>44</v>
      </c>
      <c r="B5" s="1" t="s">
        <v>45</v>
      </c>
      <c r="C5" s="1" t="s">
        <v>46</v>
      </c>
      <c r="E5" s="1" t="n">
        <v>50</v>
      </c>
      <c r="F5" s="1" t="n">
        <v>70</v>
      </c>
      <c r="G5" s="1" t="n">
        <v>50</v>
      </c>
      <c r="H5" s="1" t="n">
        <v>70</v>
      </c>
      <c r="I5" s="1" t="s">
        <v>30</v>
      </c>
      <c r="J5" s="1" t="s">
        <v>21</v>
      </c>
      <c r="K5" s="1" t="s">
        <v>47</v>
      </c>
      <c r="L5" s="1" t="s">
        <v>32</v>
      </c>
      <c r="M5" s="1" t="s">
        <v>34</v>
      </c>
      <c r="N5" s="1" t="s">
        <v>33</v>
      </c>
      <c r="O5" s="1" t="s">
        <v>25</v>
      </c>
      <c r="P5" s="1" t="s">
        <v>36</v>
      </c>
      <c r="Q5" s="1" t="n">
        <v>5</v>
      </c>
    </row>
    <row r="6" customFormat="false" ht="15" hidden="false" customHeight="true" outlineLevel="0" collapsed="false">
      <c r="A6" s="1" t="s">
        <v>48</v>
      </c>
      <c r="B6" s="1" t="s">
        <v>49</v>
      </c>
      <c r="C6" s="1" t="s">
        <v>46</v>
      </c>
      <c r="E6" s="1" t="n">
        <v>60</v>
      </c>
      <c r="F6" s="1" t="n">
        <v>100</v>
      </c>
      <c r="G6" s="1" t="n">
        <v>50</v>
      </c>
      <c r="H6" s="1" t="n">
        <v>10</v>
      </c>
      <c r="I6" s="1" t="s">
        <v>50</v>
      </c>
      <c r="J6" s="1" t="s">
        <v>51</v>
      </c>
      <c r="K6" s="1" t="s">
        <v>47</v>
      </c>
      <c r="L6" s="1" t="s">
        <v>23</v>
      </c>
      <c r="M6" s="1" t="s">
        <v>52</v>
      </c>
      <c r="O6" s="1" t="s">
        <v>35</v>
      </c>
      <c r="P6" s="1" t="s">
        <v>26</v>
      </c>
      <c r="Q6" s="1" t="n">
        <v>3</v>
      </c>
    </row>
    <row r="7" customFormat="false" ht="15" hidden="false" customHeight="true" outlineLevel="0" collapsed="false">
      <c r="A7" s="1" t="s">
        <v>53</v>
      </c>
      <c r="B7" s="1" t="s">
        <v>54</v>
      </c>
      <c r="C7" s="1" t="s">
        <v>55</v>
      </c>
      <c r="E7" s="1" t="n">
        <v>10</v>
      </c>
      <c r="F7" s="1" t="n">
        <v>100</v>
      </c>
      <c r="G7" s="1" t="n">
        <v>80</v>
      </c>
      <c r="H7" s="1" t="n">
        <v>10</v>
      </c>
      <c r="I7" s="1" t="s">
        <v>56</v>
      </c>
      <c r="J7" s="1" t="s">
        <v>57</v>
      </c>
      <c r="K7" s="1" t="s">
        <v>22</v>
      </c>
      <c r="L7" s="1" t="s">
        <v>32</v>
      </c>
      <c r="M7" s="1" t="s">
        <v>42</v>
      </c>
      <c r="O7" s="1" t="s">
        <v>43</v>
      </c>
      <c r="P7" s="1" t="s">
        <v>26</v>
      </c>
      <c r="Q7" s="1" t="n">
        <v>2</v>
      </c>
    </row>
    <row r="8" customFormat="false" ht="15" hidden="false" customHeight="true" outlineLevel="0" collapsed="false">
      <c r="A8" s="1" t="s">
        <v>58</v>
      </c>
      <c r="B8" s="1" t="s">
        <v>59</v>
      </c>
      <c r="C8" s="1" t="s">
        <v>29</v>
      </c>
      <c r="D8" s="1" t="s">
        <v>39</v>
      </c>
      <c r="E8" s="1" t="n">
        <v>50</v>
      </c>
      <c r="F8" s="1" t="n">
        <v>10</v>
      </c>
      <c r="G8" s="1" t="n">
        <v>50</v>
      </c>
      <c r="H8" s="1" t="n">
        <v>40</v>
      </c>
      <c r="I8" s="1" t="s">
        <v>30</v>
      </c>
      <c r="J8" s="1" t="s">
        <v>20</v>
      </c>
      <c r="K8" s="1" t="s">
        <v>22</v>
      </c>
      <c r="L8" s="1" t="s">
        <v>32</v>
      </c>
      <c r="M8" s="1" t="s">
        <v>33</v>
      </c>
      <c r="O8" s="1" t="s">
        <v>35</v>
      </c>
      <c r="P8" s="1" t="s">
        <v>36</v>
      </c>
      <c r="Q8" s="1" t="n">
        <v>3</v>
      </c>
    </row>
    <row r="9" customFormat="false" ht="15" hidden="false" customHeight="true" outlineLevel="0" collapsed="false">
      <c r="A9" s="1" t="s">
        <v>60</v>
      </c>
      <c r="B9" s="1" t="s">
        <v>61</v>
      </c>
      <c r="C9" s="1" t="s">
        <v>39</v>
      </c>
      <c r="E9" s="1" t="n">
        <v>70</v>
      </c>
      <c r="F9" s="1" t="n">
        <v>10</v>
      </c>
      <c r="G9" s="1" t="n">
        <v>50</v>
      </c>
      <c r="H9" s="1" t="n">
        <v>40</v>
      </c>
      <c r="I9" s="1" t="s">
        <v>40</v>
      </c>
      <c r="J9" s="1" t="s">
        <v>31</v>
      </c>
      <c r="K9" s="1" t="s">
        <v>47</v>
      </c>
      <c r="L9" s="1" t="s">
        <v>32</v>
      </c>
      <c r="M9" s="1" t="s">
        <v>33</v>
      </c>
      <c r="O9" s="1" t="s">
        <v>43</v>
      </c>
      <c r="P9" s="1" t="s">
        <v>26</v>
      </c>
      <c r="Q9" s="1" t="n">
        <v>2</v>
      </c>
    </row>
    <row r="10" customFormat="false" ht="15" hidden="false" customHeight="true" outlineLevel="0" collapsed="false">
      <c r="A10" s="1" t="s">
        <v>62</v>
      </c>
      <c r="B10" s="1" t="s">
        <v>63</v>
      </c>
      <c r="C10" s="1" t="s">
        <v>55</v>
      </c>
      <c r="E10" s="1" t="n">
        <v>30</v>
      </c>
      <c r="F10" s="1" t="n">
        <v>90</v>
      </c>
      <c r="G10" s="1" t="n">
        <v>90</v>
      </c>
      <c r="H10" s="1" t="n">
        <v>30</v>
      </c>
      <c r="I10" s="1" t="s">
        <v>57</v>
      </c>
      <c r="J10" s="1" t="s">
        <v>64</v>
      </c>
      <c r="K10" s="1" t="s">
        <v>22</v>
      </c>
      <c r="L10" s="1" t="s">
        <v>32</v>
      </c>
      <c r="M10" s="1" t="s">
        <v>42</v>
      </c>
      <c r="O10" s="1" t="s">
        <v>43</v>
      </c>
      <c r="P10" s="1" t="s">
        <v>26</v>
      </c>
      <c r="Q10" s="1" t="n">
        <v>2</v>
      </c>
    </row>
    <row r="11" customFormat="false" ht="15" hidden="false" customHeight="true" outlineLevel="0" collapsed="false">
      <c r="A11" s="1" t="s">
        <v>65</v>
      </c>
      <c r="B11" s="1" t="s">
        <v>66</v>
      </c>
      <c r="C11" s="1" t="s">
        <v>55</v>
      </c>
      <c r="E11" s="1" t="n">
        <v>10</v>
      </c>
      <c r="F11" s="1" t="n">
        <v>100</v>
      </c>
      <c r="G11" s="1" t="n">
        <v>80</v>
      </c>
      <c r="H11" s="1" t="n">
        <v>20</v>
      </c>
      <c r="I11" s="1" t="s">
        <v>41</v>
      </c>
      <c r="J11" s="1" t="s">
        <v>57</v>
      </c>
      <c r="K11" s="1" t="s">
        <v>22</v>
      </c>
      <c r="L11" s="1" t="s">
        <v>32</v>
      </c>
      <c r="M11" s="1" t="s">
        <v>42</v>
      </c>
      <c r="O11" s="1" t="s">
        <v>43</v>
      </c>
      <c r="P11" s="1" t="s">
        <v>26</v>
      </c>
      <c r="Q11" s="1" t="n">
        <v>2</v>
      </c>
    </row>
    <row r="12" customFormat="false" ht="15" hidden="false" customHeight="true" outlineLevel="0" collapsed="false">
      <c r="A12" s="1" t="s">
        <v>67</v>
      </c>
      <c r="B12" s="1" t="s">
        <v>68</v>
      </c>
      <c r="C12" s="1" t="s">
        <v>29</v>
      </c>
      <c r="D12" s="1" t="s">
        <v>46</v>
      </c>
      <c r="E12" s="1" t="n">
        <v>60</v>
      </c>
      <c r="F12" s="1" t="n">
        <v>40</v>
      </c>
      <c r="G12" s="1" t="n">
        <v>50</v>
      </c>
      <c r="H12" s="1" t="n">
        <v>30</v>
      </c>
      <c r="I12" s="1" t="s">
        <v>50</v>
      </c>
      <c r="J12" s="1" t="s">
        <v>21</v>
      </c>
      <c r="K12" s="1" t="s">
        <v>69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26</v>
      </c>
      <c r="Q12" s="1" t="n">
        <v>3</v>
      </c>
    </row>
    <row r="13" customFormat="false" ht="15" hidden="false" customHeight="true" outlineLevel="0" collapsed="false">
      <c r="A13" s="1" t="s">
        <v>70</v>
      </c>
      <c r="B13" s="1" t="s">
        <v>71</v>
      </c>
      <c r="C13" s="1" t="s">
        <v>19</v>
      </c>
      <c r="E13" s="1" t="n">
        <v>60</v>
      </c>
      <c r="F13" s="1" t="n">
        <v>20</v>
      </c>
      <c r="G13" s="1" t="n">
        <v>20</v>
      </c>
      <c r="H13" s="1" t="n">
        <v>50</v>
      </c>
      <c r="I13" s="1" t="s">
        <v>20</v>
      </c>
      <c r="J13" s="1" t="s">
        <v>40</v>
      </c>
      <c r="K13" s="1" t="s">
        <v>22</v>
      </c>
      <c r="L13" s="1" t="s">
        <v>23</v>
      </c>
      <c r="M13" s="1" t="s">
        <v>24</v>
      </c>
      <c r="O13" s="1" t="s">
        <v>25</v>
      </c>
      <c r="P13" s="1" t="s">
        <v>26</v>
      </c>
      <c r="Q13" s="1" t="n">
        <v>5</v>
      </c>
    </row>
    <row r="14" customFormat="false" ht="15" hidden="false" customHeight="true" outlineLevel="0" collapsed="false">
      <c r="A14" s="1" t="s">
        <v>72</v>
      </c>
      <c r="B14" s="1" t="s">
        <v>73</v>
      </c>
      <c r="C14" s="1" t="s">
        <v>19</v>
      </c>
      <c r="E14" s="1" t="n">
        <v>70</v>
      </c>
      <c r="F14" s="1" t="n">
        <v>40</v>
      </c>
      <c r="G14" s="1" t="n">
        <v>30</v>
      </c>
      <c r="H14" s="1" t="n">
        <v>70</v>
      </c>
      <c r="I14" s="1" t="s">
        <v>40</v>
      </c>
      <c r="J14" s="1" t="s">
        <v>50</v>
      </c>
      <c r="K14" s="1" t="s">
        <v>22</v>
      </c>
      <c r="L14" s="1" t="s">
        <v>23</v>
      </c>
      <c r="M14" s="1" t="s">
        <v>24</v>
      </c>
      <c r="O14" s="1" t="s">
        <v>74</v>
      </c>
      <c r="P14" s="1" t="s">
        <v>26</v>
      </c>
      <c r="Q14" s="1" t="n">
        <v>4</v>
      </c>
    </row>
    <row r="15" customFormat="false" ht="15" hidden="false" customHeight="true" outlineLevel="0" collapsed="false">
      <c r="A15" s="1" t="s">
        <v>75</v>
      </c>
      <c r="B15" s="1" t="s">
        <v>76</v>
      </c>
      <c r="C15" s="1" t="s">
        <v>77</v>
      </c>
      <c r="E15" s="1" t="n">
        <v>20</v>
      </c>
      <c r="F15" s="1" t="n">
        <v>70</v>
      </c>
      <c r="G15" s="1" t="n">
        <v>60</v>
      </c>
      <c r="H15" s="1" t="n">
        <v>20</v>
      </c>
      <c r="I15" s="1" t="s">
        <v>78</v>
      </c>
      <c r="J15" s="1" t="s">
        <v>51</v>
      </c>
      <c r="K15" s="1" t="s">
        <v>47</v>
      </c>
      <c r="L15" s="1" t="s">
        <v>23</v>
      </c>
      <c r="M15" s="1" t="s">
        <v>42</v>
      </c>
      <c r="O15" s="1" t="s">
        <v>43</v>
      </c>
      <c r="P15" s="1" t="s">
        <v>26</v>
      </c>
      <c r="Q15" s="1" t="n">
        <v>2</v>
      </c>
    </row>
    <row r="16" customFormat="false" ht="15" hidden="false" customHeight="true" outlineLevel="0" collapsed="false">
      <c r="A16" s="1" t="s">
        <v>79</v>
      </c>
      <c r="B16" s="1" t="s">
        <v>80</v>
      </c>
      <c r="C16" s="1" t="s">
        <v>46</v>
      </c>
      <c r="E16" s="1" t="n">
        <v>80</v>
      </c>
      <c r="F16" s="1" t="n">
        <v>80</v>
      </c>
      <c r="G16" s="1" t="n">
        <v>10</v>
      </c>
      <c r="H16" s="1" t="n">
        <v>10</v>
      </c>
      <c r="I16" s="1" t="s">
        <v>40</v>
      </c>
      <c r="J16" s="1" t="s">
        <v>41</v>
      </c>
      <c r="K16" s="1" t="s">
        <v>47</v>
      </c>
      <c r="L16" s="1" t="s">
        <v>23</v>
      </c>
      <c r="M16" s="1" t="s">
        <v>52</v>
      </c>
      <c r="O16" s="1" t="s">
        <v>35</v>
      </c>
      <c r="P16" s="1" t="s">
        <v>26</v>
      </c>
      <c r="Q16" s="1" t="n">
        <v>3</v>
      </c>
    </row>
    <row r="17" customFormat="false" ht="15" hidden="false" customHeight="true" outlineLevel="0" collapsed="false">
      <c r="A17" s="1" t="s">
        <v>81</v>
      </c>
      <c r="B17" s="1" t="s">
        <v>82</v>
      </c>
      <c r="C17" s="1" t="s">
        <v>29</v>
      </c>
      <c r="D17" s="1" t="s">
        <v>39</v>
      </c>
      <c r="E17" s="1" t="n">
        <v>50</v>
      </c>
      <c r="F17" s="1" t="n">
        <v>60</v>
      </c>
      <c r="G17" s="1" t="n">
        <v>20</v>
      </c>
      <c r="H17" s="1" t="n">
        <v>10</v>
      </c>
      <c r="I17" s="1" t="s">
        <v>40</v>
      </c>
      <c r="J17" s="1" t="s">
        <v>83</v>
      </c>
      <c r="K17" s="1" t="s">
        <v>22</v>
      </c>
      <c r="L17" s="1" t="s">
        <v>32</v>
      </c>
      <c r="M17" s="1" t="s">
        <v>34</v>
      </c>
      <c r="O17" s="1" t="s">
        <v>35</v>
      </c>
      <c r="P17" s="1" t="s">
        <v>26</v>
      </c>
      <c r="Q17" s="1" t="n">
        <v>3</v>
      </c>
    </row>
    <row r="18" customFormat="false" ht="15" hidden="false" customHeight="true" outlineLevel="0" collapsed="false">
      <c r="A18" s="1" t="s">
        <v>84</v>
      </c>
      <c r="B18" s="1" t="s">
        <v>85</v>
      </c>
      <c r="C18" s="1" t="s">
        <v>39</v>
      </c>
      <c r="E18" s="1" t="n">
        <v>70</v>
      </c>
      <c r="F18" s="1" t="n">
        <v>10</v>
      </c>
      <c r="G18" s="1" t="n">
        <v>60</v>
      </c>
      <c r="H18" s="1" t="n">
        <v>100</v>
      </c>
      <c r="I18" s="1" t="s">
        <v>86</v>
      </c>
      <c r="J18" s="1" t="s">
        <v>40</v>
      </c>
      <c r="K18" s="1" t="s">
        <v>22</v>
      </c>
      <c r="L18" s="1" t="s">
        <v>32</v>
      </c>
      <c r="M18" s="1" t="s">
        <v>33</v>
      </c>
      <c r="O18" s="1" t="s">
        <v>87</v>
      </c>
      <c r="P18" s="1" t="s">
        <v>88</v>
      </c>
      <c r="Q18" s="1" t="n">
        <v>1</v>
      </c>
    </row>
    <row r="19" customFormat="false" ht="15" hidden="false" customHeight="true" outlineLevel="0" collapsed="false">
      <c r="A19" s="1" t="s">
        <v>89</v>
      </c>
      <c r="B19" s="1" t="s">
        <v>90</v>
      </c>
      <c r="C19" s="1" t="s">
        <v>19</v>
      </c>
      <c r="E19" s="1" t="n">
        <v>80</v>
      </c>
      <c r="F19" s="1" t="n">
        <v>10</v>
      </c>
      <c r="G19" s="1" t="n">
        <v>10</v>
      </c>
      <c r="H19" s="1" t="n">
        <v>10</v>
      </c>
      <c r="I19" s="1" t="s">
        <v>20</v>
      </c>
      <c r="J19" s="1" t="s">
        <v>50</v>
      </c>
      <c r="K19" s="1" t="s">
        <v>22</v>
      </c>
      <c r="L19" s="1" t="s">
        <v>23</v>
      </c>
      <c r="M19" s="1" t="s">
        <v>24</v>
      </c>
      <c r="O19" s="1" t="s">
        <v>25</v>
      </c>
      <c r="P19" s="1" t="s">
        <v>26</v>
      </c>
      <c r="Q19" s="1" t="n">
        <v>5</v>
      </c>
    </row>
    <row r="20" customFormat="false" ht="15" hidden="false" customHeight="true" outlineLevel="0" collapsed="false">
      <c r="A20" s="1" t="s">
        <v>91</v>
      </c>
      <c r="B20" s="1" t="s">
        <v>92</v>
      </c>
      <c r="C20" s="1" t="s">
        <v>55</v>
      </c>
      <c r="D20" s="1" t="s">
        <v>77</v>
      </c>
      <c r="E20" s="1" t="n">
        <v>10</v>
      </c>
      <c r="F20" s="1" t="n">
        <v>80</v>
      </c>
      <c r="G20" s="1" t="n">
        <v>100</v>
      </c>
      <c r="H20" s="1" t="n">
        <v>40</v>
      </c>
      <c r="I20" s="1" t="s">
        <v>56</v>
      </c>
      <c r="J20" s="1" t="s">
        <v>78</v>
      </c>
      <c r="K20" s="1" t="s">
        <v>22</v>
      </c>
      <c r="L20" s="1" t="s">
        <v>32</v>
      </c>
      <c r="M20" s="1" t="s">
        <v>42</v>
      </c>
      <c r="O20" s="1" t="s">
        <v>35</v>
      </c>
      <c r="P20" s="1" t="s">
        <v>36</v>
      </c>
      <c r="Q20" s="1" t="n">
        <v>3</v>
      </c>
    </row>
    <row r="21" customFormat="false" ht="15" hidden="false" customHeight="true" outlineLevel="0" collapsed="false">
      <c r="A21" s="1" t="s">
        <v>93</v>
      </c>
      <c r="B21" s="1" t="s">
        <v>94</v>
      </c>
      <c r="C21" s="1" t="s">
        <v>77</v>
      </c>
      <c r="D21" s="1" t="s">
        <v>55</v>
      </c>
      <c r="E21" s="1" t="n">
        <v>10</v>
      </c>
      <c r="F21" s="1" t="n">
        <v>90</v>
      </c>
      <c r="G21" s="1" t="n">
        <v>100</v>
      </c>
      <c r="H21" s="1" t="n">
        <v>40</v>
      </c>
      <c r="I21" s="1" t="s">
        <v>64</v>
      </c>
      <c r="J21" s="1" t="s">
        <v>56</v>
      </c>
      <c r="K21" s="1" t="s">
        <v>22</v>
      </c>
      <c r="L21" s="1" t="s">
        <v>32</v>
      </c>
      <c r="M21" s="1" t="s">
        <v>42</v>
      </c>
      <c r="O21" s="1" t="s">
        <v>35</v>
      </c>
      <c r="P21" s="1" t="s">
        <v>26</v>
      </c>
      <c r="Q21" s="1" t="n">
        <v>3</v>
      </c>
    </row>
    <row r="22" customFormat="false" ht="15" hidden="false" customHeight="true" outlineLevel="0" collapsed="false">
      <c r="A22" s="1" t="s">
        <v>95</v>
      </c>
      <c r="B22" s="1" t="s">
        <v>96</v>
      </c>
      <c r="C22" s="1" t="s">
        <v>39</v>
      </c>
      <c r="E22" s="1" t="n">
        <v>50</v>
      </c>
      <c r="F22" s="1" t="n">
        <v>10</v>
      </c>
      <c r="G22" s="1" t="n">
        <v>40</v>
      </c>
      <c r="H22" s="1" t="n">
        <v>50</v>
      </c>
      <c r="I22" s="1" t="s">
        <v>40</v>
      </c>
      <c r="J22" s="1" t="s">
        <v>97</v>
      </c>
      <c r="K22" s="1" t="s">
        <v>22</v>
      </c>
      <c r="L22" s="1" t="s">
        <v>32</v>
      </c>
      <c r="M22" s="1" t="s">
        <v>33</v>
      </c>
      <c r="O22" s="1" t="s">
        <v>43</v>
      </c>
      <c r="P22" s="1" t="s">
        <v>88</v>
      </c>
      <c r="Q22" s="1" t="n">
        <v>2</v>
      </c>
    </row>
    <row r="23" customFormat="false" ht="15" hidden="false" customHeight="true" outlineLevel="0" collapsed="false">
      <c r="A23" s="1" t="s">
        <v>98</v>
      </c>
      <c r="B23" s="1" t="s">
        <v>99</v>
      </c>
      <c r="C23" s="1" t="s">
        <v>29</v>
      </c>
      <c r="E23" s="1" t="n">
        <v>50</v>
      </c>
      <c r="F23" s="1" t="n">
        <v>50</v>
      </c>
      <c r="G23" s="1" t="n">
        <v>60</v>
      </c>
      <c r="H23" s="1" t="n">
        <v>50</v>
      </c>
      <c r="I23" s="1" t="s">
        <v>64</v>
      </c>
      <c r="J23" s="1" t="s">
        <v>20</v>
      </c>
      <c r="K23" s="1" t="s">
        <v>22</v>
      </c>
      <c r="L23" s="1" t="s">
        <v>32</v>
      </c>
      <c r="M23" s="1" t="s">
        <v>34</v>
      </c>
      <c r="N23" s="1" t="s">
        <v>33</v>
      </c>
      <c r="O23" s="1" t="s">
        <v>35</v>
      </c>
      <c r="P23" s="1" t="s">
        <v>36</v>
      </c>
      <c r="Q23" s="1" t="n">
        <v>3</v>
      </c>
    </row>
    <row r="24" customFormat="false" ht="15" hidden="false" customHeight="true" outlineLevel="0" collapsed="false">
      <c r="A24" s="1" t="s">
        <v>100</v>
      </c>
      <c r="B24" s="1" t="s">
        <v>101</v>
      </c>
      <c r="C24" s="1" t="s">
        <v>46</v>
      </c>
      <c r="E24" s="1" t="n">
        <v>70</v>
      </c>
      <c r="F24" s="1" t="n">
        <v>80</v>
      </c>
      <c r="G24" s="1" t="n">
        <v>10</v>
      </c>
      <c r="H24" s="1" t="n">
        <v>20</v>
      </c>
      <c r="I24" s="1" t="s">
        <v>21</v>
      </c>
      <c r="J24" s="1" t="s">
        <v>50</v>
      </c>
      <c r="K24" s="1" t="s">
        <v>47</v>
      </c>
      <c r="L24" s="1" t="s">
        <v>23</v>
      </c>
      <c r="M24" s="1" t="s">
        <v>52</v>
      </c>
      <c r="O24" s="1" t="s">
        <v>35</v>
      </c>
      <c r="P24" s="1" t="s">
        <v>26</v>
      </c>
      <c r="Q24" s="1" t="n">
        <v>3</v>
      </c>
    </row>
    <row r="25" customFormat="false" ht="15" hidden="false" customHeight="true" outlineLevel="0" collapsed="false">
      <c r="A25" s="1" t="s">
        <v>102</v>
      </c>
      <c r="B25" s="1" t="s">
        <v>103</v>
      </c>
      <c r="C25" s="1" t="s">
        <v>39</v>
      </c>
      <c r="E25" s="1" t="n">
        <v>60</v>
      </c>
      <c r="F25" s="1" t="n">
        <v>60</v>
      </c>
      <c r="G25" s="1" t="n">
        <v>10</v>
      </c>
      <c r="H25" s="1" t="n">
        <v>90</v>
      </c>
      <c r="I25" s="1" t="s">
        <v>40</v>
      </c>
      <c r="J25" s="1" t="s">
        <v>104</v>
      </c>
      <c r="K25" s="1" t="s">
        <v>22</v>
      </c>
      <c r="L25" s="1" t="s">
        <v>32</v>
      </c>
      <c r="M25" s="1" t="s">
        <v>33</v>
      </c>
      <c r="N25" s="1" t="s">
        <v>42</v>
      </c>
      <c r="O25" s="1" t="s">
        <v>43</v>
      </c>
      <c r="P25" s="1" t="s">
        <v>36</v>
      </c>
      <c r="Q25" s="1" t="n">
        <v>2</v>
      </c>
    </row>
    <row r="26" customFormat="false" ht="15" hidden="false" customHeight="true" outlineLevel="0" collapsed="false">
      <c r="A26" s="1" t="s">
        <v>105</v>
      </c>
      <c r="B26" s="1" t="s">
        <v>106</v>
      </c>
      <c r="C26" s="1" t="s">
        <v>46</v>
      </c>
      <c r="E26" s="1" t="n">
        <v>90</v>
      </c>
      <c r="F26" s="1" t="n">
        <v>40</v>
      </c>
      <c r="G26" s="1" t="n">
        <v>30</v>
      </c>
      <c r="H26" s="1" t="n">
        <v>80</v>
      </c>
      <c r="I26" s="1" t="s">
        <v>50</v>
      </c>
      <c r="J26" s="1" t="s">
        <v>40</v>
      </c>
      <c r="K26" s="1" t="s">
        <v>47</v>
      </c>
      <c r="L26" s="1" t="s">
        <v>23</v>
      </c>
      <c r="M26" s="1" t="s">
        <v>52</v>
      </c>
      <c r="O26" s="1" t="s">
        <v>35</v>
      </c>
      <c r="P26" s="1" t="s">
        <v>26</v>
      </c>
      <c r="Q26" s="1" t="n">
        <v>3</v>
      </c>
    </row>
    <row r="27" customFormat="false" ht="15" hidden="false" customHeight="true" outlineLevel="0" collapsed="false">
      <c r="A27" s="1" t="s">
        <v>107</v>
      </c>
      <c r="B27" s="1" t="s">
        <v>108</v>
      </c>
      <c r="C27" s="1" t="s">
        <v>29</v>
      </c>
      <c r="E27" s="1" t="n">
        <v>30</v>
      </c>
      <c r="F27" s="1" t="n">
        <v>80</v>
      </c>
      <c r="G27" s="1" t="n">
        <v>50</v>
      </c>
      <c r="H27" s="1" t="n">
        <v>70</v>
      </c>
      <c r="I27" s="1" t="s">
        <v>57</v>
      </c>
      <c r="J27" s="1" t="s">
        <v>109</v>
      </c>
      <c r="K27" s="1" t="s">
        <v>22</v>
      </c>
      <c r="L27" s="1" t="s">
        <v>32</v>
      </c>
      <c r="M27" s="1" t="s">
        <v>34</v>
      </c>
      <c r="N27" s="1" t="s">
        <v>42</v>
      </c>
      <c r="O27" s="1" t="s">
        <v>87</v>
      </c>
      <c r="P27" s="1" t="s">
        <v>36</v>
      </c>
      <c r="Q27" s="1" t="n">
        <v>1</v>
      </c>
    </row>
    <row r="28" customFormat="false" ht="15" hidden="false" customHeight="true" outlineLevel="0" collapsed="false">
      <c r="A28" s="1" t="s">
        <v>110</v>
      </c>
      <c r="B28" s="1" t="s">
        <v>111</v>
      </c>
      <c r="C28" s="1" t="s">
        <v>29</v>
      </c>
      <c r="E28" s="1" t="n">
        <v>50</v>
      </c>
      <c r="F28" s="1" t="n">
        <v>10</v>
      </c>
      <c r="G28" s="1" t="n">
        <v>50</v>
      </c>
      <c r="H28" s="1" t="n">
        <v>30</v>
      </c>
      <c r="I28" s="1" t="s">
        <v>112</v>
      </c>
      <c r="J28" s="1" t="s">
        <v>20</v>
      </c>
      <c r="K28" s="1" t="s">
        <v>22</v>
      </c>
      <c r="L28" s="1" t="s">
        <v>32</v>
      </c>
      <c r="M28" s="1" t="s">
        <v>34</v>
      </c>
      <c r="N28" s="1" t="s">
        <v>33</v>
      </c>
      <c r="O28" s="1" t="s">
        <v>43</v>
      </c>
      <c r="P28" s="1" t="s">
        <v>26</v>
      </c>
      <c r="Q28" s="1" t="n">
        <v>2</v>
      </c>
    </row>
    <row r="29" customFormat="false" ht="15" hidden="false" customHeight="true" outlineLevel="0" collapsed="false">
      <c r="A29" s="1" t="s">
        <v>113</v>
      </c>
      <c r="B29" s="1" t="s">
        <v>114</v>
      </c>
      <c r="C29" s="1" t="s">
        <v>29</v>
      </c>
      <c r="E29" s="1" t="n">
        <v>40</v>
      </c>
      <c r="F29" s="1" t="n">
        <v>70</v>
      </c>
      <c r="G29" s="1" t="n">
        <v>60</v>
      </c>
      <c r="H29" s="1" t="n">
        <v>10</v>
      </c>
      <c r="I29" s="1" t="s">
        <v>30</v>
      </c>
      <c r="J29" s="1" t="s">
        <v>115</v>
      </c>
      <c r="K29" s="1" t="s">
        <v>22</v>
      </c>
      <c r="L29" s="1" t="s">
        <v>32</v>
      </c>
      <c r="M29" s="1" t="s">
        <v>33</v>
      </c>
      <c r="N29" s="1" t="s">
        <v>34</v>
      </c>
      <c r="O29" s="1" t="s">
        <v>35</v>
      </c>
      <c r="P29" s="1" t="s">
        <v>26</v>
      </c>
      <c r="Q29" s="1" t="n">
        <v>3</v>
      </c>
    </row>
    <row r="30" customFormat="false" ht="15" hidden="false" customHeight="true" outlineLevel="0" collapsed="false">
      <c r="A30" s="1" t="s">
        <v>116</v>
      </c>
      <c r="B30" s="1" t="s">
        <v>117</v>
      </c>
      <c r="C30" s="1" t="s">
        <v>29</v>
      </c>
      <c r="E30" s="1" t="n">
        <v>20</v>
      </c>
      <c r="F30" s="1" t="n">
        <v>90</v>
      </c>
      <c r="G30" s="1" t="n">
        <v>90</v>
      </c>
      <c r="H30" s="1" t="n">
        <v>40</v>
      </c>
      <c r="I30" s="1" t="s">
        <v>30</v>
      </c>
      <c r="J30" s="1" t="s">
        <v>56</v>
      </c>
      <c r="K30" s="1" t="s">
        <v>22</v>
      </c>
      <c r="L30" s="1" t="s">
        <v>32</v>
      </c>
      <c r="M30" s="1" t="s">
        <v>34</v>
      </c>
      <c r="O30" s="1" t="s">
        <v>74</v>
      </c>
      <c r="P30" s="1" t="s">
        <v>26</v>
      </c>
      <c r="Q30" s="1" t="n">
        <v>4</v>
      </c>
    </row>
    <row r="31" customFormat="false" ht="15" hidden="false" customHeight="true" outlineLevel="0" collapsed="false">
      <c r="A31" s="1" t="s">
        <v>118</v>
      </c>
      <c r="B31" s="1" t="s">
        <v>119</v>
      </c>
      <c r="C31" s="1" t="s">
        <v>39</v>
      </c>
      <c r="D31" s="1" t="s">
        <v>19</v>
      </c>
      <c r="E31" s="1" t="n">
        <v>90</v>
      </c>
      <c r="F31" s="1" t="n">
        <v>20</v>
      </c>
      <c r="G31" s="1" t="n">
        <v>40</v>
      </c>
      <c r="H31" s="1" t="n">
        <v>70</v>
      </c>
      <c r="I31" s="1" t="s">
        <v>104</v>
      </c>
      <c r="J31" s="1" t="s">
        <v>20</v>
      </c>
      <c r="K31" s="1" t="s">
        <v>22</v>
      </c>
      <c r="L31" s="1" t="s">
        <v>120</v>
      </c>
      <c r="M31" s="1" t="s">
        <v>33</v>
      </c>
      <c r="O31" s="1" t="s">
        <v>74</v>
      </c>
      <c r="P31" s="1" t="s">
        <v>26</v>
      </c>
      <c r="Q31" s="1" t="n">
        <v>4</v>
      </c>
    </row>
    <row r="32" customFormat="false" ht="15" hidden="false" customHeight="true" outlineLevel="0" collapsed="false">
      <c r="A32" s="1" t="s">
        <v>121</v>
      </c>
      <c r="B32" s="1" t="s">
        <v>122</v>
      </c>
      <c r="C32" s="1" t="s">
        <v>19</v>
      </c>
      <c r="E32" s="1" t="n">
        <v>60</v>
      </c>
      <c r="F32" s="1" t="n">
        <v>60</v>
      </c>
      <c r="G32" s="1" t="n">
        <v>20</v>
      </c>
      <c r="H32" s="1" t="n">
        <v>50</v>
      </c>
      <c r="I32" s="1" t="s">
        <v>20</v>
      </c>
      <c r="J32" s="1" t="s">
        <v>57</v>
      </c>
      <c r="K32" s="1" t="s">
        <v>22</v>
      </c>
      <c r="L32" s="1" t="s">
        <v>23</v>
      </c>
      <c r="M32" s="1" t="s">
        <v>24</v>
      </c>
      <c r="O32" s="1" t="s">
        <v>25</v>
      </c>
      <c r="P32" s="1" t="s">
        <v>26</v>
      </c>
      <c r="Q32" s="1" t="n">
        <v>5</v>
      </c>
    </row>
    <row r="33" customFormat="false" ht="15" hidden="false" customHeight="true" outlineLevel="0" collapsed="false">
      <c r="A33" s="1" t="s">
        <v>123</v>
      </c>
      <c r="B33" s="1" t="s">
        <v>124</v>
      </c>
      <c r="C33" s="1" t="s">
        <v>55</v>
      </c>
      <c r="D33" s="1" t="s">
        <v>77</v>
      </c>
      <c r="E33" s="1" t="n">
        <v>30</v>
      </c>
      <c r="F33" s="1" t="n">
        <v>90</v>
      </c>
      <c r="G33" s="1" t="n">
        <v>80</v>
      </c>
      <c r="H33" s="1" t="n">
        <v>50</v>
      </c>
      <c r="I33" s="1" t="s">
        <v>125</v>
      </c>
      <c r="J33" s="1" t="s">
        <v>56</v>
      </c>
      <c r="K33" s="1" t="s">
        <v>47</v>
      </c>
      <c r="L33" s="1" t="s">
        <v>32</v>
      </c>
      <c r="M33" s="1" t="s">
        <v>42</v>
      </c>
      <c r="O33" s="1" t="s">
        <v>43</v>
      </c>
      <c r="P33" s="1" t="s">
        <v>36</v>
      </c>
      <c r="Q33" s="1" t="n">
        <v>2</v>
      </c>
    </row>
    <row r="34" customFormat="false" ht="15" hidden="false" customHeight="true" outlineLevel="0" collapsed="false">
      <c r="A34" s="1" t="s">
        <v>126</v>
      </c>
      <c r="B34" s="1" t="s">
        <v>127</v>
      </c>
      <c r="C34" s="1" t="s">
        <v>46</v>
      </c>
      <c r="E34" s="1" t="n">
        <v>100</v>
      </c>
      <c r="F34" s="1" t="n">
        <v>70</v>
      </c>
      <c r="G34" s="1" t="n">
        <v>30</v>
      </c>
      <c r="H34" s="1" t="n">
        <v>60</v>
      </c>
      <c r="I34" s="1" t="s">
        <v>20</v>
      </c>
      <c r="J34" s="1" t="s">
        <v>41</v>
      </c>
      <c r="K34" s="1" t="s">
        <v>47</v>
      </c>
      <c r="L34" s="1" t="s">
        <v>23</v>
      </c>
      <c r="M34" s="1" t="s">
        <v>52</v>
      </c>
      <c r="O34" s="1" t="s">
        <v>35</v>
      </c>
      <c r="P34" s="1" t="s">
        <v>26</v>
      </c>
      <c r="Q34" s="1" t="n">
        <v>3</v>
      </c>
    </row>
    <row r="35" customFormat="false" ht="15" hidden="false" customHeight="true" outlineLevel="0" collapsed="false">
      <c r="A35" s="1" t="s">
        <v>128</v>
      </c>
      <c r="B35" s="1" t="s">
        <v>129</v>
      </c>
      <c r="C35" s="1" t="s">
        <v>77</v>
      </c>
      <c r="E35" s="1" t="n">
        <v>10</v>
      </c>
      <c r="F35" s="1" t="n">
        <v>20</v>
      </c>
      <c r="G35" s="1" t="n">
        <v>70</v>
      </c>
      <c r="H35" s="1" t="n">
        <v>30</v>
      </c>
      <c r="I35" s="1" t="s">
        <v>78</v>
      </c>
      <c r="J35" s="1" t="s">
        <v>30</v>
      </c>
      <c r="K35" s="1" t="s">
        <v>47</v>
      </c>
      <c r="L35" s="1" t="s">
        <v>23</v>
      </c>
      <c r="M35" s="1" t="s">
        <v>42</v>
      </c>
      <c r="O35" s="1" t="s">
        <v>43</v>
      </c>
      <c r="P35" s="1" t="s">
        <v>26</v>
      </c>
      <c r="Q35" s="1" t="n">
        <v>2</v>
      </c>
    </row>
    <row r="36" customFormat="false" ht="15" hidden="false" customHeight="true" outlineLevel="0" collapsed="false">
      <c r="A36" s="1" t="s">
        <v>130</v>
      </c>
      <c r="B36" s="1" t="s">
        <v>131</v>
      </c>
      <c r="C36" s="1" t="s">
        <v>29</v>
      </c>
      <c r="D36" s="1" t="s">
        <v>55</v>
      </c>
      <c r="E36" s="1" t="n">
        <v>40</v>
      </c>
      <c r="F36" s="1" t="n">
        <v>40</v>
      </c>
      <c r="G36" s="1" t="n">
        <v>90</v>
      </c>
      <c r="H36" s="1" t="n">
        <v>40</v>
      </c>
      <c r="I36" s="1" t="s">
        <v>30</v>
      </c>
      <c r="J36" s="1" t="s">
        <v>40</v>
      </c>
      <c r="K36" s="1" t="s">
        <v>22</v>
      </c>
      <c r="L36" s="1" t="s">
        <v>32</v>
      </c>
      <c r="M36" s="1" t="s">
        <v>42</v>
      </c>
      <c r="N36" s="1" t="s">
        <v>34</v>
      </c>
      <c r="O36" s="1" t="s">
        <v>87</v>
      </c>
      <c r="P36" s="1" t="s">
        <v>36</v>
      </c>
      <c r="Q36" s="1" t="n">
        <v>1</v>
      </c>
    </row>
    <row r="37" customFormat="false" ht="15" hidden="false" customHeight="true" outlineLevel="0" collapsed="false">
      <c r="A37" s="1" t="s">
        <v>132</v>
      </c>
      <c r="B37" s="1" t="s">
        <v>133</v>
      </c>
      <c r="C37" s="1" t="s">
        <v>46</v>
      </c>
      <c r="E37" s="1" t="n">
        <v>70</v>
      </c>
      <c r="F37" s="1" t="n">
        <v>100</v>
      </c>
      <c r="G37" s="1" t="n">
        <v>40</v>
      </c>
      <c r="H37" s="1" t="n">
        <v>10</v>
      </c>
      <c r="I37" s="1" t="s">
        <v>57</v>
      </c>
      <c r="J37" s="1" t="s">
        <v>40</v>
      </c>
      <c r="K37" s="1" t="s">
        <v>47</v>
      </c>
      <c r="L37" s="1" t="s">
        <v>23</v>
      </c>
      <c r="M37" s="1" t="s">
        <v>52</v>
      </c>
      <c r="O37" s="1" t="s">
        <v>35</v>
      </c>
      <c r="P37" s="1" t="s">
        <v>26</v>
      </c>
      <c r="Q37" s="1" t="n">
        <v>3</v>
      </c>
    </row>
    <row r="38" customFormat="false" ht="15" hidden="false" customHeight="true" outlineLevel="0" collapsed="false">
      <c r="A38" s="1" t="s">
        <v>134</v>
      </c>
      <c r="B38" s="1" t="s">
        <v>135</v>
      </c>
      <c r="C38" s="1" t="s">
        <v>29</v>
      </c>
      <c r="E38" s="1" t="n">
        <v>40</v>
      </c>
      <c r="F38" s="1" t="n">
        <v>40</v>
      </c>
      <c r="G38" s="1" t="n">
        <v>80</v>
      </c>
      <c r="H38" s="1" t="n">
        <v>50</v>
      </c>
      <c r="I38" s="1" t="s">
        <v>64</v>
      </c>
      <c r="J38" s="1" t="s">
        <v>21</v>
      </c>
      <c r="K38" s="1" t="s">
        <v>22</v>
      </c>
      <c r="L38" s="1" t="s">
        <v>32</v>
      </c>
      <c r="M38" s="1" t="s">
        <v>34</v>
      </c>
      <c r="O38" s="1" t="s">
        <v>35</v>
      </c>
      <c r="P38" s="1" t="s">
        <v>36</v>
      </c>
      <c r="Q38" s="1" t="n">
        <v>3</v>
      </c>
    </row>
    <row r="39" customFormat="false" ht="15" hidden="false" customHeight="true" outlineLevel="0" collapsed="false">
      <c r="A39" s="1" t="s">
        <v>136</v>
      </c>
      <c r="B39" s="1" t="s">
        <v>137</v>
      </c>
      <c r="C39" s="1" t="s">
        <v>46</v>
      </c>
      <c r="E39" s="1" t="n">
        <v>90</v>
      </c>
      <c r="F39" s="1" t="n">
        <v>50</v>
      </c>
      <c r="G39" s="1" t="n">
        <v>20</v>
      </c>
      <c r="H39" s="1" t="n">
        <v>10</v>
      </c>
      <c r="I39" s="1" t="s">
        <v>112</v>
      </c>
      <c r="J39" s="1" t="s">
        <v>56</v>
      </c>
      <c r="K39" s="1" t="s">
        <v>47</v>
      </c>
      <c r="L39" s="1" t="s">
        <v>23</v>
      </c>
      <c r="M39" s="1" t="s">
        <v>52</v>
      </c>
      <c r="O39" s="1" t="s">
        <v>35</v>
      </c>
      <c r="P39" s="1" t="s">
        <v>26</v>
      </c>
      <c r="Q39" s="1" t="n">
        <v>3</v>
      </c>
    </row>
    <row r="40" customFormat="false" ht="15" hidden="false" customHeight="true" outlineLevel="0" collapsed="false">
      <c r="A40" s="1" t="s">
        <v>138</v>
      </c>
      <c r="B40" s="1" t="s">
        <v>139</v>
      </c>
      <c r="C40" s="1" t="s">
        <v>29</v>
      </c>
      <c r="D40" s="1" t="s">
        <v>19</v>
      </c>
      <c r="E40" s="1" t="n">
        <v>40</v>
      </c>
      <c r="F40" s="1" t="n">
        <v>10</v>
      </c>
      <c r="G40" s="1" t="n">
        <v>60</v>
      </c>
      <c r="H40" s="1" t="n">
        <v>50</v>
      </c>
      <c r="I40" s="1" t="s">
        <v>20</v>
      </c>
      <c r="J40" s="1" t="s">
        <v>83</v>
      </c>
      <c r="K40" s="1" t="s">
        <v>22</v>
      </c>
      <c r="L40" s="1" t="s">
        <v>120</v>
      </c>
      <c r="M40" s="1" t="s">
        <v>33</v>
      </c>
      <c r="O40" s="1" t="s">
        <v>35</v>
      </c>
      <c r="P40" s="1" t="s">
        <v>26</v>
      </c>
      <c r="Q40" s="1" t="n">
        <v>3</v>
      </c>
    </row>
    <row r="41" customFormat="false" ht="15" hidden="false" customHeight="true" outlineLevel="0" collapsed="false">
      <c r="A41" s="1" t="s">
        <v>140</v>
      </c>
      <c r="B41" s="1" t="s">
        <v>141</v>
      </c>
      <c r="C41" s="1" t="s">
        <v>19</v>
      </c>
      <c r="E41" s="1" t="n">
        <v>80</v>
      </c>
      <c r="F41" s="1" t="n">
        <v>10</v>
      </c>
      <c r="G41" s="1" t="n">
        <v>30</v>
      </c>
      <c r="H41" s="1" t="n">
        <v>40</v>
      </c>
      <c r="I41" s="1" t="s">
        <v>115</v>
      </c>
      <c r="J41" s="1" t="s">
        <v>20</v>
      </c>
      <c r="K41" s="1" t="s">
        <v>22</v>
      </c>
      <c r="L41" s="1" t="s">
        <v>23</v>
      </c>
      <c r="M41" s="1" t="s">
        <v>24</v>
      </c>
      <c r="O41" s="1" t="s">
        <v>25</v>
      </c>
      <c r="P41" s="1" t="s">
        <v>26</v>
      </c>
      <c r="Q41" s="1" t="n">
        <v>5</v>
      </c>
    </row>
    <row r="42" customFormat="false" ht="15" hidden="false" customHeight="true" outlineLevel="0" collapsed="false">
      <c r="A42" s="1" t="s">
        <v>142</v>
      </c>
      <c r="B42" s="1" t="s">
        <v>143</v>
      </c>
      <c r="C42" s="1" t="s">
        <v>55</v>
      </c>
      <c r="D42" s="1" t="s">
        <v>29</v>
      </c>
      <c r="E42" s="1" t="n">
        <v>30</v>
      </c>
      <c r="F42" s="1" t="n">
        <v>90</v>
      </c>
      <c r="G42" s="1" t="n">
        <v>90</v>
      </c>
      <c r="H42" s="1" t="n">
        <v>10</v>
      </c>
      <c r="I42" s="1" t="s">
        <v>56</v>
      </c>
      <c r="J42" s="1" t="s">
        <v>144</v>
      </c>
      <c r="K42" s="1" t="s">
        <v>47</v>
      </c>
      <c r="L42" s="1" t="s">
        <v>32</v>
      </c>
      <c r="M42" s="1" t="s">
        <v>42</v>
      </c>
      <c r="N42" s="1" t="s">
        <v>34</v>
      </c>
      <c r="O42" s="1" t="s">
        <v>35</v>
      </c>
      <c r="P42" s="1" t="s">
        <v>36</v>
      </c>
      <c r="Q42" s="1" t="n">
        <v>3</v>
      </c>
    </row>
    <row r="43" customFormat="false" ht="15" hidden="false" customHeight="true" outlineLevel="0" collapsed="false">
      <c r="A43" s="1" t="s">
        <v>145</v>
      </c>
      <c r="B43" s="1" t="s">
        <v>146</v>
      </c>
      <c r="C43" s="1" t="s">
        <v>39</v>
      </c>
      <c r="D43" s="1" t="s">
        <v>46</v>
      </c>
      <c r="E43" s="1" t="n">
        <v>90</v>
      </c>
      <c r="F43" s="1" t="n">
        <v>10</v>
      </c>
      <c r="G43" s="1" t="n">
        <v>30</v>
      </c>
      <c r="H43" s="1" t="n">
        <v>60</v>
      </c>
      <c r="I43" s="1" t="s">
        <v>40</v>
      </c>
      <c r="J43" s="1" t="s">
        <v>50</v>
      </c>
      <c r="K43" s="1" t="s">
        <v>47</v>
      </c>
      <c r="L43" s="1" t="s">
        <v>23</v>
      </c>
      <c r="M43" s="1" t="s">
        <v>33</v>
      </c>
      <c r="N43" s="1" t="s">
        <v>52</v>
      </c>
      <c r="O43" s="1" t="s">
        <v>43</v>
      </c>
      <c r="P43" s="1" t="s">
        <v>26</v>
      </c>
      <c r="Q43" s="1" t="n">
        <v>2</v>
      </c>
    </row>
    <row r="44" customFormat="false" ht="15" hidden="false" customHeight="true" outlineLevel="0" collapsed="false">
      <c r="A44" s="1" t="s">
        <v>147</v>
      </c>
      <c r="B44" s="1" t="s">
        <v>148</v>
      </c>
      <c r="C44" s="1" t="s">
        <v>19</v>
      </c>
      <c r="E44" s="1" t="n">
        <v>80</v>
      </c>
      <c r="F44" s="1" t="n">
        <v>10</v>
      </c>
      <c r="G44" s="1" t="n">
        <v>10</v>
      </c>
      <c r="H44" s="1" t="n">
        <v>50</v>
      </c>
      <c r="I44" s="1" t="s">
        <v>20</v>
      </c>
      <c r="J44" s="1" t="s">
        <v>21</v>
      </c>
      <c r="K44" s="1" t="s">
        <v>22</v>
      </c>
      <c r="L44" s="1" t="s">
        <v>23</v>
      </c>
      <c r="M44" s="1" t="s">
        <v>24</v>
      </c>
      <c r="O44" s="1" t="s">
        <v>25</v>
      </c>
      <c r="P44" s="1" t="s">
        <v>36</v>
      </c>
      <c r="Q44" s="1" t="n">
        <v>5</v>
      </c>
    </row>
    <row r="45" customFormat="false" ht="15" hidden="false" customHeight="true" outlineLevel="0" collapsed="false">
      <c r="A45" s="1" t="s">
        <v>149</v>
      </c>
      <c r="B45" s="1" t="s">
        <v>150</v>
      </c>
      <c r="C45" s="1" t="s">
        <v>55</v>
      </c>
      <c r="D45" s="1" t="s">
        <v>29</v>
      </c>
      <c r="E45" s="1" t="n">
        <v>40</v>
      </c>
      <c r="F45" s="1" t="n">
        <v>80</v>
      </c>
      <c r="G45" s="1" t="n">
        <v>90</v>
      </c>
      <c r="H45" s="1" t="n">
        <v>60</v>
      </c>
      <c r="I45" s="1" t="s">
        <v>57</v>
      </c>
      <c r="J45" s="1" t="s">
        <v>40</v>
      </c>
      <c r="K45" s="1" t="s">
        <v>22</v>
      </c>
      <c r="L45" s="1" t="s">
        <v>32</v>
      </c>
      <c r="M45" s="1" t="s">
        <v>42</v>
      </c>
      <c r="O45" s="1" t="s">
        <v>43</v>
      </c>
      <c r="P45" s="1" t="s">
        <v>36</v>
      </c>
      <c r="Q45" s="1" t="n">
        <v>2</v>
      </c>
    </row>
    <row r="46" customFormat="false" ht="15" hidden="false" customHeight="true" outlineLevel="0" collapsed="false">
      <c r="A46" s="1" t="s">
        <v>151</v>
      </c>
      <c r="B46" s="1" t="s">
        <v>152</v>
      </c>
      <c r="C46" s="1" t="s">
        <v>29</v>
      </c>
      <c r="E46" s="1" t="n">
        <v>50</v>
      </c>
      <c r="F46" s="1" t="n">
        <v>50</v>
      </c>
      <c r="G46" s="1" t="n">
        <v>70</v>
      </c>
      <c r="H46" s="1" t="n">
        <v>60</v>
      </c>
      <c r="I46" s="1" t="s">
        <v>97</v>
      </c>
      <c r="J46" s="1" t="s">
        <v>20</v>
      </c>
      <c r="K46" s="1" t="s">
        <v>22</v>
      </c>
      <c r="L46" s="1" t="s">
        <v>32</v>
      </c>
      <c r="M46" s="1" t="s">
        <v>34</v>
      </c>
      <c r="O46" s="1" t="s">
        <v>25</v>
      </c>
      <c r="P46" s="1" t="s">
        <v>36</v>
      </c>
      <c r="Q46" s="1" t="n">
        <v>5</v>
      </c>
    </row>
    <row r="47" customFormat="false" ht="15" hidden="false" customHeight="true" outlineLevel="0" collapsed="false">
      <c r="A47" s="1" t="s">
        <v>153</v>
      </c>
      <c r="B47" s="1" t="s">
        <v>154</v>
      </c>
      <c r="C47" s="1" t="s">
        <v>46</v>
      </c>
      <c r="E47" s="1" t="n">
        <v>100</v>
      </c>
      <c r="F47" s="1" t="n">
        <v>70</v>
      </c>
      <c r="G47" s="1" t="n">
        <v>30</v>
      </c>
      <c r="H47" s="1" t="n">
        <v>20</v>
      </c>
      <c r="I47" s="1" t="s">
        <v>21</v>
      </c>
      <c r="J47" s="1" t="s">
        <v>40</v>
      </c>
      <c r="K47" s="1" t="s">
        <v>47</v>
      </c>
      <c r="L47" s="1" t="s">
        <v>23</v>
      </c>
      <c r="M47" s="1" t="s">
        <v>52</v>
      </c>
      <c r="O47" s="1" t="s">
        <v>35</v>
      </c>
      <c r="P47" s="1" t="s">
        <v>26</v>
      </c>
      <c r="Q47" s="1" t="n">
        <v>3</v>
      </c>
    </row>
    <row r="48" customFormat="false" ht="15" hidden="false" customHeight="true" outlineLevel="0" collapsed="false">
      <c r="A48" s="1" t="s">
        <v>155</v>
      </c>
      <c r="B48" s="1" t="s">
        <v>156</v>
      </c>
      <c r="C48" s="1" t="s">
        <v>39</v>
      </c>
      <c r="E48" s="1" t="n">
        <v>50</v>
      </c>
      <c r="F48" s="1" t="n">
        <v>10</v>
      </c>
      <c r="G48" s="1" t="n">
        <v>40</v>
      </c>
      <c r="H48" s="1" t="n">
        <v>50</v>
      </c>
      <c r="I48" s="1" t="s">
        <v>97</v>
      </c>
      <c r="J48" s="1" t="s">
        <v>109</v>
      </c>
      <c r="K48" s="1" t="s">
        <v>22</v>
      </c>
      <c r="L48" s="1" t="s">
        <v>32</v>
      </c>
      <c r="M48" s="1" t="s">
        <v>33</v>
      </c>
      <c r="O48" s="1" t="s">
        <v>43</v>
      </c>
      <c r="P48" s="1" t="s">
        <v>26</v>
      </c>
      <c r="Q48" s="1" t="n">
        <v>2</v>
      </c>
    </row>
    <row r="49" customFormat="false" ht="15" hidden="false" customHeight="true" outlineLevel="0" collapsed="false">
      <c r="A49" s="1" t="s">
        <v>157</v>
      </c>
      <c r="B49" s="1" t="s">
        <v>158</v>
      </c>
      <c r="C49" s="1" t="s">
        <v>77</v>
      </c>
      <c r="E49" s="1" t="n">
        <v>40</v>
      </c>
      <c r="F49" s="1" t="n">
        <v>20</v>
      </c>
      <c r="G49" s="1" t="n">
        <v>40</v>
      </c>
      <c r="H49" s="1" t="n">
        <v>50</v>
      </c>
      <c r="I49" s="1" t="s">
        <v>56</v>
      </c>
      <c r="J49" s="1" t="s">
        <v>64</v>
      </c>
      <c r="K49" s="1" t="s">
        <v>47</v>
      </c>
      <c r="L49" s="1" t="s">
        <v>23</v>
      </c>
      <c r="M49" s="1" t="s">
        <v>42</v>
      </c>
      <c r="O49" s="1" t="s">
        <v>43</v>
      </c>
      <c r="P49" s="1" t="s">
        <v>26</v>
      </c>
      <c r="Q49" s="1" t="n">
        <v>2</v>
      </c>
    </row>
    <row r="50" customFormat="false" ht="15" hidden="false" customHeight="true" outlineLevel="0" collapsed="false">
      <c r="A50" s="1" t="s">
        <v>159</v>
      </c>
      <c r="B50" s="1" t="s">
        <v>160</v>
      </c>
      <c r="C50" s="1" t="s">
        <v>55</v>
      </c>
      <c r="E50" s="1" t="n">
        <v>20</v>
      </c>
      <c r="F50" s="1" t="n">
        <v>80</v>
      </c>
      <c r="G50" s="1" t="n">
        <v>100</v>
      </c>
      <c r="H50" s="1" t="n">
        <v>30</v>
      </c>
      <c r="I50" s="1" t="s">
        <v>30</v>
      </c>
      <c r="J50" s="1" t="s">
        <v>51</v>
      </c>
      <c r="K50" s="1" t="s">
        <v>47</v>
      </c>
      <c r="L50" s="1" t="s">
        <v>32</v>
      </c>
      <c r="M50" s="1" t="s">
        <v>42</v>
      </c>
      <c r="O50" s="1" t="s">
        <v>43</v>
      </c>
      <c r="P50" s="1" t="s">
        <v>26</v>
      </c>
      <c r="Q50" s="1" t="n">
        <v>2</v>
      </c>
    </row>
    <row r="51" customFormat="false" ht="15" hidden="false" customHeight="true" outlineLevel="0" collapsed="false">
      <c r="A51" s="1" t="s">
        <v>161</v>
      </c>
      <c r="B51" s="1" t="s">
        <v>162</v>
      </c>
      <c r="C51" s="1" t="s">
        <v>46</v>
      </c>
      <c r="E51" s="1" t="n">
        <v>100</v>
      </c>
      <c r="F51" s="1" t="n">
        <v>40</v>
      </c>
      <c r="G51" s="1" t="n">
        <v>10</v>
      </c>
      <c r="H51" s="1" t="n">
        <v>40</v>
      </c>
      <c r="I51" s="1" t="s">
        <v>112</v>
      </c>
      <c r="J51" s="1" t="s">
        <v>20</v>
      </c>
      <c r="K51" s="1" t="s">
        <v>47</v>
      </c>
      <c r="L51" s="1" t="s">
        <v>23</v>
      </c>
      <c r="M51" s="1" t="s">
        <v>52</v>
      </c>
      <c r="O51" s="1" t="s">
        <v>35</v>
      </c>
      <c r="P51" s="1" t="s">
        <v>26</v>
      </c>
      <c r="Q51" s="1" t="n">
        <v>3</v>
      </c>
    </row>
    <row r="52" customFormat="false" ht="15" hidden="false" customHeight="true" outlineLevel="0" collapsed="false">
      <c r="A52" s="1" t="s">
        <v>163</v>
      </c>
      <c r="B52" s="1" t="s">
        <v>164</v>
      </c>
      <c r="C52" s="1" t="s">
        <v>39</v>
      </c>
      <c r="E52" s="1" t="n">
        <v>50</v>
      </c>
      <c r="F52" s="1" t="n">
        <v>50</v>
      </c>
      <c r="G52" s="1" t="n">
        <v>30</v>
      </c>
      <c r="H52" s="1" t="n">
        <v>50</v>
      </c>
      <c r="I52" s="1" t="s">
        <v>40</v>
      </c>
      <c r="J52" s="1" t="s">
        <v>51</v>
      </c>
      <c r="K52" s="1" t="s">
        <v>22</v>
      </c>
      <c r="L52" s="1" t="s">
        <v>32</v>
      </c>
      <c r="M52" s="1" t="s">
        <v>33</v>
      </c>
      <c r="N52" s="1" t="s">
        <v>42</v>
      </c>
      <c r="O52" s="1" t="s">
        <v>43</v>
      </c>
      <c r="P52" s="1" t="s">
        <v>36</v>
      </c>
      <c r="Q52" s="1" t="n">
        <v>2</v>
      </c>
    </row>
    <row r="53" customFormat="false" ht="15" hidden="false" customHeight="true" outlineLevel="0" collapsed="false">
      <c r="A53" s="1" t="s">
        <v>165</v>
      </c>
      <c r="B53" s="1" t="s">
        <v>166</v>
      </c>
      <c r="C53" s="1" t="s">
        <v>46</v>
      </c>
      <c r="E53" s="1" t="n">
        <v>90</v>
      </c>
      <c r="F53" s="1" t="n">
        <v>50</v>
      </c>
      <c r="G53" s="1" t="n">
        <v>20</v>
      </c>
      <c r="H53" s="1" t="n">
        <v>30</v>
      </c>
      <c r="I53" s="1" t="s">
        <v>50</v>
      </c>
      <c r="J53" s="1" t="s">
        <v>21</v>
      </c>
      <c r="K53" s="1" t="s">
        <v>47</v>
      </c>
      <c r="L53" s="1" t="s">
        <v>23</v>
      </c>
      <c r="M53" s="1" t="s">
        <v>52</v>
      </c>
      <c r="O53" s="1" t="s">
        <v>35</v>
      </c>
      <c r="P53" s="1" t="s">
        <v>26</v>
      </c>
      <c r="Q53" s="1" t="n">
        <v>3</v>
      </c>
    </row>
    <row r="54" customFormat="false" ht="15" hidden="false" customHeight="true" outlineLevel="0" collapsed="false">
      <c r="A54" s="1" t="s">
        <v>167</v>
      </c>
      <c r="B54" s="1" t="s">
        <v>168</v>
      </c>
      <c r="C54" s="1" t="s">
        <v>19</v>
      </c>
      <c r="D54" s="1" t="s">
        <v>39</v>
      </c>
      <c r="E54" s="1" t="n">
        <v>70</v>
      </c>
      <c r="F54" s="1" t="n">
        <v>20</v>
      </c>
      <c r="G54" s="1" t="n">
        <v>10</v>
      </c>
      <c r="H54" s="1" t="n">
        <v>40</v>
      </c>
      <c r="I54" s="1" t="s">
        <v>50</v>
      </c>
      <c r="J54" s="1" t="s">
        <v>115</v>
      </c>
      <c r="K54" s="1" t="s">
        <v>22</v>
      </c>
      <c r="L54" s="1" t="s">
        <v>23</v>
      </c>
      <c r="M54" s="1" t="s">
        <v>24</v>
      </c>
      <c r="O54" s="1" t="s">
        <v>74</v>
      </c>
      <c r="P54" s="1" t="s">
        <v>88</v>
      </c>
      <c r="Q54" s="1" t="n">
        <v>4</v>
      </c>
    </row>
    <row r="55" customFormat="false" ht="15" hidden="false" customHeight="true" outlineLevel="0" collapsed="false">
      <c r="A55" s="1" t="s">
        <v>169</v>
      </c>
      <c r="B55" s="1" t="s">
        <v>170</v>
      </c>
      <c r="C55" s="1" t="s">
        <v>29</v>
      </c>
      <c r="E55" s="1" t="n">
        <v>30</v>
      </c>
      <c r="F55" s="1" t="n">
        <v>60</v>
      </c>
      <c r="G55" s="1" t="n">
        <v>60</v>
      </c>
      <c r="H55" s="1" t="n">
        <v>50</v>
      </c>
      <c r="I55" s="1" t="s">
        <v>41</v>
      </c>
      <c r="J55" s="1" t="s">
        <v>40</v>
      </c>
      <c r="K55" s="1" t="s">
        <v>22</v>
      </c>
      <c r="L55" s="1" t="s">
        <v>32</v>
      </c>
      <c r="M55" s="1" t="s">
        <v>42</v>
      </c>
      <c r="N55" s="1" t="s">
        <v>34</v>
      </c>
      <c r="O55" s="1" t="s">
        <v>43</v>
      </c>
      <c r="P55" s="1" t="s">
        <v>26</v>
      </c>
      <c r="Q55" s="1" t="n">
        <v>2</v>
      </c>
    </row>
    <row r="56" customFormat="false" ht="15" hidden="false" customHeight="true" outlineLevel="0" collapsed="false">
      <c r="A56" s="1" t="s">
        <v>171</v>
      </c>
      <c r="B56" s="1" t="s">
        <v>172</v>
      </c>
      <c r="C56" s="1" t="s">
        <v>77</v>
      </c>
      <c r="E56" s="1" t="n">
        <v>20</v>
      </c>
      <c r="F56" s="1" t="n">
        <v>50</v>
      </c>
      <c r="G56" s="1" t="n">
        <v>30</v>
      </c>
      <c r="H56" s="1" t="n">
        <v>50</v>
      </c>
      <c r="I56" s="1" t="s">
        <v>64</v>
      </c>
      <c r="J56" s="1" t="s">
        <v>78</v>
      </c>
      <c r="K56" s="1" t="s">
        <v>47</v>
      </c>
      <c r="L56" s="1" t="s">
        <v>23</v>
      </c>
      <c r="M56" s="1" t="s">
        <v>42</v>
      </c>
      <c r="O56" s="1" t="s">
        <v>35</v>
      </c>
      <c r="P56" s="1" t="s">
        <v>26</v>
      </c>
      <c r="Q56" s="1" t="n">
        <v>3</v>
      </c>
    </row>
    <row r="57" customFormat="false" ht="15" hidden="false" customHeight="true" outlineLevel="0" collapsed="false">
      <c r="A57" s="1" t="s">
        <v>173</v>
      </c>
      <c r="B57" s="1" t="s">
        <v>174</v>
      </c>
      <c r="C57" s="1" t="s">
        <v>39</v>
      </c>
      <c r="E57" s="1" t="n">
        <v>90</v>
      </c>
      <c r="F57" s="1" t="n">
        <v>10</v>
      </c>
      <c r="G57" s="1" t="n">
        <v>30</v>
      </c>
      <c r="H57" s="1" t="n">
        <v>80</v>
      </c>
      <c r="I57" s="1" t="s">
        <v>40</v>
      </c>
      <c r="J57" s="1" t="s">
        <v>109</v>
      </c>
      <c r="K57" s="1" t="s">
        <v>47</v>
      </c>
      <c r="L57" s="1" t="s">
        <v>32</v>
      </c>
      <c r="M57" s="1" t="s">
        <v>33</v>
      </c>
      <c r="N57" s="1" t="s">
        <v>52</v>
      </c>
      <c r="O57" s="1" t="s">
        <v>43</v>
      </c>
      <c r="P57" s="1" t="s">
        <v>26</v>
      </c>
      <c r="Q57" s="1" t="n">
        <v>2</v>
      </c>
    </row>
    <row r="58" customFormat="false" ht="15" hidden="false" customHeight="true" outlineLevel="0" collapsed="false">
      <c r="A58" s="1" t="s">
        <v>175</v>
      </c>
      <c r="B58" s="1" t="s">
        <v>176</v>
      </c>
      <c r="C58" s="1" t="s">
        <v>46</v>
      </c>
      <c r="E58" s="1" t="n">
        <v>70</v>
      </c>
      <c r="F58" s="1" t="n">
        <v>70</v>
      </c>
      <c r="G58" s="1" t="n">
        <v>20</v>
      </c>
      <c r="H58" s="1" t="n">
        <v>40</v>
      </c>
      <c r="I58" s="1" t="s">
        <v>50</v>
      </c>
      <c r="J58" s="1" t="s">
        <v>57</v>
      </c>
      <c r="K58" s="1" t="s">
        <v>47</v>
      </c>
      <c r="L58" s="1" t="s">
        <v>23</v>
      </c>
      <c r="M58" s="1" t="s">
        <v>52</v>
      </c>
      <c r="O58" s="1" t="s">
        <v>35</v>
      </c>
      <c r="P58" s="1" t="s">
        <v>26</v>
      </c>
      <c r="Q58" s="1" t="n">
        <v>3</v>
      </c>
    </row>
    <row r="59" customFormat="false" ht="15" hidden="false" customHeight="true" outlineLevel="0" collapsed="false">
      <c r="A59" s="1" t="s">
        <v>177</v>
      </c>
      <c r="B59" s="1" t="s">
        <v>178</v>
      </c>
      <c r="C59" s="1" t="s">
        <v>29</v>
      </c>
      <c r="E59" s="1" t="n">
        <v>30</v>
      </c>
      <c r="F59" s="1" t="n">
        <v>50</v>
      </c>
      <c r="G59" s="1" t="n">
        <v>60</v>
      </c>
      <c r="H59" s="1" t="n">
        <v>40</v>
      </c>
      <c r="I59" s="1" t="s">
        <v>97</v>
      </c>
      <c r="J59" s="1" t="s">
        <v>31</v>
      </c>
      <c r="K59" s="1" t="s">
        <v>22</v>
      </c>
      <c r="L59" s="1" t="s">
        <v>32</v>
      </c>
      <c r="M59" s="1" t="s">
        <v>33</v>
      </c>
      <c r="N59" s="1" t="s">
        <v>34</v>
      </c>
      <c r="O59" s="1" t="s">
        <v>43</v>
      </c>
      <c r="P59" s="1" t="s">
        <v>36</v>
      </c>
      <c r="Q59" s="1" t="n">
        <v>2</v>
      </c>
    </row>
    <row r="60" customFormat="false" ht="15" hidden="false" customHeight="true" outlineLevel="0" collapsed="false">
      <c r="A60" s="1" t="s">
        <v>179</v>
      </c>
      <c r="B60" s="1" t="s">
        <v>180</v>
      </c>
      <c r="C60" s="1" t="s">
        <v>55</v>
      </c>
      <c r="E60" s="1" t="n">
        <v>20</v>
      </c>
      <c r="F60" s="1" t="n">
        <v>20</v>
      </c>
      <c r="G60" s="1" t="n">
        <v>100</v>
      </c>
      <c r="H60" s="1" t="n">
        <v>30</v>
      </c>
      <c r="I60" s="1" t="s">
        <v>30</v>
      </c>
      <c r="J60" s="1" t="s">
        <v>78</v>
      </c>
      <c r="K60" s="1" t="s">
        <v>47</v>
      </c>
      <c r="L60" s="1" t="s">
        <v>32</v>
      </c>
      <c r="M60" s="1" t="s">
        <v>34</v>
      </c>
      <c r="O60" s="1" t="s">
        <v>74</v>
      </c>
      <c r="P60" s="1" t="s">
        <v>26</v>
      </c>
      <c r="Q60" s="1" t="n">
        <v>4</v>
      </c>
    </row>
    <row r="61" customFormat="false" ht="15" hidden="false" customHeight="true" outlineLevel="0" collapsed="false">
      <c r="A61" s="1" t="s">
        <v>181</v>
      </c>
      <c r="B61" s="1" t="s">
        <v>182</v>
      </c>
      <c r="C61" s="1" t="s">
        <v>19</v>
      </c>
      <c r="E61" s="1" t="n">
        <v>70</v>
      </c>
      <c r="F61" s="1" t="n">
        <v>80</v>
      </c>
      <c r="G61" s="1" t="n">
        <v>20</v>
      </c>
      <c r="H61" s="1" t="n">
        <v>10</v>
      </c>
      <c r="I61" s="1" t="s">
        <v>64</v>
      </c>
      <c r="J61" s="1" t="s">
        <v>56</v>
      </c>
      <c r="K61" s="1" t="s">
        <v>22</v>
      </c>
      <c r="L61" s="1" t="s">
        <v>23</v>
      </c>
      <c r="M61" s="1" t="s">
        <v>24</v>
      </c>
      <c r="O61" s="1" t="s">
        <v>25</v>
      </c>
      <c r="P61" s="1" t="s">
        <v>26</v>
      </c>
      <c r="Q61" s="1" t="n">
        <v>5</v>
      </c>
    </row>
    <row r="62" customFormat="false" ht="15" hidden="false" customHeight="true" outlineLevel="0" collapsed="false">
      <c r="A62" s="1" t="s">
        <v>183</v>
      </c>
      <c r="B62" s="1" t="s">
        <v>184</v>
      </c>
      <c r="C62" s="1" t="s">
        <v>46</v>
      </c>
      <c r="E62" s="1" t="n">
        <v>80</v>
      </c>
      <c r="F62" s="1" t="n">
        <v>20</v>
      </c>
      <c r="G62" s="1" t="n">
        <v>40</v>
      </c>
      <c r="H62" s="1" t="n">
        <v>30</v>
      </c>
      <c r="I62" s="1" t="s">
        <v>50</v>
      </c>
      <c r="J62" s="1" t="s">
        <v>20</v>
      </c>
      <c r="K62" s="1" t="s">
        <v>47</v>
      </c>
      <c r="L62" s="1" t="s">
        <v>23</v>
      </c>
      <c r="M62" s="1" t="s">
        <v>52</v>
      </c>
      <c r="O62" s="1" t="s">
        <v>35</v>
      </c>
      <c r="P62" s="1" t="s">
        <v>26</v>
      </c>
      <c r="Q62" s="1" t="n">
        <v>3</v>
      </c>
    </row>
    <row r="63" customFormat="false" ht="15" hidden="false" customHeight="true" outlineLevel="0" collapsed="false">
      <c r="A63" s="1" t="s">
        <v>185</v>
      </c>
      <c r="B63" s="1" t="s">
        <v>186</v>
      </c>
      <c r="C63" s="1" t="s">
        <v>77</v>
      </c>
      <c r="D63" s="1" t="s">
        <v>29</v>
      </c>
      <c r="E63" s="1" t="n">
        <v>60</v>
      </c>
      <c r="F63" s="1" t="n">
        <v>60</v>
      </c>
      <c r="G63" s="1" t="n">
        <v>30</v>
      </c>
      <c r="H63" s="1" t="n">
        <v>70</v>
      </c>
      <c r="I63" s="1" t="s">
        <v>41</v>
      </c>
      <c r="J63" s="1" t="s">
        <v>40</v>
      </c>
      <c r="K63" s="1" t="s">
        <v>47</v>
      </c>
      <c r="L63" s="1" t="s">
        <v>32</v>
      </c>
      <c r="M63" s="1" t="s">
        <v>42</v>
      </c>
      <c r="O63" s="1" t="s">
        <v>43</v>
      </c>
      <c r="P63" s="1" t="s">
        <v>26</v>
      </c>
      <c r="Q63" s="1" t="n">
        <v>2</v>
      </c>
    </row>
    <row r="64" customFormat="false" ht="15" hidden="false" customHeight="true" outlineLevel="0" collapsed="false">
      <c r="A64" s="1" t="s">
        <v>187</v>
      </c>
      <c r="B64" s="1" t="s">
        <v>188</v>
      </c>
      <c r="C64" s="1" t="s">
        <v>39</v>
      </c>
      <c r="D64" s="1" t="s">
        <v>46</v>
      </c>
      <c r="E64" s="1" t="n">
        <v>70</v>
      </c>
      <c r="F64" s="1" t="n">
        <v>100</v>
      </c>
      <c r="G64" s="1" t="n">
        <v>30</v>
      </c>
      <c r="H64" s="1" t="n">
        <v>70</v>
      </c>
      <c r="I64" s="1" t="s">
        <v>104</v>
      </c>
      <c r="J64" s="1" t="s">
        <v>40</v>
      </c>
      <c r="K64" s="1" t="s">
        <v>47</v>
      </c>
      <c r="L64" s="1" t="s">
        <v>120</v>
      </c>
      <c r="M64" s="1" t="s">
        <v>52</v>
      </c>
      <c r="N64" s="1" t="s">
        <v>42</v>
      </c>
      <c r="O64" s="1" t="s">
        <v>43</v>
      </c>
      <c r="P64" s="1" t="s">
        <v>26</v>
      </c>
      <c r="Q64" s="1" t="n">
        <v>2</v>
      </c>
    </row>
    <row r="65" customFormat="false" ht="15" hidden="false" customHeight="true" outlineLevel="0" collapsed="false">
      <c r="A65" s="1" t="s">
        <v>189</v>
      </c>
      <c r="B65" s="1" t="s">
        <v>190</v>
      </c>
      <c r="C65" s="1" t="s">
        <v>29</v>
      </c>
      <c r="E65" s="1" t="n">
        <v>30</v>
      </c>
      <c r="F65" s="1" t="n">
        <v>50</v>
      </c>
      <c r="G65" s="1" t="n">
        <v>70</v>
      </c>
      <c r="H65" s="1" t="n">
        <v>60</v>
      </c>
      <c r="I65" s="1" t="s">
        <v>125</v>
      </c>
      <c r="J65" s="1" t="s">
        <v>40</v>
      </c>
      <c r="K65" s="1" t="s">
        <v>22</v>
      </c>
      <c r="L65" s="1" t="s">
        <v>32</v>
      </c>
      <c r="M65" s="1" t="s">
        <v>34</v>
      </c>
      <c r="O65" s="1" t="s">
        <v>25</v>
      </c>
      <c r="P65" s="1" t="s">
        <v>26</v>
      </c>
      <c r="Q65" s="1" t="n">
        <v>5</v>
      </c>
    </row>
    <row r="66" customFormat="false" ht="15" hidden="false" customHeight="true" outlineLevel="0" collapsed="false">
      <c r="A66" s="1" t="s">
        <v>191</v>
      </c>
      <c r="B66" s="1" t="s">
        <v>192</v>
      </c>
      <c r="C66" s="1" t="s">
        <v>19</v>
      </c>
      <c r="E66" s="1" t="n">
        <v>60</v>
      </c>
      <c r="F66" s="1" t="n">
        <v>10</v>
      </c>
      <c r="G66" s="1" t="n">
        <v>30</v>
      </c>
      <c r="H66" s="1" t="n">
        <v>60</v>
      </c>
      <c r="I66" s="1" t="s">
        <v>86</v>
      </c>
      <c r="J66" s="1" t="s">
        <v>21</v>
      </c>
      <c r="K66" s="1" t="s">
        <v>22</v>
      </c>
      <c r="L66" s="1" t="s">
        <v>23</v>
      </c>
      <c r="M66" s="1" t="s">
        <v>24</v>
      </c>
      <c r="O66" s="1" t="s">
        <v>25</v>
      </c>
      <c r="P66" s="1" t="s">
        <v>26</v>
      </c>
      <c r="Q66" s="1" t="n">
        <v>5</v>
      </c>
    </row>
    <row r="67" customFormat="false" ht="15" hidden="false" customHeight="true" outlineLevel="0" collapsed="false">
      <c r="A67" s="1" t="s">
        <v>193</v>
      </c>
      <c r="B67" s="1" t="s">
        <v>194</v>
      </c>
      <c r="C67" s="1" t="s">
        <v>46</v>
      </c>
      <c r="E67" s="1" t="n">
        <v>100</v>
      </c>
      <c r="F67" s="1" t="n">
        <v>70</v>
      </c>
      <c r="G67" s="1" t="n">
        <v>20</v>
      </c>
      <c r="H67" s="1" t="n">
        <v>20</v>
      </c>
      <c r="I67" s="1" t="s">
        <v>21</v>
      </c>
      <c r="J67" s="1" t="s">
        <v>57</v>
      </c>
      <c r="K67" s="1" t="s">
        <v>47</v>
      </c>
      <c r="L67" s="1" t="s">
        <v>23</v>
      </c>
      <c r="M67" s="1" t="s">
        <v>52</v>
      </c>
      <c r="O67" s="1" t="s">
        <v>35</v>
      </c>
      <c r="P67" s="1" t="s">
        <v>26</v>
      </c>
      <c r="Q67" s="1" t="n">
        <v>3</v>
      </c>
    </row>
    <row r="68" customFormat="false" ht="15" hidden="false" customHeight="true" outlineLevel="0" collapsed="false">
      <c r="A68" s="1" t="s">
        <v>195</v>
      </c>
      <c r="B68" s="1" t="s">
        <v>196</v>
      </c>
      <c r="C68" s="1" t="s">
        <v>29</v>
      </c>
      <c r="E68" s="1" t="n">
        <v>50</v>
      </c>
      <c r="F68" s="1" t="n">
        <v>30</v>
      </c>
      <c r="G68" s="1" t="n">
        <v>70</v>
      </c>
      <c r="H68" s="1" t="n">
        <v>60</v>
      </c>
      <c r="I68" s="1" t="s">
        <v>64</v>
      </c>
      <c r="J68" s="1" t="s">
        <v>20</v>
      </c>
      <c r="K68" s="1" t="s">
        <v>22</v>
      </c>
      <c r="L68" s="1" t="s">
        <v>32</v>
      </c>
      <c r="M68" s="1" t="s">
        <v>33</v>
      </c>
      <c r="O68" s="1" t="s">
        <v>35</v>
      </c>
      <c r="P68" s="1" t="s">
        <v>36</v>
      </c>
      <c r="Q68" s="1" t="n">
        <v>3</v>
      </c>
    </row>
    <row r="69" customFormat="false" ht="15" hidden="false" customHeight="true" outlineLevel="0" collapsed="false">
      <c r="A69" s="1" t="s">
        <v>197</v>
      </c>
      <c r="B69" s="1" t="s">
        <v>198</v>
      </c>
      <c r="C69" s="1" t="s">
        <v>46</v>
      </c>
      <c r="E69" s="1" t="n">
        <v>90</v>
      </c>
      <c r="F69" s="1" t="n">
        <v>20</v>
      </c>
      <c r="G69" s="1" t="n">
        <v>30</v>
      </c>
      <c r="H69" s="1" t="n">
        <v>90</v>
      </c>
      <c r="I69" s="1" t="s">
        <v>40</v>
      </c>
      <c r="J69" s="1" t="s">
        <v>97</v>
      </c>
      <c r="K69" s="1" t="s">
        <v>47</v>
      </c>
      <c r="L69" s="1" t="s">
        <v>23</v>
      </c>
      <c r="M69" s="1" t="s">
        <v>52</v>
      </c>
      <c r="O69" s="1" t="s">
        <v>25</v>
      </c>
      <c r="P69" s="1" t="s">
        <v>26</v>
      </c>
      <c r="Q69" s="1" t="n">
        <v>5</v>
      </c>
    </row>
    <row r="70" customFormat="false" ht="15" hidden="false" customHeight="true" outlineLevel="0" collapsed="false">
      <c r="A70" s="1" t="s">
        <v>199</v>
      </c>
      <c r="B70" s="1" t="s">
        <v>200</v>
      </c>
      <c r="C70" s="1" t="s">
        <v>39</v>
      </c>
      <c r="E70" s="1" t="n">
        <v>80</v>
      </c>
      <c r="F70" s="1" t="n">
        <v>20</v>
      </c>
      <c r="G70" s="1" t="n">
        <v>70</v>
      </c>
      <c r="H70" s="1" t="n">
        <v>80</v>
      </c>
      <c r="I70" s="1" t="s">
        <v>40</v>
      </c>
      <c r="J70" s="1" t="s">
        <v>104</v>
      </c>
      <c r="K70" s="1" t="s">
        <v>22</v>
      </c>
      <c r="L70" s="1" t="s">
        <v>32</v>
      </c>
      <c r="M70" s="1" t="s">
        <v>33</v>
      </c>
      <c r="O70" s="1" t="s">
        <v>35</v>
      </c>
      <c r="P70" s="1" t="s">
        <v>88</v>
      </c>
      <c r="Q70" s="1" t="n">
        <v>3</v>
      </c>
    </row>
    <row r="71" customFormat="false" ht="15" hidden="false" customHeight="true" outlineLevel="0" collapsed="false">
      <c r="A71" s="1" t="s">
        <v>201</v>
      </c>
      <c r="B71" s="1" t="s">
        <v>202</v>
      </c>
      <c r="C71" s="1" t="s">
        <v>55</v>
      </c>
      <c r="E71" s="1" t="n">
        <v>40</v>
      </c>
      <c r="F71" s="1" t="n">
        <v>100</v>
      </c>
      <c r="G71" s="1" t="n">
        <v>90</v>
      </c>
      <c r="H71" s="1" t="n">
        <v>10</v>
      </c>
      <c r="I71" s="1" t="s">
        <v>30</v>
      </c>
      <c r="J71" s="1" t="s">
        <v>56</v>
      </c>
      <c r="K71" s="1" t="s">
        <v>47</v>
      </c>
      <c r="L71" s="1" t="s">
        <v>32</v>
      </c>
      <c r="M71" s="1" t="s">
        <v>42</v>
      </c>
      <c r="O71" s="1" t="s">
        <v>74</v>
      </c>
      <c r="P71" s="1" t="s">
        <v>26</v>
      </c>
      <c r="Q71" s="1" t="n">
        <v>4</v>
      </c>
    </row>
    <row r="72" customFormat="false" ht="15" hidden="false" customHeight="true" outlineLevel="0" collapsed="false">
      <c r="A72" s="1" t="s">
        <v>203</v>
      </c>
      <c r="B72" s="1" t="s">
        <v>204</v>
      </c>
      <c r="C72" s="1" t="s">
        <v>19</v>
      </c>
      <c r="D72" s="1" t="s">
        <v>46</v>
      </c>
      <c r="E72" s="1" t="n">
        <v>100</v>
      </c>
      <c r="F72" s="1" t="n">
        <v>10</v>
      </c>
      <c r="G72" s="1" t="n">
        <v>20</v>
      </c>
      <c r="H72" s="1" t="n">
        <v>90</v>
      </c>
      <c r="I72" s="1" t="s">
        <v>20</v>
      </c>
      <c r="J72" s="1" t="s">
        <v>50</v>
      </c>
      <c r="K72" s="1" t="s">
        <v>47</v>
      </c>
      <c r="L72" s="1" t="s">
        <v>23</v>
      </c>
      <c r="M72" s="1" t="s">
        <v>52</v>
      </c>
      <c r="N72" s="1" t="s">
        <v>24</v>
      </c>
      <c r="O72" s="1" t="s">
        <v>35</v>
      </c>
      <c r="P72" s="1" t="s">
        <v>36</v>
      </c>
      <c r="Q72" s="1" t="n">
        <v>3</v>
      </c>
    </row>
    <row r="73" customFormat="false" ht="15" hidden="false" customHeight="true" outlineLevel="0" collapsed="false">
      <c r="A73" s="1" t="s">
        <v>205</v>
      </c>
      <c r="B73" s="1" t="s">
        <v>206</v>
      </c>
      <c r="C73" s="1" t="s">
        <v>29</v>
      </c>
      <c r="E73" s="1" t="n">
        <v>40</v>
      </c>
      <c r="F73" s="1" t="n">
        <v>20</v>
      </c>
      <c r="G73" s="1" t="n">
        <v>70</v>
      </c>
      <c r="H73" s="1" t="n">
        <v>40</v>
      </c>
      <c r="I73" s="1" t="s">
        <v>30</v>
      </c>
      <c r="J73" s="1" t="s">
        <v>20</v>
      </c>
      <c r="K73" s="1" t="s">
        <v>22</v>
      </c>
      <c r="L73" s="1" t="s">
        <v>32</v>
      </c>
      <c r="M73" s="1" t="s">
        <v>34</v>
      </c>
      <c r="O73" s="1" t="s">
        <v>35</v>
      </c>
      <c r="P73" s="1" t="s">
        <v>36</v>
      </c>
      <c r="Q73" s="1" t="n">
        <v>3</v>
      </c>
    </row>
    <row r="74" customFormat="false" ht="15" hidden="false" customHeight="true" outlineLevel="0" collapsed="false">
      <c r="A74" s="1" t="s">
        <v>207</v>
      </c>
      <c r="B74" s="1" t="s">
        <v>208</v>
      </c>
      <c r="C74" s="1" t="s">
        <v>46</v>
      </c>
      <c r="E74" s="1" t="n">
        <v>50</v>
      </c>
      <c r="F74" s="1" t="n">
        <v>10</v>
      </c>
      <c r="G74" s="1" t="n">
        <v>40</v>
      </c>
      <c r="H74" s="1" t="n">
        <v>50</v>
      </c>
      <c r="I74" s="1" t="s">
        <v>64</v>
      </c>
      <c r="J74" s="1" t="s">
        <v>109</v>
      </c>
      <c r="K74" s="1" t="s">
        <v>47</v>
      </c>
      <c r="L74" s="1" t="s">
        <v>23</v>
      </c>
      <c r="M74" s="1" t="s">
        <v>24</v>
      </c>
      <c r="N74" s="1" t="s">
        <v>33</v>
      </c>
      <c r="O74" s="1" t="s">
        <v>35</v>
      </c>
      <c r="P74" s="1" t="s">
        <v>26</v>
      </c>
      <c r="Q74" s="1" t="n">
        <v>3</v>
      </c>
    </row>
    <row r="75" customFormat="false" ht="15" hidden="false" customHeight="true" outlineLevel="0" collapsed="false">
      <c r="A75" s="1" t="s">
        <v>209</v>
      </c>
      <c r="B75" s="1" t="s">
        <v>210</v>
      </c>
      <c r="C75" s="1" t="s">
        <v>29</v>
      </c>
      <c r="E75" s="1" t="n">
        <v>40</v>
      </c>
      <c r="F75" s="1" t="n">
        <v>80</v>
      </c>
      <c r="G75" s="1" t="n">
        <v>60</v>
      </c>
      <c r="H75" s="1" t="n">
        <v>40</v>
      </c>
      <c r="I75" s="1" t="s">
        <v>57</v>
      </c>
      <c r="J75" s="1" t="s">
        <v>56</v>
      </c>
      <c r="K75" s="1" t="s">
        <v>22</v>
      </c>
      <c r="L75" s="1" t="s">
        <v>32</v>
      </c>
      <c r="M75" s="1" t="s">
        <v>34</v>
      </c>
      <c r="N75" s="1" t="s">
        <v>42</v>
      </c>
      <c r="O75" s="1" t="s">
        <v>35</v>
      </c>
      <c r="P75" s="1" t="s">
        <v>26</v>
      </c>
      <c r="Q75" s="1" t="n">
        <v>3</v>
      </c>
    </row>
    <row r="76" customFormat="false" ht="15" hidden="false" customHeight="true" outlineLevel="0" collapsed="false">
      <c r="A76" s="1" t="s">
        <v>211</v>
      </c>
      <c r="B76" s="1" t="s">
        <v>212</v>
      </c>
      <c r="C76" s="1" t="s">
        <v>46</v>
      </c>
      <c r="D76" s="1" t="s">
        <v>39</v>
      </c>
      <c r="E76" s="1" t="n">
        <v>80</v>
      </c>
      <c r="F76" s="1" t="n">
        <v>80</v>
      </c>
      <c r="G76" s="1" t="n">
        <v>40</v>
      </c>
      <c r="H76" s="1" t="n">
        <v>60</v>
      </c>
      <c r="I76" s="1" t="s">
        <v>40</v>
      </c>
      <c r="J76" s="1" t="s">
        <v>97</v>
      </c>
      <c r="K76" s="1" t="s">
        <v>47</v>
      </c>
      <c r="L76" s="1" t="s">
        <v>23</v>
      </c>
      <c r="M76" s="1" t="s">
        <v>52</v>
      </c>
      <c r="O76" s="1" t="s">
        <v>43</v>
      </c>
      <c r="P76" s="1" t="s">
        <v>26</v>
      </c>
      <c r="Q76" s="1" t="n">
        <v>2</v>
      </c>
    </row>
    <row r="77" customFormat="false" ht="15" hidden="false" customHeight="true" outlineLevel="0" collapsed="false">
      <c r="A77" s="1" t="s">
        <v>213</v>
      </c>
      <c r="B77" s="1" t="s">
        <v>214</v>
      </c>
      <c r="C77" s="1" t="s">
        <v>77</v>
      </c>
      <c r="D77" s="1" t="s">
        <v>46</v>
      </c>
      <c r="E77" s="1" t="n">
        <v>60</v>
      </c>
      <c r="F77" s="1" t="n">
        <v>10</v>
      </c>
      <c r="G77" s="1" t="n">
        <v>40</v>
      </c>
      <c r="H77" s="1" t="n">
        <v>40</v>
      </c>
      <c r="I77" s="1" t="s">
        <v>78</v>
      </c>
      <c r="J77" s="1" t="s">
        <v>21</v>
      </c>
      <c r="K77" s="1" t="s">
        <v>47</v>
      </c>
      <c r="L77" s="1" t="s">
        <v>23</v>
      </c>
      <c r="M77" s="1" t="s">
        <v>52</v>
      </c>
      <c r="N77" s="1" t="s">
        <v>42</v>
      </c>
      <c r="O77" s="1" t="s">
        <v>25</v>
      </c>
      <c r="P77" s="1" t="s">
        <v>26</v>
      </c>
      <c r="Q77" s="1" t="n">
        <v>5</v>
      </c>
    </row>
    <row r="78" customFormat="false" ht="15" hidden="false" customHeight="true" outlineLevel="0" collapsed="false">
      <c r="A78" s="1" t="s">
        <v>215</v>
      </c>
      <c r="B78" s="1" t="s">
        <v>216</v>
      </c>
      <c r="C78" s="1" t="s">
        <v>29</v>
      </c>
      <c r="E78" s="1" t="n">
        <v>70</v>
      </c>
      <c r="F78" s="1" t="n">
        <v>50</v>
      </c>
      <c r="G78" s="1" t="n">
        <v>40</v>
      </c>
      <c r="H78" s="1" t="n">
        <v>10</v>
      </c>
      <c r="I78" s="1" t="s">
        <v>57</v>
      </c>
      <c r="J78" s="1" t="s">
        <v>40</v>
      </c>
      <c r="K78" s="1" t="s">
        <v>22</v>
      </c>
      <c r="L78" s="1" t="s">
        <v>32</v>
      </c>
      <c r="M78" s="1" t="s">
        <v>42</v>
      </c>
      <c r="N78" s="1" t="s">
        <v>34</v>
      </c>
      <c r="O78" s="1" t="s">
        <v>43</v>
      </c>
      <c r="P78" s="1" t="s">
        <v>36</v>
      </c>
      <c r="Q78" s="1" t="n">
        <v>2</v>
      </c>
    </row>
    <row r="79" customFormat="false" ht="15" hidden="false" customHeight="true" outlineLevel="0" collapsed="false">
      <c r="A79" s="1" t="s">
        <v>217</v>
      </c>
      <c r="B79" s="1" t="s">
        <v>218</v>
      </c>
      <c r="C79" s="1" t="s">
        <v>55</v>
      </c>
      <c r="E79" s="1" t="n">
        <v>20</v>
      </c>
      <c r="F79" s="1" t="n">
        <v>100</v>
      </c>
      <c r="G79" s="1" t="n">
        <v>90</v>
      </c>
      <c r="H79" s="1" t="n">
        <v>50</v>
      </c>
      <c r="I79" s="1" t="s">
        <v>57</v>
      </c>
      <c r="J79" s="1" t="s">
        <v>144</v>
      </c>
      <c r="K79" s="1" t="s">
        <v>69</v>
      </c>
      <c r="L79" s="1" t="s">
        <v>120</v>
      </c>
      <c r="M79" s="1" t="s">
        <v>42</v>
      </c>
      <c r="O79" s="1" t="s">
        <v>43</v>
      </c>
      <c r="P79" s="1" t="s">
        <v>26</v>
      </c>
      <c r="Q79" s="1" t="n">
        <v>2</v>
      </c>
    </row>
    <row r="80" customFormat="false" ht="15" hidden="false" customHeight="true" outlineLevel="0" collapsed="false">
      <c r="A80" s="1" t="s">
        <v>219</v>
      </c>
      <c r="B80" s="1" t="s">
        <v>220</v>
      </c>
      <c r="C80" s="1" t="s">
        <v>19</v>
      </c>
      <c r="E80" s="1" t="n">
        <v>70</v>
      </c>
      <c r="F80" s="1" t="n">
        <v>10</v>
      </c>
      <c r="G80" s="1" t="n">
        <v>30</v>
      </c>
      <c r="H80" s="1" t="n">
        <v>40</v>
      </c>
      <c r="I80" s="1" t="s">
        <v>40</v>
      </c>
      <c r="J80" s="1" t="s">
        <v>109</v>
      </c>
      <c r="K80" s="1" t="s">
        <v>22</v>
      </c>
      <c r="L80" s="1" t="s">
        <v>23</v>
      </c>
      <c r="M80" s="1" t="s">
        <v>24</v>
      </c>
      <c r="O80" s="1" t="s">
        <v>74</v>
      </c>
      <c r="P80" s="1" t="s">
        <v>88</v>
      </c>
      <c r="Q80" s="1" t="n">
        <v>4</v>
      </c>
    </row>
    <row r="81" customFormat="false" ht="15" hidden="false" customHeight="true" outlineLevel="0" collapsed="false">
      <c r="A81" s="1" t="s">
        <v>221</v>
      </c>
      <c r="B81" s="1" t="s">
        <v>222</v>
      </c>
      <c r="C81" s="1" t="s">
        <v>29</v>
      </c>
      <c r="E81" s="1" t="n">
        <v>50</v>
      </c>
      <c r="F81" s="1" t="n">
        <v>70</v>
      </c>
      <c r="G81" s="1" t="n">
        <v>40</v>
      </c>
      <c r="H81" s="1" t="n">
        <v>40</v>
      </c>
      <c r="I81" s="1" t="s">
        <v>57</v>
      </c>
      <c r="J81" s="1" t="s">
        <v>40</v>
      </c>
      <c r="K81" s="1" t="s">
        <v>47</v>
      </c>
      <c r="L81" s="1" t="s">
        <v>32</v>
      </c>
      <c r="M81" s="1" t="s">
        <v>34</v>
      </c>
      <c r="O81" s="1" t="s">
        <v>35</v>
      </c>
      <c r="P81" s="1" t="s">
        <v>36</v>
      </c>
      <c r="Q81" s="1" t="n">
        <v>3</v>
      </c>
    </row>
    <row r="82" customFormat="false" ht="15" hidden="false" customHeight="true" outlineLevel="0" collapsed="false">
      <c r="A82" s="1" t="s">
        <v>223</v>
      </c>
      <c r="B82" s="1" t="s">
        <v>224</v>
      </c>
      <c r="C82" s="1" t="s">
        <v>46</v>
      </c>
      <c r="E82" s="1" t="n">
        <v>30</v>
      </c>
      <c r="F82" s="1" t="n">
        <v>60</v>
      </c>
      <c r="G82" s="1" t="n">
        <v>90</v>
      </c>
      <c r="H82" s="1" t="n">
        <v>60</v>
      </c>
      <c r="I82" s="1" t="s">
        <v>64</v>
      </c>
      <c r="J82" s="1" t="s">
        <v>30</v>
      </c>
      <c r="K82" s="1" t="s">
        <v>69</v>
      </c>
      <c r="L82" s="1" t="s">
        <v>32</v>
      </c>
      <c r="M82" s="1" t="s">
        <v>34</v>
      </c>
      <c r="O82" s="1" t="s">
        <v>35</v>
      </c>
      <c r="P82" s="1" t="s">
        <v>26</v>
      </c>
      <c r="Q82" s="1" t="n">
        <v>3</v>
      </c>
    </row>
    <row r="83" customFormat="false" ht="15" hidden="false" customHeight="true" outlineLevel="0" collapsed="false">
      <c r="A83" s="1" t="s">
        <v>225</v>
      </c>
      <c r="B83" s="1" t="s">
        <v>226</v>
      </c>
      <c r="C83" s="1" t="s">
        <v>29</v>
      </c>
      <c r="D83" s="1" t="s">
        <v>55</v>
      </c>
      <c r="E83" s="1" t="n">
        <v>30</v>
      </c>
      <c r="F83" s="1" t="n">
        <v>40</v>
      </c>
      <c r="G83" s="1" t="n">
        <v>90</v>
      </c>
      <c r="H83" s="1" t="n">
        <v>20</v>
      </c>
      <c r="I83" s="1" t="s">
        <v>144</v>
      </c>
      <c r="J83" s="1" t="s">
        <v>21</v>
      </c>
      <c r="K83" s="1" t="s">
        <v>22</v>
      </c>
      <c r="L83" s="1" t="s">
        <v>32</v>
      </c>
      <c r="M83" s="1" t="s">
        <v>34</v>
      </c>
      <c r="O83" s="1" t="s">
        <v>35</v>
      </c>
      <c r="P83" s="1" t="s">
        <v>36</v>
      </c>
      <c r="Q83" s="1" t="n">
        <v>3</v>
      </c>
    </row>
    <row r="84" customFormat="false" ht="15" hidden="false" customHeight="true" outlineLevel="0" collapsed="false">
      <c r="A84" s="1" t="s">
        <v>227</v>
      </c>
      <c r="B84" s="1" t="s">
        <v>228</v>
      </c>
      <c r="C84" s="1" t="s">
        <v>29</v>
      </c>
      <c r="E84" s="1" t="n">
        <v>30</v>
      </c>
      <c r="F84" s="1" t="n">
        <v>10</v>
      </c>
      <c r="G84" s="1" t="n">
        <v>80</v>
      </c>
      <c r="H84" s="1" t="n">
        <v>40</v>
      </c>
      <c r="I84" s="1" t="s">
        <v>115</v>
      </c>
      <c r="J84" s="1" t="s">
        <v>30</v>
      </c>
      <c r="K84" s="1" t="s">
        <v>22</v>
      </c>
      <c r="L84" s="1" t="s">
        <v>120</v>
      </c>
      <c r="M84" s="1" t="s">
        <v>34</v>
      </c>
      <c r="O84" s="1" t="s">
        <v>35</v>
      </c>
      <c r="P84" s="1" t="s">
        <v>36</v>
      </c>
      <c r="Q84" s="1" t="n">
        <v>3</v>
      </c>
    </row>
    <row r="85" customFormat="false" ht="15" hidden="false" customHeight="true" outlineLevel="0" collapsed="false">
      <c r="A85" s="1" t="s">
        <v>229</v>
      </c>
      <c r="B85" s="1" t="s">
        <v>230</v>
      </c>
      <c r="C85" s="1" t="s">
        <v>39</v>
      </c>
      <c r="E85" s="1" t="n">
        <v>60</v>
      </c>
      <c r="F85" s="1" t="n">
        <v>30</v>
      </c>
      <c r="G85" s="1" t="n">
        <v>50</v>
      </c>
      <c r="H85" s="1" t="n">
        <v>70</v>
      </c>
      <c r="I85" s="1" t="s">
        <v>86</v>
      </c>
      <c r="J85" s="1" t="s">
        <v>40</v>
      </c>
      <c r="K85" s="1" t="s">
        <v>22</v>
      </c>
      <c r="L85" s="1" t="s">
        <v>32</v>
      </c>
      <c r="M85" s="1" t="s">
        <v>33</v>
      </c>
      <c r="O85" s="1" t="s">
        <v>43</v>
      </c>
      <c r="P85" s="1" t="s">
        <v>88</v>
      </c>
      <c r="Q85" s="1" t="n">
        <v>2</v>
      </c>
    </row>
    <row r="86" customFormat="false" ht="15" hidden="false" customHeight="true" outlineLevel="0" collapsed="false">
      <c r="A86" s="1" t="s">
        <v>231</v>
      </c>
      <c r="B86" s="1" t="s">
        <v>232</v>
      </c>
      <c r="C86" s="1" t="s">
        <v>29</v>
      </c>
      <c r="E86" s="1" t="n">
        <v>50</v>
      </c>
      <c r="F86" s="1" t="n">
        <v>20</v>
      </c>
      <c r="G86" s="1" t="n">
        <v>50</v>
      </c>
      <c r="H86" s="1" t="n">
        <v>40</v>
      </c>
      <c r="I86" s="1" t="s">
        <v>40</v>
      </c>
      <c r="J86" s="1" t="s">
        <v>30</v>
      </c>
      <c r="K86" s="1" t="s">
        <v>22</v>
      </c>
      <c r="L86" s="1" t="s">
        <v>32</v>
      </c>
      <c r="M86" s="1" t="s">
        <v>34</v>
      </c>
      <c r="N86" s="1" t="s">
        <v>33</v>
      </c>
      <c r="O86" s="1" t="s">
        <v>35</v>
      </c>
      <c r="P86" s="1" t="s">
        <v>36</v>
      </c>
      <c r="Q86" s="1" t="n">
        <v>3</v>
      </c>
    </row>
    <row r="87" customFormat="false" ht="15" hidden="false" customHeight="true" outlineLevel="0" collapsed="false">
      <c r="A87" s="1" t="s">
        <v>233</v>
      </c>
      <c r="B87" s="1" t="s">
        <v>234</v>
      </c>
      <c r="C87" s="1" t="s">
        <v>46</v>
      </c>
      <c r="E87" s="1" t="n">
        <v>100</v>
      </c>
      <c r="F87" s="1" t="n">
        <v>20</v>
      </c>
      <c r="G87" s="1" t="n">
        <v>50</v>
      </c>
      <c r="H87" s="1" t="n">
        <v>50</v>
      </c>
      <c r="I87" s="1" t="s">
        <v>50</v>
      </c>
      <c r="J87" s="1" t="s">
        <v>21</v>
      </c>
      <c r="K87" s="1" t="s">
        <v>47</v>
      </c>
      <c r="L87" s="1" t="s">
        <v>23</v>
      </c>
      <c r="M87" s="1" t="s">
        <v>52</v>
      </c>
      <c r="O87" s="1" t="s">
        <v>35</v>
      </c>
      <c r="P87" s="1" t="s">
        <v>26</v>
      </c>
      <c r="Q87" s="1" t="n">
        <v>3</v>
      </c>
    </row>
    <row r="88" customFormat="false" ht="15" hidden="false" customHeight="true" outlineLevel="0" collapsed="false">
      <c r="A88" s="1" t="s">
        <v>235</v>
      </c>
      <c r="B88" s="1" t="s">
        <v>236</v>
      </c>
      <c r="C88" s="1" t="s">
        <v>55</v>
      </c>
      <c r="E88" s="1" t="n">
        <v>30</v>
      </c>
      <c r="F88" s="1" t="n">
        <v>60</v>
      </c>
      <c r="G88" s="1" t="n">
        <v>100</v>
      </c>
      <c r="H88" s="1" t="n">
        <v>20</v>
      </c>
      <c r="I88" s="1" t="s">
        <v>237</v>
      </c>
      <c r="J88" s="1" t="s">
        <v>83</v>
      </c>
      <c r="K88" s="1" t="s">
        <v>47</v>
      </c>
      <c r="L88" s="1" t="s">
        <v>32</v>
      </c>
      <c r="M88" s="1" t="s">
        <v>33</v>
      </c>
      <c r="N88" s="1" t="s">
        <v>42</v>
      </c>
      <c r="O88" s="1" t="s">
        <v>35</v>
      </c>
      <c r="P88" s="1" t="s">
        <v>26</v>
      </c>
      <c r="Q88" s="1" t="n">
        <v>3</v>
      </c>
    </row>
    <row r="89" customFormat="false" ht="15" hidden="false" customHeight="true" outlineLevel="0" collapsed="false">
      <c r="A89" s="1" t="s">
        <v>238</v>
      </c>
      <c r="B89" s="1" t="s">
        <v>239</v>
      </c>
      <c r="C89" s="1" t="s">
        <v>29</v>
      </c>
      <c r="D89" s="1" t="s">
        <v>55</v>
      </c>
      <c r="E89" s="1" t="n">
        <v>70</v>
      </c>
      <c r="F89" s="1" t="n">
        <v>30</v>
      </c>
      <c r="G89" s="1" t="n">
        <v>50</v>
      </c>
      <c r="H89" s="1" t="n">
        <v>30</v>
      </c>
      <c r="I89" s="1" t="s">
        <v>20</v>
      </c>
      <c r="J89" s="1" t="s">
        <v>30</v>
      </c>
      <c r="K89" s="1" t="s">
        <v>22</v>
      </c>
      <c r="L89" s="1" t="s">
        <v>32</v>
      </c>
      <c r="M89" s="1" t="s">
        <v>34</v>
      </c>
      <c r="O89" s="1" t="s">
        <v>43</v>
      </c>
      <c r="P89" s="1" t="s">
        <v>36</v>
      </c>
      <c r="Q89" s="1" t="n">
        <v>2</v>
      </c>
    </row>
    <row r="90" customFormat="false" ht="15" hidden="false" customHeight="true" outlineLevel="0" collapsed="false">
      <c r="A90" s="1" t="s">
        <v>240</v>
      </c>
      <c r="B90" s="1" t="s">
        <v>241</v>
      </c>
      <c r="C90" s="1" t="s">
        <v>19</v>
      </c>
      <c r="E90" s="1" t="n">
        <v>60</v>
      </c>
      <c r="F90" s="1" t="n">
        <v>30</v>
      </c>
      <c r="G90" s="1" t="n">
        <v>20</v>
      </c>
      <c r="H90" s="1" t="n">
        <v>60</v>
      </c>
      <c r="I90" s="1" t="s">
        <v>97</v>
      </c>
      <c r="J90" s="1" t="s">
        <v>86</v>
      </c>
      <c r="K90" s="1" t="s">
        <v>22</v>
      </c>
      <c r="L90" s="1" t="s">
        <v>23</v>
      </c>
      <c r="M90" s="1" t="s">
        <v>24</v>
      </c>
      <c r="O90" s="1" t="s">
        <v>74</v>
      </c>
      <c r="P90" s="1" t="s">
        <v>26</v>
      </c>
      <c r="Q90" s="1" t="n">
        <v>4</v>
      </c>
    </row>
    <row r="91" customFormat="false" ht="15" hidden="false" customHeight="true" outlineLevel="0" collapsed="false">
      <c r="A91" s="1" t="s">
        <v>242</v>
      </c>
      <c r="B91" s="1" t="s">
        <v>243</v>
      </c>
      <c r="C91" s="1" t="s">
        <v>29</v>
      </c>
      <c r="E91" s="1" t="n">
        <v>40</v>
      </c>
      <c r="F91" s="1" t="n">
        <v>70</v>
      </c>
      <c r="G91" s="1" t="n">
        <v>50</v>
      </c>
      <c r="H91" s="1" t="n">
        <v>20</v>
      </c>
      <c r="I91" s="1" t="s">
        <v>41</v>
      </c>
      <c r="J91" s="1" t="s">
        <v>30</v>
      </c>
      <c r="K91" s="1" t="s">
        <v>47</v>
      </c>
      <c r="L91" s="1" t="s">
        <v>32</v>
      </c>
      <c r="M91" s="1" t="s">
        <v>34</v>
      </c>
      <c r="O91" s="1" t="s">
        <v>35</v>
      </c>
      <c r="P91" s="1" t="s">
        <v>26</v>
      </c>
      <c r="Q91" s="1" t="n">
        <v>3</v>
      </c>
    </row>
    <row r="92" customFormat="false" ht="15" hidden="false" customHeight="true" outlineLevel="0" collapsed="false">
      <c r="A92" s="1" t="s">
        <v>244</v>
      </c>
      <c r="B92" s="1" t="s">
        <v>245</v>
      </c>
      <c r="C92" s="1" t="s">
        <v>46</v>
      </c>
      <c r="E92" s="1" t="n">
        <v>100</v>
      </c>
      <c r="F92" s="1" t="n">
        <v>50</v>
      </c>
      <c r="G92" s="1" t="n">
        <v>40</v>
      </c>
      <c r="H92" s="1" t="n">
        <v>40</v>
      </c>
      <c r="I92" s="1" t="s">
        <v>50</v>
      </c>
      <c r="J92" s="1" t="s">
        <v>21</v>
      </c>
      <c r="K92" s="1" t="s">
        <v>47</v>
      </c>
      <c r="L92" s="1" t="s">
        <v>23</v>
      </c>
      <c r="M92" s="1" t="s">
        <v>52</v>
      </c>
      <c r="O92" s="1" t="s">
        <v>25</v>
      </c>
      <c r="P92" s="1" t="s">
        <v>26</v>
      </c>
      <c r="Q92" s="1" t="n">
        <v>5</v>
      </c>
    </row>
    <row r="93" customFormat="false" ht="15" hidden="false" customHeight="true" outlineLevel="0" collapsed="false">
      <c r="A93" s="1" t="s">
        <v>246</v>
      </c>
      <c r="B93" s="1" t="s">
        <v>247</v>
      </c>
      <c r="C93" s="1" t="s">
        <v>77</v>
      </c>
      <c r="D93" s="1" t="s">
        <v>55</v>
      </c>
      <c r="E93" s="1" t="n">
        <v>20</v>
      </c>
      <c r="F93" s="1" t="n">
        <v>80</v>
      </c>
      <c r="G93" s="1" t="n">
        <v>90</v>
      </c>
      <c r="H93" s="1" t="n">
        <v>40</v>
      </c>
      <c r="I93" s="1" t="s">
        <v>56</v>
      </c>
      <c r="J93" s="1" t="s">
        <v>30</v>
      </c>
      <c r="K93" s="1" t="s">
        <v>47</v>
      </c>
      <c r="L93" s="1" t="s">
        <v>32</v>
      </c>
      <c r="M93" s="1" t="s">
        <v>42</v>
      </c>
      <c r="O93" s="1" t="s">
        <v>43</v>
      </c>
      <c r="P93" s="1" t="s">
        <v>26</v>
      </c>
      <c r="Q93" s="1" t="n">
        <v>2</v>
      </c>
    </row>
    <row r="94" customFormat="false" ht="15" hidden="false" customHeight="true" outlineLevel="0" collapsed="false">
      <c r="A94" s="1" t="s">
        <v>248</v>
      </c>
      <c r="B94" s="1" t="s">
        <v>249</v>
      </c>
      <c r="C94" s="1" t="s">
        <v>55</v>
      </c>
      <c r="E94" s="1" t="n">
        <v>10</v>
      </c>
      <c r="F94" s="1" t="n">
        <v>90</v>
      </c>
      <c r="G94" s="1" t="n">
        <v>80</v>
      </c>
      <c r="H94" s="1" t="n">
        <v>50</v>
      </c>
      <c r="I94" s="1" t="s">
        <v>56</v>
      </c>
      <c r="J94" s="1" t="s">
        <v>57</v>
      </c>
      <c r="K94" s="1" t="s">
        <v>47</v>
      </c>
      <c r="L94" s="1" t="s">
        <v>32</v>
      </c>
      <c r="M94" s="1" t="s">
        <v>42</v>
      </c>
      <c r="O94" s="1" t="s">
        <v>43</v>
      </c>
      <c r="P94" s="1" t="s">
        <v>26</v>
      </c>
      <c r="Q94" s="1" t="n">
        <v>2</v>
      </c>
    </row>
    <row r="95" customFormat="false" ht="15" hidden="false" customHeight="true" outlineLevel="0" collapsed="false">
      <c r="A95" s="1" t="s">
        <v>250</v>
      </c>
      <c r="B95" s="1" t="s">
        <v>251</v>
      </c>
      <c r="C95" s="1" t="s">
        <v>19</v>
      </c>
      <c r="E95" s="1" t="n">
        <v>70</v>
      </c>
      <c r="F95" s="1" t="n">
        <v>70</v>
      </c>
      <c r="G95" s="1" t="n">
        <v>30</v>
      </c>
      <c r="H95" s="1" t="n">
        <v>50</v>
      </c>
      <c r="I95" s="1" t="s">
        <v>112</v>
      </c>
      <c r="J95" s="1" t="s">
        <v>57</v>
      </c>
      <c r="K95" s="1" t="s">
        <v>69</v>
      </c>
      <c r="L95" s="1" t="s">
        <v>23</v>
      </c>
      <c r="M95" s="1" t="s">
        <v>33</v>
      </c>
      <c r="N95" s="1" t="s">
        <v>24</v>
      </c>
      <c r="O95" s="1" t="s">
        <v>35</v>
      </c>
      <c r="P95" s="1" t="s">
        <v>26</v>
      </c>
      <c r="Q95" s="1" t="n">
        <v>3</v>
      </c>
    </row>
    <row r="96" customFormat="false" ht="15" hidden="false" customHeight="true" outlineLevel="0" collapsed="false">
      <c r="A96" s="1" t="s">
        <v>252</v>
      </c>
      <c r="B96" s="1" t="s">
        <v>253</v>
      </c>
      <c r="C96" s="1" t="s">
        <v>29</v>
      </c>
      <c r="E96" s="1" t="n">
        <v>40</v>
      </c>
      <c r="F96" s="1" t="n">
        <v>70</v>
      </c>
      <c r="G96" s="1" t="n">
        <v>70</v>
      </c>
      <c r="H96" s="1" t="n">
        <v>70</v>
      </c>
      <c r="I96" s="1" t="s">
        <v>30</v>
      </c>
      <c r="J96" s="1" t="s">
        <v>125</v>
      </c>
      <c r="K96" s="1" t="s">
        <v>22</v>
      </c>
      <c r="L96" s="1" t="s">
        <v>32</v>
      </c>
      <c r="M96" s="1" t="s">
        <v>34</v>
      </c>
      <c r="O96" s="1" t="s">
        <v>35</v>
      </c>
      <c r="P96" s="1" t="s">
        <v>36</v>
      </c>
      <c r="Q96" s="1" t="n">
        <v>3</v>
      </c>
    </row>
    <row r="97" customFormat="false" ht="15" hidden="false" customHeight="true" outlineLevel="0" collapsed="false">
      <c r="A97" s="1" t="s">
        <v>254</v>
      </c>
      <c r="B97" s="1" t="s">
        <v>255</v>
      </c>
      <c r="C97" s="1" t="s">
        <v>46</v>
      </c>
      <c r="E97" s="1" t="n">
        <v>100</v>
      </c>
      <c r="F97" s="1" t="n">
        <v>40</v>
      </c>
      <c r="G97" s="1" t="n">
        <v>20</v>
      </c>
      <c r="H97" s="1" t="n">
        <v>50</v>
      </c>
      <c r="I97" s="1" t="s">
        <v>21</v>
      </c>
      <c r="J97" s="1" t="s">
        <v>125</v>
      </c>
      <c r="K97" s="1" t="s">
        <v>47</v>
      </c>
      <c r="L97" s="1" t="s">
        <v>23</v>
      </c>
      <c r="M97" s="1" t="s">
        <v>52</v>
      </c>
      <c r="O97" s="1" t="s">
        <v>35</v>
      </c>
      <c r="P97" s="1" t="s">
        <v>26</v>
      </c>
      <c r="Q97" s="1" t="n">
        <v>3</v>
      </c>
    </row>
    <row r="98" customFormat="false" ht="15" hidden="false" customHeight="true" outlineLevel="0" collapsed="false">
      <c r="A98" s="1" t="s">
        <v>256</v>
      </c>
      <c r="B98" s="1" t="s">
        <v>257</v>
      </c>
      <c r="C98" s="1" t="s">
        <v>39</v>
      </c>
      <c r="D98" s="1" t="s">
        <v>29</v>
      </c>
      <c r="E98" s="1" t="n">
        <v>50</v>
      </c>
      <c r="F98" s="1" t="n">
        <v>20</v>
      </c>
      <c r="G98" s="1" t="n">
        <v>60</v>
      </c>
      <c r="H98" s="1" t="n">
        <v>70</v>
      </c>
      <c r="I98" s="1" t="s">
        <v>97</v>
      </c>
      <c r="J98" s="1" t="s">
        <v>109</v>
      </c>
      <c r="K98" s="1" t="s">
        <v>22</v>
      </c>
      <c r="L98" s="1" t="s">
        <v>32</v>
      </c>
      <c r="M98" s="1" t="s">
        <v>34</v>
      </c>
      <c r="O98" s="1" t="s">
        <v>43</v>
      </c>
      <c r="P98" s="1" t="s">
        <v>26</v>
      </c>
      <c r="Q98" s="1" t="n">
        <v>2</v>
      </c>
    </row>
    <row r="99" customFormat="false" ht="15" hidden="false" customHeight="true" outlineLevel="0" collapsed="false">
      <c r="A99" s="1" t="s">
        <v>258</v>
      </c>
      <c r="B99" s="1" t="s">
        <v>259</v>
      </c>
      <c r="C99" s="1" t="s">
        <v>29</v>
      </c>
      <c r="E99" s="1" t="n">
        <v>50</v>
      </c>
      <c r="F99" s="1" t="n">
        <v>50</v>
      </c>
      <c r="G99" s="1" t="n">
        <v>80</v>
      </c>
      <c r="H99" s="1" t="n">
        <v>50</v>
      </c>
      <c r="I99" s="1" t="s">
        <v>30</v>
      </c>
      <c r="J99" s="1" t="s">
        <v>21</v>
      </c>
      <c r="K99" s="1" t="s">
        <v>22</v>
      </c>
      <c r="L99" s="1" t="s">
        <v>32</v>
      </c>
      <c r="M99" s="1" t="s">
        <v>42</v>
      </c>
      <c r="N99" s="1" t="s">
        <v>34</v>
      </c>
      <c r="O99" s="1" t="s">
        <v>43</v>
      </c>
      <c r="P99" s="1" t="s">
        <v>36</v>
      </c>
      <c r="Q99" s="1" t="n">
        <v>2</v>
      </c>
    </row>
    <row r="100" customFormat="false" ht="15" hidden="false" customHeight="true" outlineLevel="0" collapsed="false">
      <c r="A100" s="1" t="s">
        <v>260</v>
      </c>
      <c r="B100" s="1" t="s">
        <v>261</v>
      </c>
      <c r="C100" s="1" t="s">
        <v>55</v>
      </c>
      <c r="D100" s="1" t="s">
        <v>29</v>
      </c>
      <c r="E100" s="1" t="n">
        <v>30</v>
      </c>
      <c r="F100" s="1" t="n">
        <v>90</v>
      </c>
      <c r="G100" s="1" t="n">
        <v>100</v>
      </c>
      <c r="H100" s="1" t="n">
        <v>40</v>
      </c>
      <c r="I100" s="1" t="s">
        <v>30</v>
      </c>
      <c r="J100" s="1" t="s">
        <v>57</v>
      </c>
      <c r="K100" s="1" t="s">
        <v>22</v>
      </c>
      <c r="L100" s="1" t="s">
        <v>32</v>
      </c>
      <c r="M100" s="1" t="s">
        <v>33</v>
      </c>
      <c r="O100" s="1" t="s">
        <v>35</v>
      </c>
      <c r="P100" s="1" t="s">
        <v>26</v>
      </c>
      <c r="Q100" s="1" t="n">
        <v>3</v>
      </c>
    </row>
    <row r="101" customFormat="false" ht="15" hidden="false" customHeight="true" outlineLevel="0" collapsed="false">
      <c r="A101" s="1" t="s">
        <v>262</v>
      </c>
      <c r="B101" s="1" t="s">
        <v>263</v>
      </c>
      <c r="C101" s="1" t="s">
        <v>19</v>
      </c>
      <c r="E101" s="1" t="n">
        <v>70</v>
      </c>
      <c r="F101" s="1" t="n">
        <v>50</v>
      </c>
      <c r="G101" s="1" t="n">
        <v>40</v>
      </c>
      <c r="H101" s="1" t="n">
        <v>50</v>
      </c>
      <c r="I101" s="1" t="s">
        <v>40</v>
      </c>
      <c r="J101" s="1" t="s">
        <v>57</v>
      </c>
      <c r="K101" s="1" t="s">
        <v>22</v>
      </c>
      <c r="L101" s="1" t="s">
        <v>23</v>
      </c>
      <c r="M101" s="1" t="s">
        <v>24</v>
      </c>
      <c r="O101" s="1" t="s">
        <v>74</v>
      </c>
      <c r="P101" s="1" t="s">
        <v>26</v>
      </c>
      <c r="Q101" s="1" t="n">
        <v>4</v>
      </c>
    </row>
    <row r="102" customFormat="false" ht="15" hidden="false" customHeight="true" outlineLevel="0" collapsed="false">
      <c r="A102" s="1" t="s">
        <v>264</v>
      </c>
      <c r="B102" s="1" t="s">
        <v>265</v>
      </c>
      <c r="C102" s="1" t="s">
        <v>46</v>
      </c>
      <c r="E102" s="1" t="n">
        <v>80</v>
      </c>
      <c r="F102" s="1" t="n">
        <v>40</v>
      </c>
      <c r="G102" s="1" t="n">
        <v>40</v>
      </c>
      <c r="H102" s="1" t="n">
        <v>70</v>
      </c>
      <c r="I102" s="1" t="s">
        <v>51</v>
      </c>
      <c r="J102" s="1" t="s">
        <v>21</v>
      </c>
      <c r="K102" s="1" t="s">
        <v>47</v>
      </c>
      <c r="L102" s="1" t="s">
        <v>23</v>
      </c>
      <c r="M102" s="1" t="s">
        <v>52</v>
      </c>
      <c r="O102" s="1" t="s">
        <v>35</v>
      </c>
      <c r="P102" s="1" t="s">
        <v>26</v>
      </c>
      <c r="Q102" s="1" t="n">
        <v>3</v>
      </c>
    </row>
    <row r="103" customFormat="false" ht="15" hidden="false" customHeight="true" outlineLevel="0" collapsed="false">
      <c r="A103" s="1" t="s">
        <v>266</v>
      </c>
      <c r="B103" s="1" t="s">
        <v>267</v>
      </c>
      <c r="C103" s="1" t="s">
        <v>77</v>
      </c>
      <c r="D103" s="1" t="s">
        <v>39</v>
      </c>
      <c r="E103" s="1" t="n">
        <v>20</v>
      </c>
      <c r="F103" s="1" t="n">
        <v>40</v>
      </c>
      <c r="G103" s="1" t="n">
        <v>80</v>
      </c>
      <c r="H103" s="1" t="n">
        <v>40</v>
      </c>
      <c r="I103" s="1" t="s">
        <v>64</v>
      </c>
      <c r="J103" s="1" t="s">
        <v>109</v>
      </c>
      <c r="K103" s="1" t="s">
        <v>47</v>
      </c>
      <c r="L103" s="1" t="s">
        <v>23</v>
      </c>
      <c r="M103" s="1" t="s">
        <v>42</v>
      </c>
      <c r="O103" s="1" t="s">
        <v>43</v>
      </c>
      <c r="P103" s="1" t="s">
        <v>26</v>
      </c>
      <c r="Q103" s="1" t="n">
        <v>2</v>
      </c>
    </row>
    <row r="104" customFormat="false" ht="15" hidden="false" customHeight="true" outlineLevel="0" collapsed="false">
      <c r="A104" s="1" t="s">
        <v>268</v>
      </c>
      <c r="B104" s="1" t="s">
        <v>269</v>
      </c>
      <c r="C104" s="1" t="s">
        <v>29</v>
      </c>
      <c r="D104" s="1" t="s">
        <v>39</v>
      </c>
      <c r="E104" s="1" t="n">
        <v>50</v>
      </c>
      <c r="F104" s="1" t="n">
        <v>40</v>
      </c>
      <c r="G104" s="1" t="n">
        <v>60</v>
      </c>
      <c r="H104" s="1" t="n">
        <v>80</v>
      </c>
      <c r="I104" s="1" t="s">
        <v>109</v>
      </c>
      <c r="J104" s="1" t="s">
        <v>40</v>
      </c>
      <c r="K104" s="1" t="s">
        <v>22</v>
      </c>
      <c r="L104" s="1" t="s">
        <v>32</v>
      </c>
      <c r="M104" s="1" t="s">
        <v>34</v>
      </c>
      <c r="O104" s="1" t="s">
        <v>87</v>
      </c>
      <c r="P104" s="1" t="s">
        <v>36</v>
      </c>
      <c r="Q104" s="1" t="n">
        <v>1</v>
      </c>
    </row>
    <row r="105" customFormat="false" ht="15" hidden="false" customHeight="true" outlineLevel="0" collapsed="false">
      <c r="A105" s="1" t="s">
        <v>270</v>
      </c>
      <c r="B105" s="1" t="s">
        <v>271</v>
      </c>
      <c r="C105" s="1" t="s">
        <v>55</v>
      </c>
      <c r="E105" s="1" t="n">
        <v>30</v>
      </c>
      <c r="F105" s="1" t="n">
        <v>100</v>
      </c>
      <c r="G105" s="1" t="n">
        <v>100</v>
      </c>
      <c r="H105" s="1" t="n">
        <v>70</v>
      </c>
      <c r="I105" s="1" t="s">
        <v>30</v>
      </c>
      <c r="J105" s="1" t="s">
        <v>41</v>
      </c>
      <c r="K105" s="1" t="s">
        <v>47</v>
      </c>
      <c r="L105" s="1" t="s">
        <v>32</v>
      </c>
      <c r="M105" s="1" t="s">
        <v>42</v>
      </c>
      <c r="N105" s="1" t="s">
        <v>34</v>
      </c>
      <c r="O105" s="1" t="s">
        <v>43</v>
      </c>
      <c r="P105" s="1" t="s">
        <v>26</v>
      </c>
      <c r="Q105" s="1" t="n">
        <v>2</v>
      </c>
    </row>
    <row r="106" customFormat="false" ht="15" hidden="false" customHeight="true" outlineLevel="0" collapsed="false">
      <c r="A106" s="1" t="s">
        <v>272</v>
      </c>
      <c r="B106" s="1" t="s">
        <v>273</v>
      </c>
      <c r="C106" s="1" t="s">
        <v>19</v>
      </c>
      <c r="E106" s="1" t="n">
        <v>80</v>
      </c>
      <c r="F106" s="1" t="n">
        <v>10</v>
      </c>
      <c r="G106" s="1" t="n">
        <v>30</v>
      </c>
      <c r="H106" s="1" t="n">
        <v>70</v>
      </c>
      <c r="I106" s="1" t="s">
        <v>20</v>
      </c>
      <c r="J106" s="1" t="s">
        <v>40</v>
      </c>
      <c r="K106" s="1" t="s">
        <v>22</v>
      </c>
      <c r="L106" s="1" t="s">
        <v>23</v>
      </c>
      <c r="M106" s="1" t="s">
        <v>24</v>
      </c>
      <c r="O106" s="1" t="s">
        <v>74</v>
      </c>
      <c r="P106" s="1" t="s">
        <v>36</v>
      </c>
      <c r="Q106" s="1" t="n">
        <v>4</v>
      </c>
    </row>
    <row r="107" customFormat="false" ht="15" hidden="false" customHeight="true" outlineLevel="0" collapsed="false">
      <c r="A107" s="1" t="s">
        <v>274</v>
      </c>
      <c r="B107" s="1" t="s">
        <v>275</v>
      </c>
      <c r="C107" s="1" t="s">
        <v>29</v>
      </c>
      <c r="E107" s="1" t="n">
        <v>70</v>
      </c>
      <c r="F107" s="1" t="n">
        <v>30</v>
      </c>
      <c r="G107" s="1" t="n">
        <v>80</v>
      </c>
      <c r="H107" s="1" t="n">
        <v>30</v>
      </c>
      <c r="I107" s="1" t="s">
        <v>64</v>
      </c>
      <c r="J107" s="1" t="s">
        <v>40</v>
      </c>
      <c r="K107" s="1" t="s">
        <v>69</v>
      </c>
      <c r="L107" s="1" t="s">
        <v>32</v>
      </c>
      <c r="M107" s="1" t="s">
        <v>34</v>
      </c>
      <c r="O107" s="1" t="s">
        <v>35</v>
      </c>
      <c r="P107" s="1" t="s">
        <v>36</v>
      </c>
      <c r="Q107" s="1" t="n">
        <v>3</v>
      </c>
    </row>
    <row r="108" customFormat="false" ht="15" hidden="false" customHeight="true" outlineLevel="0" collapsed="false">
      <c r="A108" s="1" t="s">
        <v>276</v>
      </c>
      <c r="B108" s="1" t="s">
        <v>277</v>
      </c>
      <c r="C108" s="1" t="s">
        <v>19</v>
      </c>
      <c r="E108" s="1" t="n">
        <v>60</v>
      </c>
      <c r="F108" s="1" t="n">
        <v>20</v>
      </c>
      <c r="G108" s="1" t="n">
        <v>20</v>
      </c>
      <c r="H108" s="1" t="n">
        <v>20</v>
      </c>
      <c r="I108" s="1" t="s">
        <v>20</v>
      </c>
      <c r="J108" s="1" t="s">
        <v>21</v>
      </c>
      <c r="K108" s="1" t="s">
        <v>47</v>
      </c>
      <c r="L108" s="1" t="s">
        <v>23</v>
      </c>
      <c r="M108" s="1" t="s">
        <v>24</v>
      </c>
      <c r="O108" s="1" t="s">
        <v>74</v>
      </c>
      <c r="P108" s="1" t="s">
        <v>26</v>
      </c>
      <c r="Q108" s="1" t="n">
        <v>4</v>
      </c>
    </row>
    <row r="109" customFormat="false" ht="15" hidden="false" customHeight="true" outlineLevel="0" collapsed="false">
      <c r="A109" s="1" t="s">
        <v>278</v>
      </c>
      <c r="B109" s="1" t="s">
        <v>279</v>
      </c>
      <c r="C109" s="1" t="s">
        <v>29</v>
      </c>
      <c r="E109" s="1" t="n">
        <v>60</v>
      </c>
      <c r="F109" s="1" t="n">
        <v>10</v>
      </c>
      <c r="G109" s="1" t="n">
        <v>60</v>
      </c>
      <c r="H109" s="1" t="n">
        <v>40</v>
      </c>
      <c r="I109" s="1" t="s">
        <v>20</v>
      </c>
      <c r="J109" s="1" t="s">
        <v>30</v>
      </c>
      <c r="K109" s="1" t="s">
        <v>22</v>
      </c>
      <c r="L109" s="1" t="s">
        <v>32</v>
      </c>
      <c r="M109" s="1" t="s">
        <v>33</v>
      </c>
      <c r="O109" s="1" t="s">
        <v>35</v>
      </c>
      <c r="P109" s="1" t="s">
        <v>36</v>
      </c>
      <c r="Q109" s="1" t="n">
        <v>3</v>
      </c>
    </row>
    <row r="110" customFormat="false" ht="15" hidden="false" customHeight="true" outlineLevel="0" collapsed="false">
      <c r="A110" s="1" t="s">
        <v>280</v>
      </c>
      <c r="B110" s="1" t="s">
        <v>281</v>
      </c>
      <c r="C110" s="1" t="s">
        <v>39</v>
      </c>
      <c r="E110" s="1" t="n">
        <v>70</v>
      </c>
      <c r="F110" s="1" t="n">
        <v>10</v>
      </c>
      <c r="G110" s="1" t="n">
        <v>30</v>
      </c>
      <c r="H110" s="1" t="n">
        <v>50</v>
      </c>
      <c r="I110" s="1" t="s">
        <v>97</v>
      </c>
      <c r="J110" s="1" t="s">
        <v>40</v>
      </c>
      <c r="K110" s="1" t="s">
        <v>47</v>
      </c>
      <c r="L110" s="1" t="s">
        <v>32</v>
      </c>
      <c r="M110" s="1" t="s">
        <v>33</v>
      </c>
      <c r="O110" s="1" t="s">
        <v>43</v>
      </c>
      <c r="P110" s="1" t="s">
        <v>26</v>
      </c>
      <c r="Q110" s="1" t="n">
        <v>2</v>
      </c>
    </row>
    <row r="111" customFormat="false" ht="15" hidden="false" customHeight="true" outlineLevel="0" collapsed="false">
      <c r="A111" s="1" t="s">
        <v>282</v>
      </c>
      <c r="B111" s="1" t="s">
        <v>283</v>
      </c>
      <c r="C111" s="1" t="s">
        <v>46</v>
      </c>
      <c r="E111" s="1" t="n">
        <v>90</v>
      </c>
      <c r="F111" s="1" t="n">
        <v>80</v>
      </c>
      <c r="G111" s="1" t="n">
        <v>50</v>
      </c>
      <c r="H111" s="1" t="n">
        <v>80</v>
      </c>
      <c r="I111" s="1" t="s">
        <v>40</v>
      </c>
      <c r="J111" s="1" t="s">
        <v>30</v>
      </c>
      <c r="K111" s="1" t="s">
        <v>47</v>
      </c>
      <c r="L111" s="1" t="s">
        <v>23</v>
      </c>
      <c r="M111" s="1" t="s">
        <v>52</v>
      </c>
      <c r="O111" s="1" t="s">
        <v>35</v>
      </c>
      <c r="P111" s="1" t="s">
        <v>26</v>
      </c>
      <c r="Q111" s="1" t="n">
        <v>3</v>
      </c>
    </row>
    <row r="112" customFormat="false" ht="15" hidden="false" customHeight="true" outlineLevel="0" collapsed="false">
      <c r="A112" s="1" t="s">
        <v>284</v>
      </c>
      <c r="B112" s="1" t="s">
        <v>285</v>
      </c>
      <c r="C112" s="1" t="s">
        <v>55</v>
      </c>
      <c r="D112" s="1" t="s">
        <v>19</v>
      </c>
      <c r="E112" s="1" t="n">
        <v>30</v>
      </c>
      <c r="F112" s="1" t="n">
        <v>100</v>
      </c>
      <c r="G112" s="1" t="n">
        <v>70</v>
      </c>
      <c r="H112" s="1" t="n">
        <v>30</v>
      </c>
      <c r="I112" s="1" t="s">
        <v>64</v>
      </c>
      <c r="J112" s="1" t="s">
        <v>57</v>
      </c>
      <c r="K112" s="1" t="s">
        <v>69</v>
      </c>
      <c r="L112" s="1" t="s">
        <v>120</v>
      </c>
      <c r="M112" s="1" t="s">
        <v>34</v>
      </c>
      <c r="N112" s="1" t="s">
        <v>42</v>
      </c>
      <c r="O112" s="1" t="s">
        <v>25</v>
      </c>
      <c r="P112" s="1" t="s">
        <v>36</v>
      </c>
      <c r="Q112" s="1" t="n">
        <v>5</v>
      </c>
    </row>
    <row r="113" customFormat="false" ht="15" hidden="false" customHeight="true" outlineLevel="0" collapsed="false">
      <c r="A113" s="1" t="s">
        <v>286</v>
      </c>
      <c r="B113" s="1" t="s">
        <v>287</v>
      </c>
      <c r="C113" s="1" t="s">
        <v>77</v>
      </c>
      <c r="E113" s="1" t="n">
        <v>10</v>
      </c>
      <c r="F113" s="1" t="n">
        <v>70</v>
      </c>
      <c r="G113" s="1" t="n">
        <v>60</v>
      </c>
      <c r="H113" s="1" t="n">
        <v>10</v>
      </c>
      <c r="I113" s="1" t="s">
        <v>78</v>
      </c>
      <c r="J113" s="1" t="s">
        <v>51</v>
      </c>
      <c r="K113" s="1" t="s">
        <v>47</v>
      </c>
      <c r="L113" s="1" t="s">
        <v>23</v>
      </c>
      <c r="M113" s="1" t="s">
        <v>42</v>
      </c>
      <c r="O113" s="1" t="s">
        <v>35</v>
      </c>
      <c r="P113" s="1" t="s">
        <v>26</v>
      </c>
      <c r="Q113" s="1" t="n">
        <v>3</v>
      </c>
    </row>
    <row r="114" customFormat="false" ht="15" hidden="false" customHeight="true" outlineLevel="0" collapsed="false">
      <c r="A114" s="1" t="s">
        <v>288</v>
      </c>
      <c r="B114" s="1" t="s">
        <v>289</v>
      </c>
      <c r="C114" s="1" t="s">
        <v>29</v>
      </c>
      <c r="D114" s="1" t="s">
        <v>39</v>
      </c>
      <c r="E114" s="1" t="n">
        <v>60</v>
      </c>
      <c r="F114" s="1" t="n">
        <v>80</v>
      </c>
      <c r="G114" s="1" t="n">
        <v>50</v>
      </c>
      <c r="H114" s="1" t="n">
        <v>40</v>
      </c>
      <c r="I114" s="1" t="s">
        <v>41</v>
      </c>
      <c r="J114" s="1" t="s">
        <v>40</v>
      </c>
      <c r="K114" s="1" t="s">
        <v>22</v>
      </c>
      <c r="L114" s="1" t="s">
        <v>32</v>
      </c>
      <c r="M114" s="1" t="s">
        <v>33</v>
      </c>
      <c r="N114" s="1" t="s">
        <v>34</v>
      </c>
      <c r="O114" s="1" t="s">
        <v>35</v>
      </c>
      <c r="P114" s="1" t="s">
        <v>36</v>
      </c>
      <c r="Q114" s="1" t="n">
        <v>3</v>
      </c>
    </row>
    <row r="115" customFormat="false" ht="15" hidden="false" customHeight="true" outlineLevel="0" collapsed="false">
      <c r="A115" s="1" t="s">
        <v>290</v>
      </c>
      <c r="B115" s="1" t="s">
        <v>291</v>
      </c>
      <c r="C115" s="1" t="s">
        <v>19</v>
      </c>
      <c r="E115" s="1" t="n">
        <v>90</v>
      </c>
      <c r="F115" s="1" t="n">
        <v>40</v>
      </c>
      <c r="G115" s="1" t="n">
        <v>20</v>
      </c>
      <c r="H115" s="1" t="n">
        <v>40</v>
      </c>
      <c r="I115" s="1" t="s">
        <v>64</v>
      </c>
      <c r="J115" s="1" t="s">
        <v>20</v>
      </c>
      <c r="K115" s="1" t="s">
        <v>69</v>
      </c>
      <c r="L115" s="1" t="s">
        <v>23</v>
      </c>
      <c r="M115" s="1" t="s">
        <v>24</v>
      </c>
      <c r="O115" s="1" t="s">
        <v>74</v>
      </c>
      <c r="P115" s="1" t="s">
        <v>26</v>
      </c>
      <c r="Q115" s="1" t="n">
        <v>4</v>
      </c>
    </row>
    <row r="116" customFormat="false" ht="15" hidden="false" customHeight="true" outlineLevel="0" collapsed="false">
      <c r="A116" s="1" t="s">
        <v>292</v>
      </c>
      <c r="B116" s="1" t="s">
        <v>293</v>
      </c>
      <c r="C116" s="1" t="s">
        <v>46</v>
      </c>
      <c r="E116" s="1" t="n">
        <v>100</v>
      </c>
      <c r="F116" s="1" t="n">
        <v>80</v>
      </c>
      <c r="G116" s="1" t="n">
        <v>20</v>
      </c>
      <c r="H116" s="1" t="n">
        <v>30</v>
      </c>
      <c r="I116" s="1" t="s">
        <v>50</v>
      </c>
      <c r="J116" s="1" t="s">
        <v>40</v>
      </c>
      <c r="K116" s="1" t="s">
        <v>47</v>
      </c>
      <c r="L116" s="1" t="s">
        <v>23</v>
      </c>
      <c r="M116" s="1" t="s">
        <v>52</v>
      </c>
      <c r="O116" s="1" t="s">
        <v>35</v>
      </c>
      <c r="P116" s="1" t="s">
        <v>26</v>
      </c>
      <c r="Q116" s="1" t="n">
        <v>3</v>
      </c>
    </row>
    <row r="117" customFormat="false" ht="15" hidden="false" customHeight="true" outlineLevel="0" collapsed="false">
      <c r="A117" s="1" t="s">
        <v>294</v>
      </c>
      <c r="B117" s="1" t="s">
        <v>295</v>
      </c>
      <c r="C117" s="1" t="s">
        <v>39</v>
      </c>
      <c r="D117" s="1" t="s">
        <v>29</v>
      </c>
      <c r="E117" s="1" t="n">
        <v>60</v>
      </c>
      <c r="F117" s="1" t="n">
        <v>70</v>
      </c>
      <c r="G117" s="1" t="n">
        <v>60</v>
      </c>
      <c r="H117" s="1" t="n">
        <v>20</v>
      </c>
      <c r="I117" s="1" t="s">
        <v>40</v>
      </c>
      <c r="J117" s="1" t="s">
        <v>97</v>
      </c>
      <c r="K117" s="1" t="s">
        <v>47</v>
      </c>
      <c r="L117" s="1" t="s">
        <v>32</v>
      </c>
      <c r="M117" s="1" t="s">
        <v>33</v>
      </c>
      <c r="N117" s="1" t="s">
        <v>34</v>
      </c>
      <c r="O117" s="1" t="s">
        <v>43</v>
      </c>
      <c r="P117" s="1" t="s">
        <v>26</v>
      </c>
      <c r="Q117" s="1" t="n">
        <v>2</v>
      </c>
    </row>
    <row r="118" customFormat="false" ht="15" hidden="false" customHeight="true" outlineLevel="0" collapsed="false">
      <c r="A118" s="1" t="s">
        <v>296</v>
      </c>
      <c r="B118" s="1" t="s">
        <v>297</v>
      </c>
      <c r="C118" s="1" t="s">
        <v>29</v>
      </c>
      <c r="D118" s="1" t="s">
        <v>55</v>
      </c>
      <c r="E118" s="1" t="n">
        <v>50</v>
      </c>
      <c r="F118" s="1" t="n">
        <v>60</v>
      </c>
      <c r="G118" s="1" t="n">
        <v>80</v>
      </c>
      <c r="H118" s="1" t="n">
        <v>40</v>
      </c>
      <c r="I118" s="1" t="s">
        <v>30</v>
      </c>
      <c r="J118" s="1" t="s">
        <v>56</v>
      </c>
      <c r="K118" s="1" t="s">
        <v>22</v>
      </c>
      <c r="L118" s="1" t="s">
        <v>32</v>
      </c>
      <c r="M118" s="1" t="s">
        <v>33</v>
      </c>
      <c r="O118" s="1" t="s">
        <v>35</v>
      </c>
      <c r="P118" s="1" t="s">
        <v>36</v>
      </c>
      <c r="Q118" s="1" t="n">
        <v>3</v>
      </c>
    </row>
    <row r="119" customFormat="false" ht="15" hidden="false" customHeight="true" outlineLevel="0" collapsed="false">
      <c r="A119" s="1" t="s">
        <v>298</v>
      </c>
      <c r="B119" s="1" t="s">
        <v>299</v>
      </c>
      <c r="C119" s="1" t="s">
        <v>39</v>
      </c>
      <c r="E119" s="1" t="n">
        <v>70</v>
      </c>
      <c r="F119" s="1" t="n">
        <v>10</v>
      </c>
      <c r="G119" s="1" t="n">
        <v>30</v>
      </c>
      <c r="H119" s="1" t="n">
        <v>90</v>
      </c>
      <c r="I119" s="1" t="s">
        <v>86</v>
      </c>
      <c r="J119" s="1" t="s">
        <v>64</v>
      </c>
      <c r="K119" s="1" t="s">
        <v>47</v>
      </c>
      <c r="L119" s="1" t="s">
        <v>32</v>
      </c>
      <c r="M119" s="1" t="s">
        <v>33</v>
      </c>
      <c r="O119" s="1" t="s">
        <v>43</v>
      </c>
      <c r="P119" s="1" t="s">
        <v>36</v>
      </c>
      <c r="Q119" s="1" t="n">
        <v>2</v>
      </c>
    </row>
    <row r="120" customFormat="false" ht="15" hidden="false" customHeight="true" outlineLevel="0" collapsed="false">
      <c r="A120" s="1" t="s">
        <v>300</v>
      </c>
      <c r="B120" s="1" t="s">
        <v>301</v>
      </c>
      <c r="C120" s="1" t="s">
        <v>46</v>
      </c>
      <c r="E120" s="1" t="n">
        <v>90</v>
      </c>
      <c r="F120" s="1" t="n">
        <v>30</v>
      </c>
      <c r="G120" s="1" t="n">
        <v>30</v>
      </c>
      <c r="H120" s="1" t="n">
        <v>60</v>
      </c>
      <c r="I120" s="1" t="s">
        <v>104</v>
      </c>
      <c r="J120" s="1" t="s">
        <v>50</v>
      </c>
      <c r="K120" s="1" t="s">
        <v>47</v>
      </c>
      <c r="L120" s="1" t="s">
        <v>23</v>
      </c>
      <c r="M120" s="1" t="s">
        <v>52</v>
      </c>
      <c r="O120" s="1" t="s">
        <v>35</v>
      </c>
      <c r="P120" s="1" t="s">
        <v>26</v>
      </c>
      <c r="Q120" s="1" t="n">
        <v>3</v>
      </c>
    </row>
    <row r="121" customFormat="false" ht="15" hidden="false" customHeight="true" outlineLevel="0" collapsed="false">
      <c r="A121" s="1" t="s">
        <v>302</v>
      </c>
      <c r="B121" s="1" t="s">
        <v>303</v>
      </c>
      <c r="C121" s="1" t="s">
        <v>29</v>
      </c>
      <c r="D121" s="1" t="s">
        <v>39</v>
      </c>
      <c r="E121" s="1" t="n">
        <v>60</v>
      </c>
      <c r="F121" s="1" t="n">
        <v>50</v>
      </c>
      <c r="G121" s="1" t="n">
        <v>60</v>
      </c>
      <c r="H121" s="1" t="n">
        <v>50</v>
      </c>
      <c r="I121" s="1" t="s">
        <v>109</v>
      </c>
      <c r="J121" s="1" t="s">
        <v>30</v>
      </c>
      <c r="K121" s="1" t="s">
        <v>22</v>
      </c>
      <c r="L121" s="1" t="s">
        <v>32</v>
      </c>
      <c r="M121" s="1" t="s">
        <v>34</v>
      </c>
      <c r="O121" s="1" t="s">
        <v>35</v>
      </c>
      <c r="P121" s="1" t="s">
        <v>36</v>
      </c>
      <c r="Q121" s="1" t="n">
        <v>3</v>
      </c>
    </row>
    <row r="122" customFormat="false" ht="15" hidden="false" customHeight="true" outlineLevel="0" collapsed="false">
      <c r="A122" s="1" t="s">
        <v>304</v>
      </c>
      <c r="B122" s="1" t="s">
        <v>305</v>
      </c>
      <c r="C122" s="1" t="s">
        <v>19</v>
      </c>
      <c r="E122" s="1" t="n">
        <v>70</v>
      </c>
      <c r="F122" s="1" t="n">
        <v>50</v>
      </c>
      <c r="G122" s="1" t="n">
        <v>30</v>
      </c>
      <c r="H122" s="1" t="n">
        <v>40</v>
      </c>
      <c r="I122" s="1" t="s">
        <v>21</v>
      </c>
      <c r="J122" s="1" t="s">
        <v>20</v>
      </c>
      <c r="K122" s="1" t="s">
        <v>22</v>
      </c>
      <c r="L122" s="1" t="s">
        <v>23</v>
      </c>
      <c r="M122" s="1" t="s">
        <v>24</v>
      </c>
      <c r="O122" s="1" t="s">
        <v>25</v>
      </c>
      <c r="P122" s="1" t="s">
        <v>26</v>
      </c>
      <c r="Q122" s="1" t="n">
        <v>5</v>
      </c>
    </row>
    <row r="123" customFormat="false" ht="15" hidden="false" customHeight="true" outlineLevel="0" collapsed="false">
      <c r="A123" s="1" t="s">
        <v>306</v>
      </c>
      <c r="B123" s="1" t="s">
        <v>307</v>
      </c>
      <c r="C123" s="1" t="s">
        <v>39</v>
      </c>
      <c r="E123" s="1" t="n">
        <v>60</v>
      </c>
      <c r="F123" s="1" t="n">
        <v>20</v>
      </c>
      <c r="G123" s="1" t="n">
        <v>30</v>
      </c>
      <c r="H123" s="1" t="n">
        <v>60</v>
      </c>
      <c r="I123" s="1" t="s">
        <v>109</v>
      </c>
      <c r="J123" s="1" t="s">
        <v>40</v>
      </c>
      <c r="K123" s="1" t="s">
        <v>22</v>
      </c>
      <c r="L123" s="1" t="s">
        <v>32</v>
      </c>
      <c r="M123" s="1" t="s">
        <v>33</v>
      </c>
      <c r="O123" s="1" t="s">
        <v>43</v>
      </c>
      <c r="P123" s="1" t="s">
        <v>88</v>
      </c>
      <c r="Q123" s="1" t="n">
        <v>2</v>
      </c>
    </row>
    <row r="124" customFormat="false" ht="15" hidden="false" customHeight="true" outlineLevel="0" collapsed="false">
      <c r="A124" s="1" t="s">
        <v>308</v>
      </c>
      <c r="B124" s="1" t="s">
        <v>309</v>
      </c>
      <c r="C124" s="1" t="s">
        <v>29</v>
      </c>
      <c r="E124" s="1" t="n">
        <v>60</v>
      </c>
      <c r="F124" s="1" t="n">
        <v>30</v>
      </c>
      <c r="G124" s="1" t="n">
        <v>50</v>
      </c>
      <c r="H124" s="1" t="n">
        <v>20</v>
      </c>
      <c r="I124" s="1" t="s">
        <v>30</v>
      </c>
      <c r="J124" s="1" t="s">
        <v>86</v>
      </c>
      <c r="K124" s="1" t="s">
        <v>22</v>
      </c>
      <c r="L124" s="1" t="s">
        <v>32</v>
      </c>
      <c r="M124" s="1" t="s">
        <v>34</v>
      </c>
      <c r="O124" s="1" t="s">
        <v>35</v>
      </c>
      <c r="P124" s="1" t="s">
        <v>36</v>
      </c>
      <c r="Q124" s="1" t="n">
        <v>3</v>
      </c>
    </row>
    <row r="125" customFormat="false" ht="15" hidden="false" customHeight="true" outlineLevel="0" collapsed="false">
      <c r="A125" s="1" t="s">
        <v>310</v>
      </c>
      <c r="B125" s="1" t="s">
        <v>311</v>
      </c>
      <c r="C125" s="1" t="s">
        <v>77</v>
      </c>
      <c r="D125" s="1" t="s">
        <v>55</v>
      </c>
      <c r="E125" s="1" t="n">
        <v>20</v>
      </c>
      <c r="F125" s="1" t="n">
        <v>60</v>
      </c>
      <c r="G125" s="1" t="n">
        <v>80</v>
      </c>
      <c r="H125" s="1" t="n">
        <v>60</v>
      </c>
      <c r="I125" s="1" t="s">
        <v>125</v>
      </c>
      <c r="J125" s="1" t="s">
        <v>57</v>
      </c>
      <c r="K125" s="1" t="s">
        <v>47</v>
      </c>
      <c r="L125" s="1" t="s">
        <v>120</v>
      </c>
      <c r="M125" s="1" t="s">
        <v>42</v>
      </c>
      <c r="O125" s="1" t="s">
        <v>43</v>
      </c>
      <c r="P125" s="1" t="s">
        <v>26</v>
      </c>
      <c r="Q125" s="1" t="n">
        <v>2</v>
      </c>
    </row>
    <row r="126" customFormat="false" ht="15" hidden="false" customHeight="true" outlineLevel="0" collapsed="false">
      <c r="A126" s="1" t="s">
        <v>312</v>
      </c>
      <c r="B126" s="1" t="s">
        <v>313</v>
      </c>
      <c r="C126" s="1" t="s">
        <v>46</v>
      </c>
      <c r="E126" s="1" t="n">
        <v>80</v>
      </c>
      <c r="F126" s="1" t="n">
        <v>80</v>
      </c>
      <c r="G126" s="1" t="n">
        <v>40</v>
      </c>
      <c r="H126" s="1" t="n">
        <v>40</v>
      </c>
      <c r="I126" s="1" t="s">
        <v>56</v>
      </c>
      <c r="J126" s="1" t="s">
        <v>50</v>
      </c>
      <c r="K126" s="1" t="s">
        <v>47</v>
      </c>
      <c r="L126" s="1" t="s">
        <v>23</v>
      </c>
      <c r="M126" s="1" t="s">
        <v>52</v>
      </c>
      <c r="O126" s="1" t="s">
        <v>35</v>
      </c>
      <c r="P126" s="1" t="s">
        <v>26</v>
      </c>
      <c r="Q126" s="1" t="n">
        <v>3</v>
      </c>
    </row>
    <row r="127" customFormat="false" ht="15" hidden="false" customHeight="true" outlineLevel="0" collapsed="false">
      <c r="A127" s="1" t="s">
        <v>314</v>
      </c>
      <c r="B127" s="1" t="s">
        <v>315</v>
      </c>
      <c r="C127" s="1" t="s">
        <v>39</v>
      </c>
      <c r="D127" s="1" t="s">
        <v>29</v>
      </c>
      <c r="E127" s="1" t="n">
        <v>60</v>
      </c>
      <c r="F127" s="1" t="n">
        <v>50</v>
      </c>
      <c r="G127" s="1" t="n">
        <v>60</v>
      </c>
      <c r="H127" s="1" t="n">
        <v>50</v>
      </c>
      <c r="I127" s="1" t="s">
        <v>40</v>
      </c>
      <c r="J127" s="1" t="s">
        <v>144</v>
      </c>
      <c r="K127" s="1" t="s">
        <v>22</v>
      </c>
      <c r="L127" s="1" t="s">
        <v>32</v>
      </c>
      <c r="M127" s="1" t="s">
        <v>33</v>
      </c>
      <c r="O127" s="1" t="s">
        <v>43</v>
      </c>
      <c r="P127" s="1" t="s">
        <v>36</v>
      </c>
      <c r="Q127" s="1" t="n">
        <v>2</v>
      </c>
    </row>
    <row r="128" customFormat="false" ht="15" hidden="false" customHeight="true" outlineLevel="0" collapsed="false">
      <c r="A128" s="1" t="s">
        <v>316</v>
      </c>
      <c r="B128" s="1" t="s">
        <v>317</v>
      </c>
      <c r="C128" s="1" t="s">
        <v>29</v>
      </c>
      <c r="E128" s="1" t="n">
        <v>50</v>
      </c>
      <c r="F128" s="1" t="n">
        <v>60</v>
      </c>
      <c r="G128" s="1" t="n">
        <v>80</v>
      </c>
      <c r="H128" s="1" t="n">
        <v>30</v>
      </c>
      <c r="I128" s="1" t="s">
        <v>20</v>
      </c>
      <c r="J128" s="1" t="s">
        <v>30</v>
      </c>
      <c r="K128" s="1" t="s">
        <v>22</v>
      </c>
      <c r="L128" s="1" t="s">
        <v>32</v>
      </c>
      <c r="M128" s="1" t="s">
        <v>34</v>
      </c>
      <c r="N128" s="1" t="s">
        <v>33</v>
      </c>
      <c r="O128" s="1" t="s">
        <v>35</v>
      </c>
      <c r="P128" s="1" t="s">
        <v>36</v>
      </c>
      <c r="Q128" s="1" t="n">
        <v>3</v>
      </c>
    </row>
    <row r="129" customFormat="false" ht="15" hidden="false" customHeight="true" outlineLevel="0" collapsed="false">
      <c r="A129" s="1" t="s">
        <v>318</v>
      </c>
      <c r="B129" s="1" t="s">
        <v>319</v>
      </c>
      <c r="C129" s="1" t="s">
        <v>77</v>
      </c>
      <c r="D129" s="1" t="s">
        <v>29</v>
      </c>
      <c r="E129" s="1" t="n">
        <v>30</v>
      </c>
      <c r="F129" s="1" t="n">
        <v>90</v>
      </c>
      <c r="G129" s="1" t="n">
        <v>60</v>
      </c>
      <c r="H129" s="1" t="n">
        <v>40</v>
      </c>
      <c r="I129" s="1" t="s">
        <v>64</v>
      </c>
      <c r="J129" s="1" t="s">
        <v>78</v>
      </c>
      <c r="K129" s="1" t="s">
        <v>22</v>
      </c>
      <c r="L129" s="1" t="s">
        <v>32</v>
      </c>
      <c r="M129" s="1" t="s">
        <v>42</v>
      </c>
      <c r="O129" s="1" t="s">
        <v>43</v>
      </c>
      <c r="P129" s="1" t="s">
        <v>36</v>
      </c>
      <c r="Q129" s="1" t="n">
        <v>2</v>
      </c>
    </row>
    <row r="130" customFormat="false" ht="15" hidden="false" customHeight="true" outlineLevel="0" collapsed="false">
      <c r="A130" s="1" t="s">
        <v>320</v>
      </c>
      <c r="B130" s="1" t="s">
        <v>321</v>
      </c>
      <c r="C130" s="1" t="s">
        <v>46</v>
      </c>
      <c r="E130" s="1" t="n">
        <v>80</v>
      </c>
      <c r="F130" s="1" t="n">
        <v>50</v>
      </c>
      <c r="G130" s="1" t="n">
        <v>30</v>
      </c>
      <c r="H130" s="1" t="n">
        <v>20</v>
      </c>
      <c r="I130" s="1" t="s">
        <v>40</v>
      </c>
      <c r="J130" s="1" t="s">
        <v>21</v>
      </c>
      <c r="K130" s="1" t="s">
        <v>47</v>
      </c>
      <c r="L130" s="1" t="s">
        <v>23</v>
      </c>
      <c r="M130" s="1" t="s">
        <v>52</v>
      </c>
      <c r="O130" s="1" t="s">
        <v>35</v>
      </c>
      <c r="P130" s="1" t="s">
        <v>26</v>
      </c>
      <c r="Q130" s="1" t="n">
        <v>3</v>
      </c>
    </row>
    <row r="131" customFormat="false" ht="15" hidden="false" customHeight="true" outlineLevel="0" collapsed="false">
      <c r="A131" s="1" t="s">
        <v>322</v>
      </c>
      <c r="B131" s="1" t="s">
        <v>323</v>
      </c>
      <c r="C131" s="1" t="s">
        <v>19</v>
      </c>
      <c r="E131" s="1" t="n">
        <v>70</v>
      </c>
      <c r="F131" s="1" t="n">
        <v>10</v>
      </c>
      <c r="G131" s="1" t="n">
        <v>20</v>
      </c>
      <c r="H131" s="1" t="n">
        <v>40</v>
      </c>
      <c r="I131" s="1" t="s">
        <v>20</v>
      </c>
      <c r="J131" s="1" t="s">
        <v>50</v>
      </c>
      <c r="K131" s="1" t="s">
        <v>22</v>
      </c>
      <c r="L131" s="1" t="s">
        <v>23</v>
      </c>
      <c r="M131" s="1" t="s">
        <v>24</v>
      </c>
      <c r="O131" s="1" t="s">
        <v>74</v>
      </c>
      <c r="P131" s="1" t="s">
        <v>26</v>
      </c>
      <c r="Q131" s="1" t="n">
        <v>4</v>
      </c>
    </row>
    <row r="132" customFormat="false" ht="15" hidden="false" customHeight="true" outlineLevel="0" collapsed="false">
      <c r="A132" s="1" t="s">
        <v>324</v>
      </c>
      <c r="B132" s="1" t="s">
        <v>325</v>
      </c>
      <c r="C132" s="1" t="s">
        <v>29</v>
      </c>
      <c r="D132" s="1" t="s">
        <v>39</v>
      </c>
      <c r="E132" s="1" t="n">
        <v>60</v>
      </c>
      <c r="F132" s="1" t="n">
        <v>50</v>
      </c>
      <c r="G132" s="1" t="n">
        <v>60</v>
      </c>
      <c r="H132" s="1" t="n">
        <v>50</v>
      </c>
      <c r="I132" s="1" t="s">
        <v>40</v>
      </c>
      <c r="J132" s="1" t="s">
        <v>109</v>
      </c>
      <c r="K132" s="1" t="s">
        <v>22</v>
      </c>
      <c r="L132" s="1" t="s">
        <v>32</v>
      </c>
      <c r="M132" s="1" t="s">
        <v>34</v>
      </c>
      <c r="O132" s="1" t="s">
        <v>35</v>
      </c>
      <c r="P132" s="1" t="s">
        <v>36</v>
      </c>
      <c r="Q132" s="1" t="n">
        <v>3</v>
      </c>
    </row>
    <row r="133" customFormat="false" ht="15" hidden="false" customHeight="true" outlineLevel="0" collapsed="false">
      <c r="A133" s="1" t="s">
        <v>326</v>
      </c>
      <c r="B133" s="1" t="s">
        <v>327</v>
      </c>
      <c r="C133" s="1" t="s">
        <v>77</v>
      </c>
      <c r="E133" s="1" t="n">
        <v>30</v>
      </c>
      <c r="F133" s="1" t="n">
        <v>100</v>
      </c>
      <c r="G133" s="1" t="n">
        <v>70</v>
      </c>
      <c r="H133" s="1" t="n">
        <v>30</v>
      </c>
      <c r="I133" s="1" t="s">
        <v>78</v>
      </c>
      <c r="J133" s="1" t="s">
        <v>57</v>
      </c>
      <c r="K133" s="1" t="s">
        <v>22</v>
      </c>
      <c r="L133" s="1" t="s">
        <v>32</v>
      </c>
      <c r="M133" s="1" t="s">
        <v>42</v>
      </c>
      <c r="O133" s="1" t="s">
        <v>43</v>
      </c>
      <c r="P133" s="1" t="s">
        <v>26</v>
      </c>
      <c r="Q133" s="1" t="n">
        <v>2</v>
      </c>
    </row>
    <row r="134" customFormat="false" ht="15" hidden="false" customHeight="true" outlineLevel="0" collapsed="false">
      <c r="A134" s="1" t="s">
        <v>328</v>
      </c>
      <c r="B134" s="1" t="s">
        <v>329</v>
      </c>
      <c r="C134" s="1" t="s">
        <v>39</v>
      </c>
      <c r="E134" s="1" t="n">
        <v>80</v>
      </c>
      <c r="F134" s="1" t="n">
        <v>40</v>
      </c>
      <c r="G134" s="1" t="n">
        <v>40</v>
      </c>
      <c r="H134" s="1" t="n">
        <v>70</v>
      </c>
      <c r="I134" s="1" t="s">
        <v>40</v>
      </c>
      <c r="J134" s="1" t="s">
        <v>86</v>
      </c>
      <c r="K134" s="1" t="s">
        <v>22</v>
      </c>
      <c r="L134" s="1" t="s">
        <v>32</v>
      </c>
      <c r="M134" s="1" t="s">
        <v>33</v>
      </c>
      <c r="O134" s="1" t="s">
        <v>43</v>
      </c>
      <c r="P134" s="1" t="s">
        <v>88</v>
      </c>
      <c r="Q134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330</v>
      </c>
      <c r="B1" s="2" t="s">
        <v>55</v>
      </c>
      <c r="C1" s="2" t="s">
        <v>29</v>
      </c>
      <c r="D1" s="2" t="s">
        <v>39</v>
      </c>
      <c r="E1" s="2" t="s">
        <v>46</v>
      </c>
      <c r="F1" s="2" t="s">
        <v>19</v>
      </c>
      <c r="G1" s="2" t="s">
        <v>77</v>
      </c>
    </row>
    <row r="2" customFormat="false" ht="15" hidden="false" customHeight="true" outlineLevel="0" collapsed="false">
      <c r="A2" s="2" t="s">
        <v>55</v>
      </c>
      <c r="B2" s="1" t="n">
        <v>0</v>
      </c>
      <c r="C2" s="1" t="n">
        <v>0</v>
      </c>
      <c r="D2" s="1" t="n">
        <v>2</v>
      </c>
      <c r="E2" s="1" t="n">
        <v>-1</v>
      </c>
      <c r="F2" s="1" t="n">
        <v>-1</v>
      </c>
      <c r="G2" s="1" t="n">
        <v>-1</v>
      </c>
    </row>
    <row r="3" customFormat="false" ht="15" hidden="false" customHeight="true" outlineLevel="0" collapsed="false">
      <c r="A3" s="2" t="s">
        <v>29</v>
      </c>
      <c r="B3" s="1" t="n">
        <v>0</v>
      </c>
      <c r="C3" s="1" t="n">
        <v>0</v>
      </c>
      <c r="D3" s="1" t="n">
        <v>1</v>
      </c>
      <c r="E3" s="1" t="n">
        <v>1</v>
      </c>
      <c r="F3" s="1" t="n">
        <v>2</v>
      </c>
      <c r="G3" s="1" t="n">
        <v>0</v>
      </c>
    </row>
    <row r="4" customFormat="false" ht="15" hidden="false" customHeight="true" outlineLevel="0" collapsed="false">
      <c r="A4" s="2" t="s">
        <v>39</v>
      </c>
      <c r="B4" s="1" t="n">
        <v>-1</v>
      </c>
      <c r="C4" s="1" t="n">
        <v>0</v>
      </c>
      <c r="D4" s="1" t="n">
        <v>0</v>
      </c>
      <c r="E4" s="1" t="n">
        <v>2</v>
      </c>
      <c r="F4" s="1" t="n">
        <v>2</v>
      </c>
      <c r="G4" s="1" t="n">
        <v>1</v>
      </c>
    </row>
    <row r="5" customFormat="false" ht="15" hidden="false" customHeight="true" outlineLevel="0" collapsed="false">
      <c r="A5" s="2" t="s">
        <v>46</v>
      </c>
      <c r="B5" s="1" t="n">
        <v>1</v>
      </c>
      <c r="C5" s="1" t="n">
        <v>1</v>
      </c>
      <c r="D5" s="1" t="n">
        <v>-1</v>
      </c>
      <c r="E5" s="1" t="n">
        <v>0</v>
      </c>
      <c r="F5" s="1" t="n">
        <v>1</v>
      </c>
      <c r="G5" s="1" t="n">
        <v>0</v>
      </c>
    </row>
    <row r="6" customFormat="false" ht="15" hidden="false" customHeight="true" outlineLevel="0" collapsed="false">
      <c r="A6" s="2" t="s">
        <v>19</v>
      </c>
      <c r="B6" s="1" t="n">
        <v>1</v>
      </c>
      <c r="C6" s="1" t="n">
        <v>-1</v>
      </c>
      <c r="D6" s="1" t="n">
        <v>-1</v>
      </c>
      <c r="E6" s="1" t="n">
        <v>0</v>
      </c>
      <c r="F6" s="1" t="n">
        <v>0</v>
      </c>
      <c r="G6" s="1" t="n">
        <v>0</v>
      </c>
    </row>
    <row r="7" customFormat="false" ht="15" hidden="false" customHeight="true" outlineLevel="0" collapsed="false">
      <c r="A7" s="2" t="s">
        <v>77</v>
      </c>
      <c r="B7" s="1" t="n">
        <v>-1</v>
      </c>
      <c r="C7" s="1" t="n">
        <v>-1</v>
      </c>
      <c r="D7" s="1" t="n">
        <v>-2</v>
      </c>
      <c r="E7" s="1" t="n">
        <v>-1</v>
      </c>
      <c r="F7" s="1" t="n">
        <v>-1</v>
      </c>
      <c r="G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55"/>
  </cols>
  <sheetData>
    <row r="1" customFormat="false" ht="15" hidden="false" customHeight="true" outlineLevel="0" collapsed="false">
      <c r="A1" s="2" t="s">
        <v>331</v>
      </c>
      <c r="B1" s="2" t="s">
        <v>332</v>
      </c>
      <c r="C1" s="2" t="s">
        <v>333</v>
      </c>
    </row>
    <row r="2" customFormat="false" ht="15" hidden="false" customHeight="true" outlineLevel="0" collapsed="false">
      <c r="A2" s="1" t="s">
        <v>334</v>
      </c>
      <c r="B2" s="1" t="n">
        <v>5</v>
      </c>
      <c r="C2" s="1" t="s">
        <v>335</v>
      </c>
    </row>
    <row r="3" customFormat="false" ht="15" hidden="false" customHeight="true" outlineLevel="0" collapsed="false">
      <c r="A3" s="1" t="s">
        <v>336</v>
      </c>
      <c r="B3" s="1" t="n">
        <v>0.1</v>
      </c>
      <c r="C3" s="1" t="s">
        <v>337</v>
      </c>
    </row>
    <row r="4" customFormat="false" ht="15" hidden="false" customHeight="true" outlineLevel="0" collapsed="false">
      <c r="A4" s="1" t="s">
        <v>338</v>
      </c>
      <c r="B4" s="1" t="n">
        <v>0.3</v>
      </c>
      <c r="C4" s="1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24"/>
  </cols>
  <sheetData>
    <row r="1" customFormat="false" ht="15" hidden="false" customHeight="true" outlineLevel="0" collapsed="false">
      <c r="A1" s="2" t="s">
        <v>340</v>
      </c>
      <c r="B1" s="2" t="s">
        <v>341</v>
      </c>
      <c r="C1" s="2" t="s">
        <v>342</v>
      </c>
      <c r="D1" s="2" t="s">
        <v>343</v>
      </c>
      <c r="E1" s="3" t="s">
        <v>344</v>
      </c>
    </row>
    <row r="2" customFormat="false" ht="15" hidden="false" customHeight="true" outlineLevel="0" collapsed="false">
      <c r="E2" s="3" t="str">
        <f aca="false">A2&amp;"|"&amp;B2</f>
        <v>|</v>
      </c>
    </row>
    <row r="3" customFormat="false" ht="15" hidden="false" customHeight="true" outlineLevel="0" collapsed="false">
      <c r="E3" s="3" t="str">
        <f aca="false">A3&amp;"|"&amp;B3</f>
        <v>|</v>
      </c>
    </row>
    <row r="4" customFormat="false" ht="15" hidden="false" customHeight="true" outlineLevel="0" collapsed="false">
      <c r="E4" s="3" t="str">
        <f aca="false">A4&amp;"|"&amp;B4</f>
        <v>|</v>
      </c>
    </row>
    <row r="5" customFormat="false" ht="15" hidden="false" customHeight="true" outlineLevel="0" collapsed="false">
      <c r="E5" s="3" t="str">
        <f aca="false">A5&amp;"|"&amp;B5</f>
        <v>|</v>
      </c>
    </row>
    <row r="6" customFormat="false" ht="15" hidden="false" customHeight="true" outlineLevel="0" collapsed="false">
      <c r="E6" s="3" t="str">
        <f aca="false">A6&amp;"|"&amp;B6</f>
        <v>|</v>
      </c>
    </row>
    <row r="7" customFormat="false" ht="15" hidden="false" customHeight="true" outlineLevel="0" collapsed="false">
      <c r="E7" s="3" t="str">
        <f aca="false">A7&amp;"|"&amp;B7</f>
        <v>|</v>
      </c>
    </row>
    <row r="8" customFormat="false" ht="15" hidden="false" customHeight="true" outlineLevel="0" collapsed="false">
      <c r="E8" s="3" t="str">
        <f aca="false">A8&amp;"|"&amp;B8</f>
        <v>|</v>
      </c>
    </row>
    <row r="9" customFormat="false" ht="15" hidden="false" customHeight="true" outlineLevel="0" collapsed="false">
      <c r="E9" s="3" t="str">
        <f aca="false">A9&amp;"|"&amp;B9</f>
        <v>|</v>
      </c>
    </row>
    <row r="10" customFormat="false" ht="15" hidden="false" customHeight="true" outlineLevel="0" collapsed="false">
      <c r="E10" s="3" t="str">
        <f aca="false">A10&amp;"|"&amp;B10</f>
        <v>|</v>
      </c>
    </row>
    <row r="11" customFormat="false" ht="15" hidden="false" customHeight="true" outlineLevel="0" collapsed="false">
      <c r="E11" s="3" t="str">
        <f aca="false">A11&amp;"|"&amp;B11</f>
        <v>|</v>
      </c>
    </row>
    <row r="12" customFormat="false" ht="15" hidden="false" customHeight="true" outlineLevel="0" collapsed="false">
      <c r="E12" s="3" t="str">
        <f aca="false">A12&amp;"|"&amp;B12</f>
        <v>|</v>
      </c>
    </row>
    <row r="13" customFormat="false" ht="15" hidden="false" customHeight="true" outlineLevel="0" collapsed="false">
      <c r="E13" s="3" t="str">
        <f aca="false">A13&amp;"|"&amp;B13</f>
        <v>|</v>
      </c>
    </row>
    <row r="14" customFormat="false" ht="15" hidden="false" customHeight="true" outlineLevel="0" collapsed="false">
      <c r="E14" s="3" t="str">
        <f aca="false">A14&amp;"|"&amp;B14</f>
        <v>|</v>
      </c>
    </row>
    <row r="15" customFormat="false" ht="15" hidden="false" customHeight="true" outlineLevel="0" collapsed="false">
      <c r="E15" s="3" t="str">
        <f aca="false">A15&amp;"|"&amp;B15</f>
        <v>|</v>
      </c>
    </row>
    <row r="16" customFormat="false" ht="15" hidden="false" customHeight="true" outlineLevel="0" collapsed="false">
      <c r="E16" s="3" t="str">
        <f aca="false">A16&amp;"|"&amp;B16</f>
        <v>|</v>
      </c>
    </row>
    <row r="17" customFormat="false" ht="15" hidden="false" customHeight="true" outlineLevel="0" collapsed="false">
      <c r="E17" s="3" t="str">
        <f aca="false">A17&amp;"|"&amp;B17</f>
        <v>|</v>
      </c>
    </row>
    <row r="18" customFormat="false" ht="15" hidden="false" customHeight="true" outlineLevel="0" collapsed="false">
      <c r="E18" s="3" t="str">
        <f aca="false">A18&amp;"|"&amp;B18</f>
        <v>|</v>
      </c>
    </row>
    <row r="19" customFormat="false" ht="15" hidden="false" customHeight="true" outlineLevel="0" collapsed="false">
      <c r="E19" s="3" t="str">
        <f aca="false">A19&amp;"|"&amp;B19</f>
        <v>|</v>
      </c>
    </row>
    <row r="20" customFormat="false" ht="15" hidden="false" customHeight="true" outlineLevel="0" collapsed="false">
      <c r="E20" s="3" t="str">
        <f aca="false">A20&amp;"|"&amp;B20</f>
        <v>|</v>
      </c>
    </row>
    <row r="21" customFormat="false" ht="15" hidden="false" customHeight="true" outlineLevel="0" collapsed="false">
      <c r="E21" s="3" t="str">
        <f aca="false">A21&amp;"|"&amp;B21</f>
        <v>|</v>
      </c>
    </row>
    <row r="22" customFormat="false" ht="15" hidden="false" customHeight="true" outlineLevel="0" collapsed="false">
      <c r="E22" s="3" t="str">
        <f aca="false">A22&amp;"|"&amp;B22</f>
        <v>|</v>
      </c>
    </row>
    <row r="23" customFormat="false" ht="15" hidden="false" customHeight="true" outlineLevel="0" collapsed="false">
      <c r="E23" s="3" t="str">
        <f aca="false">A23&amp;"|"&amp;B23</f>
        <v>|</v>
      </c>
    </row>
    <row r="24" customFormat="false" ht="15" hidden="false" customHeight="true" outlineLevel="0" collapsed="false">
      <c r="E24" s="3" t="str">
        <f aca="false">A24&amp;"|"&amp;B24</f>
        <v>|</v>
      </c>
    </row>
    <row r="25" customFormat="false" ht="15" hidden="false" customHeight="true" outlineLevel="0" collapsed="false">
      <c r="E25" s="3" t="str">
        <f aca="false">A25&amp;"|"&amp;B25</f>
        <v>|</v>
      </c>
    </row>
    <row r="26" customFormat="false" ht="15" hidden="false" customHeight="true" outlineLevel="0" collapsed="false">
      <c r="E26" s="3" t="str">
        <f aca="false">A26&amp;"|"&amp;B26</f>
        <v>|</v>
      </c>
    </row>
    <row r="27" customFormat="false" ht="15" hidden="false" customHeight="true" outlineLevel="0" collapsed="false">
      <c r="E27" s="3" t="str">
        <f aca="false">A27&amp;"|"&amp;B27</f>
        <v>|</v>
      </c>
    </row>
    <row r="28" customFormat="false" ht="15" hidden="false" customHeight="true" outlineLevel="0" collapsed="false">
      <c r="E28" s="3" t="str">
        <f aca="false">A28&amp;"|"&amp;B28</f>
        <v>|</v>
      </c>
    </row>
    <row r="29" customFormat="false" ht="15" hidden="false" customHeight="true" outlineLevel="0" collapsed="false">
      <c r="E29" s="3" t="str">
        <f aca="false">A29&amp;"|"&amp;B29</f>
        <v>|</v>
      </c>
    </row>
    <row r="30" customFormat="false" ht="15" hidden="false" customHeight="true" outlineLevel="0" collapsed="false">
      <c r="E30" s="3" t="str">
        <f aca="false">A30&amp;"|"&amp;B30</f>
        <v>|</v>
      </c>
    </row>
    <row r="31" customFormat="false" ht="15" hidden="false" customHeight="true" outlineLevel="0" collapsed="false">
      <c r="E31" s="3" t="str">
        <f aca="false">A31&amp;"|"&amp;B31</f>
        <v>|</v>
      </c>
    </row>
    <row r="32" customFormat="false" ht="15" hidden="false" customHeight="true" outlineLevel="0" collapsed="false">
      <c r="E32" s="3" t="str">
        <f aca="false">A32&amp;"|"&amp;B32</f>
        <v>|</v>
      </c>
    </row>
    <row r="33" customFormat="false" ht="15" hidden="false" customHeight="true" outlineLevel="0" collapsed="false">
      <c r="E33" s="3" t="str">
        <f aca="false">A33&amp;"|"&amp;B33</f>
        <v>|</v>
      </c>
    </row>
    <row r="34" customFormat="false" ht="15" hidden="false" customHeight="true" outlineLevel="0" collapsed="false">
      <c r="E34" s="3" t="str">
        <f aca="false">A34&amp;"|"&amp;B34</f>
        <v>|</v>
      </c>
    </row>
    <row r="35" customFormat="false" ht="15" hidden="false" customHeight="true" outlineLevel="0" collapsed="false">
      <c r="E35" s="3" t="str">
        <f aca="false">A35&amp;"|"&amp;B35</f>
        <v>|</v>
      </c>
    </row>
    <row r="36" customFormat="false" ht="15" hidden="false" customHeight="true" outlineLevel="0" collapsed="false">
      <c r="E36" s="3" t="str">
        <f aca="false">A36&amp;"|"&amp;B36</f>
        <v>|</v>
      </c>
    </row>
    <row r="37" customFormat="false" ht="15" hidden="false" customHeight="true" outlineLevel="0" collapsed="false">
      <c r="E37" s="3" t="str">
        <f aca="false">A37&amp;"|"&amp;B37</f>
        <v>|</v>
      </c>
    </row>
    <row r="38" customFormat="false" ht="15" hidden="false" customHeight="true" outlineLevel="0" collapsed="false">
      <c r="E38" s="3" t="str">
        <f aca="false">A38&amp;"|"&amp;B38</f>
        <v>|</v>
      </c>
    </row>
    <row r="39" customFormat="false" ht="15" hidden="false" customHeight="true" outlineLevel="0" collapsed="false">
      <c r="E39" s="3" t="str">
        <f aca="false">A39&amp;"|"&amp;B39</f>
        <v>|</v>
      </c>
    </row>
    <row r="40" customFormat="false" ht="15" hidden="false" customHeight="true" outlineLevel="0" collapsed="false">
      <c r="E40" s="3" t="str">
        <f aca="false">A40&amp;"|"&amp;B40</f>
        <v>|</v>
      </c>
    </row>
    <row r="41" customFormat="false" ht="15" hidden="false" customHeight="true" outlineLevel="0" collapsed="false">
      <c r="E41" s="3" t="str">
        <f aca="false">A41&amp;"|"&amp;B41</f>
        <v>|</v>
      </c>
    </row>
    <row r="42" customFormat="false" ht="15" hidden="false" customHeight="true" outlineLevel="0" collapsed="false">
      <c r="E42" s="3" t="str">
        <f aca="false">A42&amp;"|"&amp;B42</f>
        <v>|</v>
      </c>
    </row>
    <row r="43" customFormat="false" ht="15" hidden="false" customHeight="true" outlineLevel="0" collapsed="false">
      <c r="E43" s="3" t="str">
        <f aca="false">A43&amp;"|"&amp;B43</f>
        <v>|</v>
      </c>
    </row>
    <row r="44" customFormat="false" ht="15" hidden="false" customHeight="true" outlineLevel="0" collapsed="false">
      <c r="E44" s="3" t="str">
        <f aca="false">A44&amp;"|"&amp;B44</f>
        <v>|</v>
      </c>
    </row>
    <row r="45" customFormat="false" ht="15" hidden="false" customHeight="true" outlineLevel="0" collapsed="false">
      <c r="E45" s="3" t="str">
        <f aca="false">A45&amp;"|"&amp;B45</f>
        <v>|</v>
      </c>
    </row>
    <row r="46" customFormat="false" ht="15" hidden="false" customHeight="true" outlineLevel="0" collapsed="false">
      <c r="E46" s="3" t="str">
        <f aca="false">A46&amp;"|"&amp;B46</f>
        <v>|</v>
      </c>
    </row>
    <row r="47" customFormat="false" ht="15" hidden="false" customHeight="true" outlineLevel="0" collapsed="false">
      <c r="E47" s="3" t="str">
        <f aca="false">A47&amp;"|"&amp;B47</f>
        <v>|</v>
      </c>
    </row>
    <row r="48" customFormat="false" ht="15" hidden="false" customHeight="true" outlineLevel="0" collapsed="false">
      <c r="E48" s="3" t="str">
        <f aca="false">A48&amp;"|"&amp;B48</f>
        <v>|</v>
      </c>
    </row>
    <row r="49" customFormat="false" ht="15" hidden="false" customHeight="true" outlineLevel="0" collapsed="false">
      <c r="E49" s="3" t="str">
        <f aca="false">A49&amp;"|"&amp;B49</f>
        <v>|</v>
      </c>
    </row>
    <row r="50" customFormat="false" ht="15" hidden="false" customHeight="true" outlineLevel="0" collapsed="false">
      <c r="E50" s="3" t="str">
        <f aca="false">A50&amp;"|"&amp;B50</f>
        <v>|</v>
      </c>
    </row>
    <row r="51" customFormat="false" ht="15" hidden="false" customHeight="true" outlineLevel="0" collapsed="false">
      <c r="E51" s="3" t="str">
        <f aca="false">A51&amp;"|"&amp;B51</f>
        <v>|</v>
      </c>
    </row>
    <row r="52" customFormat="false" ht="15" hidden="false" customHeight="true" outlineLevel="0" collapsed="false">
      <c r="E52" s="3" t="str">
        <f aca="false">A52&amp;"|"&amp;B52</f>
        <v>|</v>
      </c>
    </row>
    <row r="53" customFormat="false" ht="15" hidden="false" customHeight="true" outlineLevel="0" collapsed="false">
      <c r="E53" s="3" t="str">
        <f aca="false">A53&amp;"|"&amp;B53</f>
        <v>|</v>
      </c>
    </row>
    <row r="54" customFormat="false" ht="15" hidden="false" customHeight="true" outlineLevel="0" collapsed="false">
      <c r="E54" s="3" t="str">
        <f aca="false">A54&amp;"|"&amp;B54</f>
        <v>|</v>
      </c>
    </row>
    <row r="55" customFormat="false" ht="15" hidden="false" customHeight="true" outlineLevel="0" collapsed="false">
      <c r="E55" s="3" t="str">
        <f aca="false">A55&amp;"|"&amp;B55</f>
        <v>|</v>
      </c>
    </row>
    <row r="56" customFormat="false" ht="15" hidden="false" customHeight="true" outlineLevel="0" collapsed="false">
      <c r="E56" s="3" t="str">
        <f aca="false">A56&amp;"|"&amp;B56</f>
        <v>|</v>
      </c>
    </row>
    <row r="57" customFormat="false" ht="15" hidden="false" customHeight="true" outlineLevel="0" collapsed="false">
      <c r="E57" s="3" t="str">
        <f aca="false">A57&amp;"|"&amp;B57</f>
        <v>|</v>
      </c>
    </row>
    <row r="58" customFormat="false" ht="15" hidden="false" customHeight="true" outlineLevel="0" collapsed="false">
      <c r="E58" s="3" t="str">
        <f aca="false">A58&amp;"|"&amp;B58</f>
        <v>|</v>
      </c>
    </row>
    <row r="59" customFormat="false" ht="15" hidden="false" customHeight="true" outlineLevel="0" collapsed="false">
      <c r="E59" s="3" t="str">
        <f aca="false">A59&amp;"|"&amp;B59</f>
        <v>|</v>
      </c>
    </row>
    <row r="60" customFormat="false" ht="15" hidden="false" customHeight="true" outlineLevel="0" collapsed="false">
      <c r="E60" s="3" t="str">
        <f aca="false">A60&amp;"|"&amp;B60</f>
        <v>|</v>
      </c>
    </row>
    <row r="61" customFormat="false" ht="15" hidden="false" customHeight="true" outlineLevel="0" collapsed="false">
      <c r="E61" s="3" t="str">
        <f aca="false">A61&amp;"|"&amp;B61</f>
        <v>|</v>
      </c>
    </row>
    <row r="62" customFormat="false" ht="15" hidden="false" customHeight="true" outlineLevel="0" collapsed="false">
      <c r="E62" s="3" t="str">
        <f aca="false">A62&amp;"|"&amp;B62</f>
        <v>|</v>
      </c>
    </row>
    <row r="63" customFormat="false" ht="15" hidden="false" customHeight="true" outlineLevel="0" collapsed="false">
      <c r="E63" s="3" t="str">
        <f aca="false">A63&amp;"|"&amp;B63</f>
        <v>|</v>
      </c>
    </row>
    <row r="64" customFormat="false" ht="15" hidden="false" customHeight="true" outlineLevel="0" collapsed="false">
      <c r="E64" s="3" t="str">
        <f aca="false">A64&amp;"|"&amp;B64</f>
        <v>|</v>
      </c>
    </row>
    <row r="65" customFormat="false" ht="15" hidden="false" customHeight="true" outlineLevel="0" collapsed="false">
      <c r="E65" s="3" t="str">
        <f aca="false">A65&amp;"|"&amp;B65</f>
        <v>|</v>
      </c>
    </row>
    <row r="66" customFormat="false" ht="15" hidden="false" customHeight="true" outlineLevel="0" collapsed="false">
      <c r="E66" s="3" t="str">
        <f aca="false">A66&amp;"|"&amp;B66</f>
        <v>|</v>
      </c>
    </row>
    <row r="67" customFormat="false" ht="15" hidden="false" customHeight="true" outlineLevel="0" collapsed="false">
      <c r="E67" s="3" t="str">
        <f aca="false">A67&amp;"|"&amp;B67</f>
        <v>|</v>
      </c>
    </row>
    <row r="68" customFormat="false" ht="15" hidden="false" customHeight="true" outlineLevel="0" collapsed="false">
      <c r="E68" s="3" t="str">
        <f aca="false">A68&amp;"|"&amp;B68</f>
        <v>|</v>
      </c>
    </row>
    <row r="69" customFormat="false" ht="15" hidden="false" customHeight="true" outlineLevel="0" collapsed="false">
      <c r="E69" s="3" t="str">
        <f aca="false">A69&amp;"|"&amp;B69</f>
        <v>|</v>
      </c>
    </row>
    <row r="70" customFormat="false" ht="15" hidden="false" customHeight="true" outlineLevel="0" collapsed="false">
      <c r="E70" s="3" t="str">
        <f aca="false">A70&amp;"|"&amp;B70</f>
        <v>|</v>
      </c>
    </row>
    <row r="71" customFormat="false" ht="15" hidden="false" customHeight="true" outlineLevel="0" collapsed="false">
      <c r="E71" s="3" t="str">
        <f aca="false">A71&amp;"|"&amp;B71</f>
        <v>|</v>
      </c>
    </row>
    <row r="72" customFormat="false" ht="15" hidden="false" customHeight="true" outlineLevel="0" collapsed="false">
      <c r="E72" s="3" t="str">
        <f aca="false">A72&amp;"|"&amp;B72</f>
        <v>|</v>
      </c>
    </row>
    <row r="73" customFormat="false" ht="15" hidden="false" customHeight="true" outlineLevel="0" collapsed="false">
      <c r="E73" s="3" t="str">
        <f aca="false">A73&amp;"|"&amp;B73</f>
        <v>|</v>
      </c>
    </row>
    <row r="74" customFormat="false" ht="15" hidden="false" customHeight="true" outlineLevel="0" collapsed="false">
      <c r="E74" s="3" t="str">
        <f aca="false">A74&amp;"|"&amp;B74</f>
        <v>|</v>
      </c>
    </row>
    <row r="75" customFormat="false" ht="15" hidden="false" customHeight="true" outlineLevel="0" collapsed="false">
      <c r="E75" s="3" t="str">
        <f aca="false">A75&amp;"|"&amp;B75</f>
        <v>|</v>
      </c>
    </row>
    <row r="76" customFormat="false" ht="15" hidden="false" customHeight="true" outlineLevel="0" collapsed="false">
      <c r="E76" s="3" t="str">
        <f aca="false">A76&amp;"|"&amp;B76</f>
        <v>|</v>
      </c>
    </row>
    <row r="77" customFormat="false" ht="15" hidden="false" customHeight="true" outlineLevel="0" collapsed="false">
      <c r="E77" s="3" t="str">
        <f aca="false">A77&amp;"|"&amp;B77</f>
        <v>|</v>
      </c>
    </row>
    <row r="78" customFormat="false" ht="15" hidden="false" customHeight="true" outlineLevel="0" collapsed="false">
      <c r="E78" s="3" t="str">
        <f aca="false">A78&amp;"|"&amp;B78</f>
        <v>|</v>
      </c>
    </row>
    <row r="79" customFormat="false" ht="15" hidden="false" customHeight="true" outlineLevel="0" collapsed="false">
      <c r="E79" s="3" t="str">
        <f aca="false">A79&amp;"|"&amp;B79</f>
        <v>|</v>
      </c>
    </row>
    <row r="80" customFormat="false" ht="15" hidden="false" customHeight="true" outlineLevel="0" collapsed="false">
      <c r="E80" s="3" t="str">
        <f aca="false">A80&amp;"|"&amp;B80</f>
        <v>|</v>
      </c>
    </row>
    <row r="81" customFormat="false" ht="15" hidden="false" customHeight="true" outlineLevel="0" collapsed="false">
      <c r="E81" s="3" t="str">
        <f aca="false">A81&amp;"|"&amp;B81</f>
        <v>|</v>
      </c>
    </row>
    <row r="82" customFormat="false" ht="15" hidden="false" customHeight="true" outlineLevel="0" collapsed="false">
      <c r="E82" s="3" t="str">
        <f aca="false">A82&amp;"|"&amp;B82</f>
        <v>|</v>
      </c>
    </row>
    <row r="83" customFormat="false" ht="15" hidden="false" customHeight="true" outlineLevel="0" collapsed="false">
      <c r="E83" s="3" t="str">
        <f aca="false">A83&amp;"|"&amp;B83</f>
        <v>|</v>
      </c>
    </row>
    <row r="84" customFormat="false" ht="15" hidden="false" customHeight="true" outlineLevel="0" collapsed="false">
      <c r="E84" s="3" t="str">
        <f aca="false">A84&amp;"|"&amp;B84</f>
        <v>|</v>
      </c>
    </row>
    <row r="85" customFormat="false" ht="15" hidden="false" customHeight="true" outlineLevel="0" collapsed="false">
      <c r="E85" s="3" t="str">
        <f aca="false">A85&amp;"|"&amp;B85</f>
        <v>|</v>
      </c>
    </row>
    <row r="86" customFormat="false" ht="15" hidden="false" customHeight="true" outlineLevel="0" collapsed="false">
      <c r="E86" s="3" t="str">
        <f aca="false">A86&amp;"|"&amp;B86</f>
        <v>|</v>
      </c>
    </row>
    <row r="87" customFormat="false" ht="15" hidden="false" customHeight="true" outlineLevel="0" collapsed="false">
      <c r="E87" s="3" t="str">
        <f aca="false">A87&amp;"|"&amp;B87</f>
        <v>|</v>
      </c>
    </row>
    <row r="88" customFormat="false" ht="15" hidden="false" customHeight="true" outlineLevel="0" collapsed="false">
      <c r="E88" s="3" t="str">
        <f aca="false">A88&amp;"|"&amp;B88</f>
        <v>|</v>
      </c>
    </row>
    <row r="89" customFormat="false" ht="15" hidden="false" customHeight="true" outlineLevel="0" collapsed="false">
      <c r="E89" s="3" t="str">
        <f aca="false">A89&amp;"|"&amp;B89</f>
        <v>|</v>
      </c>
    </row>
    <row r="90" customFormat="false" ht="15" hidden="false" customHeight="true" outlineLevel="0" collapsed="false">
      <c r="E90" s="3" t="str">
        <f aca="false">A90&amp;"|"&amp;B90</f>
        <v>|</v>
      </c>
    </row>
    <row r="91" customFormat="false" ht="15" hidden="false" customHeight="true" outlineLevel="0" collapsed="false">
      <c r="E91" s="3" t="str">
        <f aca="false">A91&amp;"|"&amp;B91</f>
        <v>|</v>
      </c>
    </row>
    <row r="92" customFormat="false" ht="15" hidden="false" customHeight="true" outlineLevel="0" collapsed="false">
      <c r="E92" s="3" t="str">
        <f aca="false">A92&amp;"|"&amp;B92</f>
        <v>|</v>
      </c>
    </row>
    <row r="93" customFormat="false" ht="15" hidden="false" customHeight="true" outlineLevel="0" collapsed="false">
      <c r="E93" s="3" t="str">
        <f aca="false">A93&amp;"|"&amp;B93</f>
        <v>|</v>
      </c>
    </row>
    <row r="94" customFormat="false" ht="15" hidden="false" customHeight="true" outlineLevel="0" collapsed="false">
      <c r="E94" s="3" t="str">
        <f aca="false">A94&amp;"|"&amp;B94</f>
        <v>|</v>
      </c>
    </row>
    <row r="95" customFormat="false" ht="15" hidden="false" customHeight="true" outlineLevel="0" collapsed="false">
      <c r="E95" s="3" t="str">
        <f aca="false">A95&amp;"|"&amp;B95</f>
        <v>|</v>
      </c>
    </row>
    <row r="96" customFormat="false" ht="15" hidden="false" customHeight="true" outlineLevel="0" collapsed="false">
      <c r="E96" s="3" t="str">
        <f aca="false">A96&amp;"|"&amp;B96</f>
        <v>|</v>
      </c>
    </row>
    <row r="97" customFormat="false" ht="15" hidden="false" customHeight="true" outlineLevel="0" collapsed="false">
      <c r="E97" s="3" t="str">
        <f aca="false">A97&amp;"|"&amp;B97</f>
        <v>|</v>
      </c>
    </row>
    <row r="98" customFormat="false" ht="15" hidden="false" customHeight="true" outlineLevel="0" collapsed="false">
      <c r="E98" s="3" t="str">
        <f aca="false">A98&amp;"|"&amp;B98</f>
        <v>|</v>
      </c>
    </row>
    <row r="99" customFormat="false" ht="15" hidden="false" customHeight="true" outlineLevel="0" collapsed="false">
      <c r="E99" s="3" t="str">
        <f aca="false">A99&amp;"|"&amp;B99</f>
        <v>|</v>
      </c>
    </row>
    <row r="100" customFormat="false" ht="15" hidden="false" customHeight="true" outlineLevel="0" collapsed="false">
      <c r="E100" s="3" t="str">
        <f aca="false">A100&amp;"|"&amp;B100</f>
        <v>|</v>
      </c>
    </row>
    <row r="101" customFormat="false" ht="15" hidden="false" customHeight="true" outlineLevel="0" collapsed="false">
      <c r="E101" s="3" t="str">
        <f aca="false">A101&amp;"|"&amp;B101</f>
        <v>|</v>
      </c>
    </row>
    <row r="102" customFormat="false" ht="15" hidden="false" customHeight="true" outlineLevel="0" collapsed="false">
      <c r="E102" s="3" t="str">
        <f aca="false">A102&amp;"|"&amp;B102</f>
        <v>|</v>
      </c>
    </row>
    <row r="103" customFormat="false" ht="15" hidden="false" customHeight="true" outlineLevel="0" collapsed="false">
      <c r="E103" s="3" t="str">
        <f aca="false">A103&amp;"|"&amp;B103</f>
        <v>|</v>
      </c>
    </row>
    <row r="104" customFormat="false" ht="15" hidden="false" customHeight="true" outlineLevel="0" collapsed="false">
      <c r="E104" s="3" t="str">
        <f aca="false">A104&amp;"|"&amp;B104</f>
        <v>|</v>
      </c>
    </row>
    <row r="105" customFormat="false" ht="15" hidden="false" customHeight="true" outlineLevel="0" collapsed="false">
      <c r="E105" s="3" t="str">
        <f aca="false">A105&amp;"|"&amp;B105</f>
        <v>|</v>
      </c>
    </row>
    <row r="106" customFormat="false" ht="15" hidden="false" customHeight="true" outlineLevel="0" collapsed="false">
      <c r="E106" s="3" t="str">
        <f aca="false">A106&amp;"|"&amp;B106</f>
        <v>|</v>
      </c>
    </row>
    <row r="107" customFormat="false" ht="15" hidden="false" customHeight="true" outlineLevel="0" collapsed="false">
      <c r="E107" s="3" t="str">
        <f aca="false">A107&amp;"|"&amp;B107</f>
        <v>|</v>
      </c>
    </row>
    <row r="108" customFormat="false" ht="15" hidden="false" customHeight="true" outlineLevel="0" collapsed="false">
      <c r="E108" s="3" t="str">
        <f aca="false">A108&amp;"|"&amp;B108</f>
        <v>|</v>
      </c>
    </row>
    <row r="109" customFormat="false" ht="15" hidden="false" customHeight="true" outlineLevel="0" collapsed="false">
      <c r="E109" s="3" t="str">
        <f aca="false">A109&amp;"|"&amp;B109</f>
        <v>|</v>
      </c>
    </row>
    <row r="110" customFormat="false" ht="15" hidden="false" customHeight="true" outlineLevel="0" collapsed="false">
      <c r="E110" s="3" t="str">
        <f aca="false">A110&amp;"|"&amp;B110</f>
        <v>|</v>
      </c>
    </row>
    <row r="111" customFormat="false" ht="15" hidden="false" customHeight="true" outlineLevel="0" collapsed="false">
      <c r="E111" s="3" t="str">
        <f aca="false">A111&amp;"|"&amp;B111</f>
        <v>|</v>
      </c>
    </row>
    <row r="112" customFormat="false" ht="15" hidden="false" customHeight="true" outlineLevel="0" collapsed="false">
      <c r="E112" s="3" t="str">
        <f aca="false">A112&amp;"|"&amp;B112</f>
        <v>|</v>
      </c>
    </row>
    <row r="113" customFormat="false" ht="15" hidden="false" customHeight="true" outlineLevel="0" collapsed="false">
      <c r="E113" s="3" t="str">
        <f aca="false">A113&amp;"|"&amp;B113</f>
        <v>|</v>
      </c>
    </row>
    <row r="114" customFormat="false" ht="15" hidden="false" customHeight="true" outlineLevel="0" collapsed="false">
      <c r="E114" s="3" t="str">
        <f aca="false">A114&amp;"|"&amp;B114</f>
        <v>|</v>
      </c>
    </row>
    <row r="115" customFormat="false" ht="15" hidden="false" customHeight="true" outlineLevel="0" collapsed="false">
      <c r="E115" s="3" t="str">
        <f aca="false">A115&amp;"|"&amp;B115</f>
        <v>|</v>
      </c>
    </row>
    <row r="116" customFormat="false" ht="15" hidden="false" customHeight="true" outlineLevel="0" collapsed="false">
      <c r="E116" s="3" t="str">
        <f aca="false">A116&amp;"|"&amp;B116</f>
        <v>|</v>
      </c>
    </row>
    <row r="117" customFormat="false" ht="15" hidden="false" customHeight="true" outlineLevel="0" collapsed="false">
      <c r="E117" s="3" t="str">
        <f aca="false">A117&amp;"|"&amp;B117</f>
        <v>|</v>
      </c>
    </row>
    <row r="118" customFormat="false" ht="15" hidden="false" customHeight="true" outlineLevel="0" collapsed="false">
      <c r="E118" s="3" t="str">
        <f aca="false">A118&amp;"|"&amp;B118</f>
        <v>|</v>
      </c>
    </row>
    <row r="119" customFormat="false" ht="15" hidden="false" customHeight="true" outlineLevel="0" collapsed="false">
      <c r="E119" s="3" t="str">
        <f aca="false">A119&amp;"|"&amp;B119</f>
        <v>|</v>
      </c>
    </row>
    <row r="120" customFormat="false" ht="15" hidden="false" customHeight="true" outlineLevel="0" collapsed="false">
      <c r="E120" s="3" t="str">
        <f aca="false">A120&amp;"|"&amp;B120</f>
        <v>|</v>
      </c>
    </row>
    <row r="121" customFormat="false" ht="15" hidden="false" customHeight="true" outlineLevel="0" collapsed="false">
      <c r="E121" s="3" t="str">
        <f aca="false">A121&amp;"|"&amp;B121</f>
        <v>|</v>
      </c>
    </row>
    <row r="122" customFormat="false" ht="15" hidden="false" customHeight="true" outlineLevel="0" collapsed="false">
      <c r="E122" s="3" t="str">
        <f aca="false">A122&amp;"|"&amp;B122</f>
        <v>|</v>
      </c>
    </row>
    <row r="123" customFormat="false" ht="15" hidden="false" customHeight="true" outlineLevel="0" collapsed="false">
      <c r="E123" s="3" t="str">
        <f aca="false">A123&amp;"|"&amp;B123</f>
        <v>|</v>
      </c>
    </row>
    <row r="124" customFormat="false" ht="15" hidden="false" customHeight="true" outlineLevel="0" collapsed="false">
      <c r="E124" s="3" t="str">
        <f aca="false">A124&amp;"|"&amp;B124</f>
        <v>|</v>
      </c>
    </row>
    <row r="125" customFormat="false" ht="15" hidden="false" customHeight="true" outlineLevel="0" collapsed="false">
      <c r="E125" s="3" t="str">
        <f aca="false">A125&amp;"|"&amp;B125</f>
        <v>|</v>
      </c>
    </row>
    <row r="126" customFormat="false" ht="15" hidden="false" customHeight="true" outlineLevel="0" collapsed="false">
      <c r="E126" s="3" t="str">
        <f aca="false">A126&amp;"|"&amp;B126</f>
        <v>|</v>
      </c>
    </row>
    <row r="127" customFormat="false" ht="15" hidden="false" customHeight="true" outlineLevel="0" collapsed="false">
      <c r="E127" s="3" t="str">
        <f aca="false">A127&amp;"|"&amp;B127</f>
        <v>|</v>
      </c>
    </row>
    <row r="128" customFormat="false" ht="15" hidden="false" customHeight="true" outlineLevel="0" collapsed="false">
      <c r="E128" s="3" t="str">
        <f aca="false">A128&amp;"|"&amp;B128</f>
        <v>|</v>
      </c>
    </row>
    <row r="129" customFormat="false" ht="15" hidden="false" customHeight="true" outlineLevel="0" collapsed="false">
      <c r="E129" s="3" t="str">
        <f aca="false">A129&amp;"|"&amp;B129</f>
        <v>|</v>
      </c>
    </row>
    <row r="130" customFormat="false" ht="15" hidden="false" customHeight="true" outlineLevel="0" collapsed="false">
      <c r="E130" s="3" t="str">
        <f aca="false">A130&amp;"|"&amp;B130</f>
        <v>|</v>
      </c>
    </row>
    <row r="131" customFormat="false" ht="15" hidden="false" customHeight="true" outlineLevel="0" collapsed="false">
      <c r="E131" s="3" t="str">
        <f aca="false">A131&amp;"|"&amp;B131</f>
        <v>|</v>
      </c>
    </row>
    <row r="132" customFormat="false" ht="15" hidden="false" customHeight="true" outlineLevel="0" collapsed="false">
      <c r="E132" s="3" t="str">
        <f aca="false">A132&amp;"|"&amp;B132</f>
        <v>|</v>
      </c>
    </row>
    <row r="133" customFormat="false" ht="15" hidden="false" customHeight="true" outlineLevel="0" collapsed="false">
      <c r="E133" s="3" t="str">
        <f aca="false">A133&amp;"|"&amp;B133</f>
        <v>|</v>
      </c>
    </row>
    <row r="134" customFormat="false" ht="15" hidden="false" customHeight="true" outlineLevel="0" collapsed="false">
      <c r="E134" s="3" t="str">
        <f aca="false">A134&amp;"|"&amp;B134</f>
        <v>|</v>
      </c>
    </row>
    <row r="135" customFormat="false" ht="15" hidden="false" customHeight="true" outlineLevel="0" collapsed="false">
      <c r="E135" s="3" t="str">
        <f aca="false">A135&amp;"|"&amp;B135</f>
        <v>|</v>
      </c>
    </row>
    <row r="136" customFormat="false" ht="15" hidden="false" customHeight="true" outlineLevel="0" collapsed="false">
      <c r="E136" s="3" t="str">
        <f aca="false">A136&amp;"|"&amp;B136</f>
        <v>|</v>
      </c>
    </row>
    <row r="137" customFormat="false" ht="15" hidden="false" customHeight="true" outlineLevel="0" collapsed="false">
      <c r="E137" s="3" t="str">
        <f aca="false">A137&amp;"|"&amp;B137</f>
        <v>|</v>
      </c>
    </row>
    <row r="138" customFormat="false" ht="15" hidden="false" customHeight="true" outlineLevel="0" collapsed="false">
      <c r="E138" s="3" t="str">
        <f aca="false">A138&amp;"|"&amp;B138</f>
        <v>|</v>
      </c>
    </row>
    <row r="139" customFormat="false" ht="15" hidden="false" customHeight="true" outlineLevel="0" collapsed="false">
      <c r="E139" s="3" t="str">
        <f aca="false">A139&amp;"|"&amp;B139</f>
        <v>|</v>
      </c>
    </row>
    <row r="140" customFormat="false" ht="15" hidden="false" customHeight="true" outlineLevel="0" collapsed="false">
      <c r="E140" s="3" t="str">
        <f aca="false">A140&amp;"|"&amp;B140</f>
        <v>|</v>
      </c>
    </row>
    <row r="141" customFormat="false" ht="15" hidden="false" customHeight="true" outlineLevel="0" collapsed="false">
      <c r="E141" s="3" t="str">
        <f aca="false">A141&amp;"|"&amp;B141</f>
        <v>|</v>
      </c>
    </row>
    <row r="142" customFormat="false" ht="15" hidden="false" customHeight="true" outlineLevel="0" collapsed="false">
      <c r="E142" s="3" t="str">
        <f aca="false">A142&amp;"|"&amp;B142</f>
        <v>|</v>
      </c>
    </row>
    <row r="143" customFormat="false" ht="15" hidden="false" customHeight="true" outlineLevel="0" collapsed="false">
      <c r="E143" s="3" t="str">
        <f aca="false">A143&amp;"|"&amp;B143</f>
        <v>|</v>
      </c>
    </row>
    <row r="144" customFormat="false" ht="15" hidden="false" customHeight="true" outlineLevel="0" collapsed="false">
      <c r="E144" s="3" t="str">
        <f aca="false">A144&amp;"|"&amp;B144</f>
        <v>|</v>
      </c>
    </row>
    <row r="145" customFormat="false" ht="15" hidden="false" customHeight="true" outlineLevel="0" collapsed="false">
      <c r="E145" s="3" t="str">
        <f aca="false">A145&amp;"|"&amp;B145</f>
        <v>|</v>
      </c>
    </row>
    <row r="146" customFormat="false" ht="15" hidden="false" customHeight="true" outlineLevel="0" collapsed="false">
      <c r="E146" s="3" t="str">
        <f aca="false">A146&amp;"|"&amp;B146</f>
        <v>|</v>
      </c>
    </row>
    <row r="147" customFormat="false" ht="15" hidden="false" customHeight="true" outlineLevel="0" collapsed="false">
      <c r="E147" s="3" t="str">
        <f aca="false">A147&amp;"|"&amp;B147</f>
        <v>|</v>
      </c>
    </row>
    <row r="148" customFormat="false" ht="15" hidden="false" customHeight="true" outlineLevel="0" collapsed="false">
      <c r="E148" s="3" t="str">
        <f aca="false">A148&amp;"|"&amp;B148</f>
        <v>|</v>
      </c>
    </row>
    <row r="149" customFormat="false" ht="15" hidden="false" customHeight="true" outlineLevel="0" collapsed="false">
      <c r="E149" s="3" t="str">
        <f aca="false">A149&amp;"|"&amp;B149</f>
        <v>|</v>
      </c>
    </row>
    <row r="150" customFormat="false" ht="15" hidden="false" customHeight="true" outlineLevel="0" collapsed="false">
      <c r="E150" s="3" t="str">
        <f aca="false">A150&amp;"|"&amp;B150</f>
        <v>|</v>
      </c>
    </row>
    <row r="151" customFormat="false" ht="15" hidden="false" customHeight="true" outlineLevel="0" collapsed="false">
      <c r="E151" s="3" t="str">
        <f aca="false">A151&amp;"|"&amp;B151</f>
        <v>|</v>
      </c>
    </row>
    <row r="152" customFormat="false" ht="15" hidden="false" customHeight="true" outlineLevel="0" collapsed="false">
      <c r="E152" s="3" t="str">
        <f aca="false">A152&amp;"|"&amp;B152</f>
        <v>|</v>
      </c>
    </row>
    <row r="153" customFormat="false" ht="15" hidden="false" customHeight="true" outlineLevel="0" collapsed="false">
      <c r="E153" s="3" t="str">
        <f aca="false">A153&amp;"|"&amp;B153</f>
        <v>|</v>
      </c>
    </row>
    <row r="154" customFormat="false" ht="15" hidden="false" customHeight="true" outlineLevel="0" collapsed="false">
      <c r="E154" s="3" t="str">
        <f aca="false">A154&amp;"|"&amp;B154</f>
        <v>|</v>
      </c>
    </row>
    <row r="155" customFormat="false" ht="15" hidden="false" customHeight="true" outlineLevel="0" collapsed="false">
      <c r="E155" s="3" t="str">
        <f aca="false">A155&amp;"|"&amp;B155</f>
        <v>|</v>
      </c>
    </row>
    <row r="156" customFormat="false" ht="15" hidden="false" customHeight="true" outlineLevel="0" collapsed="false">
      <c r="E156" s="3" t="str">
        <f aca="false">A156&amp;"|"&amp;B156</f>
        <v>|</v>
      </c>
    </row>
    <row r="157" customFormat="false" ht="15" hidden="false" customHeight="true" outlineLevel="0" collapsed="false">
      <c r="E157" s="3" t="str">
        <f aca="false">A157&amp;"|"&amp;B157</f>
        <v>|</v>
      </c>
    </row>
    <row r="158" customFormat="false" ht="15" hidden="false" customHeight="true" outlineLevel="0" collapsed="false">
      <c r="E158" s="3" t="str">
        <f aca="false">A158&amp;"|"&amp;B158</f>
        <v>|</v>
      </c>
    </row>
    <row r="159" customFormat="false" ht="15" hidden="false" customHeight="true" outlineLevel="0" collapsed="false">
      <c r="E159" s="3" t="str">
        <f aca="false">A159&amp;"|"&amp;B159</f>
        <v>|</v>
      </c>
    </row>
    <row r="160" customFormat="false" ht="15" hidden="false" customHeight="true" outlineLevel="0" collapsed="false">
      <c r="E160" s="3" t="str">
        <f aca="false">A160&amp;"|"&amp;B160</f>
        <v>|</v>
      </c>
    </row>
    <row r="161" customFormat="false" ht="15" hidden="false" customHeight="true" outlineLevel="0" collapsed="false">
      <c r="E161" s="3" t="str">
        <f aca="false">A161&amp;"|"&amp;B161</f>
        <v>|</v>
      </c>
    </row>
    <row r="162" customFormat="false" ht="15" hidden="false" customHeight="true" outlineLevel="0" collapsed="false">
      <c r="E162" s="3" t="str">
        <f aca="false">A162&amp;"|"&amp;B162</f>
        <v>|</v>
      </c>
    </row>
    <row r="163" customFormat="false" ht="15" hidden="false" customHeight="true" outlineLevel="0" collapsed="false">
      <c r="E163" s="3" t="str">
        <f aca="false">A163&amp;"|"&amp;B163</f>
        <v>|</v>
      </c>
    </row>
    <row r="164" customFormat="false" ht="15" hidden="false" customHeight="true" outlineLevel="0" collapsed="false">
      <c r="E164" s="3" t="str">
        <f aca="false">A164&amp;"|"&amp;B164</f>
        <v>|</v>
      </c>
    </row>
    <row r="165" customFormat="false" ht="15" hidden="false" customHeight="true" outlineLevel="0" collapsed="false">
      <c r="E165" s="3" t="str">
        <f aca="false">A165&amp;"|"&amp;B165</f>
        <v>|</v>
      </c>
    </row>
    <row r="166" customFormat="false" ht="15" hidden="false" customHeight="true" outlineLevel="0" collapsed="false">
      <c r="E166" s="3" t="str">
        <f aca="false">A166&amp;"|"&amp;B166</f>
        <v>|</v>
      </c>
    </row>
    <row r="167" customFormat="false" ht="15" hidden="false" customHeight="true" outlineLevel="0" collapsed="false">
      <c r="E167" s="3" t="str">
        <f aca="false">A167&amp;"|"&amp;B167</f>
        <v>|</v>
      </c>
    </row>
    <row r="168" customFormat="false" ht="15" hidden="false" customHeight="true" outlineLevel="0" collapsed="false">
      <c r="E168" s="3" t="str">
        <f aca="false">A168&amp;"|"&amp;B168</f>
        <v>|</v>
      </c>
    </row>
    <row r="169" customFormat="false" ht="15" hidden="false" customHeight="true" outlineLevel="0" collapsed="false">
      <c r="E169" s="3" t="str">
        <f aca="false">A169&amp;"|"&amp;B169</f>
        <v>|</v>
      </c>
    </row>
    <row r="170" customFormat="false" ht="15" hidden="false" customHeight="true" outlineLevel="0" collapsed="false">
      <c r="E170" s="3" t="str">
        <f aca="false">A170&amp;"|"&amp;B170</f>
        <v>|</v>
      </c>
    </row>
    <row r="171" customFormat="false" ht="15" hidden="false" customHeight="true" outlineLevel="0" collapsed="false">
      <c r="E171" s="3" t="str">
        <f aca="false">A171&amp;"|"&amp;B171</f>
        <v>|</v>
      </c>
    </row>
    <row r="172" customFormat="false" ht="15" hidden="false" customHeight="true" outlineLevel="0" collapsed="false">
      <c r="E172" s="3" t="str">
        <f aca="false">A172&amp;"|"&amp;B172</f>
        <v>|</v>
      </c>
    </row>
    <row r="173" customFormat="false" ht="15" hidden="false" customHeight="true" outlineLevel="0" collapsed="false">
      <c r="E173" s="3" t="str">
        <f aca="false">A173&amp;"|"&amp;B173</f>
        <v>|</v>
      </c>
    </row>
    <row r="174" customFormat="false" ht="15" hidden="false" customHeight="true" outlineLevel="0" collapsed="false">
      <c r="E174" s="3" t="str">
        <f aca="false">A174&amp;"|"&amp;B174</f>
        <v>|</v>
      </c>
    </row>
    <row r="175" customFormat="false" ht="15" hidden="false" customHeight="true" outlineLevel="0" collapsed="false">
      <c r="E175" s="3" t="str">
        <f aca="false">A175&amp;"|"&amp;B175</f>
        <v>|</v>
      </c>
    </row>
    <row r="176" customFormat="false" ht="15" hidden="false" customHeight="true" outlineLevel="0" collapsed="false">
      <c r="E176" s="3" t="str">
        <f aca="false">A176&amp;"|"&amp;B176</f>
        <v>|</v>
      </c>
    </row>
    <row r="177" customFormat="false" ht="15" hidden="false" customHeight="true" outlineLevel="0" collapsed="false">
      <c r="E177" s="3" t="str">
        <f aca="false">A177&amp;"|"&amp;B177</f>
        <v>|</v>
      </c>
    </row>
    <row r="178" customFormat="false" ht="15" hidden="false" customHeight="true" outlineLevel="0" collapsed="false">
      <c r="E178" s="3" t="str">
        <f aca="false">A178&amp;"|"&amp;B178</f>
        <v>|</v>
      </c>
    </row>
    <row r="179" customFormat="false" ht="15" hidden="false" customHeight="true" outlineLevel="0" collapsed="false">
      <c r="E179" s="3" t="str">
        <f aca="false">A179&amp;"|"&amp;B179</f>
        <v>|</v>
      </c>
    </row>
    <row r="180" customFormat="false" ht="15" hidden="false" customHeight="true" outlineLevel="0" collapsed="false">
      <c r="E180" s="3" t="str">
        <f aca="false">A180&amp;"|"&amp;B180</f>
        <v>|</v>
      </c>
    </row>
    <row r="181" customFormat="false" ht="15" hidden="false" customHeight="true" outlineLevel="0" collapsed="false">
      <c r="E181" s="3" t="str">
        <f aca="false">A181&amp;"|"&amp;B181</f>
        <v>|</v>
      </c>
    </row>
    <row r="182" customFormat="false" ht="15" hidden="false" customHeight="true" outlineLevel="0" collapsed="false">
      <c r="E182" s="3" t="str">
        <f aca="false">A182&amp;"|"&amp;B182</f>
        <v>|</v>
      </c>
    </row>
    <row r="183" customFormat="false" ht="15" hidden="false" customHeight="true" outlineLevel="0" collapsed="false">
      <c r="E183" s="3" t="str">
        <f aca="false">A183&amp;"|"&amp;B183</f>
        <v>|</v>
      </c>
    </row>
    <row r="184" customFormat="false" ht="15" hidden="false" customHeight="true" outlineLevel="0" collapsed="false">
      <c r="E184" s="3" t="str">
        <f aca="false">A184&amp;"|"&amp;B184</f>
        <v>|</v>
      </c>
    </row>
    <row r="185" customFormat="false" ht="15" hidden="false" customHeight="true" outlineLevel="0" collapsed="false">
      <c r="E185" s="3" t="str">
        <f aca="false">A185&amp;"|"&amp;B185</f>
        <v>|</v>
      </c>
    </row>
    <row r="186" customFormat="false" ht="15" hidden="false" customHeight="true" outlineLevel="0" collapsed="false">
      <c r="E186" s="3" t="str">
        <f aca="false">A186&amp;"|"&amp;B186</f>
        <v>|</v>
      </c>
    </row>
    <row r="187" customFormat="false" ht="15" hidden="false" customHeight="true" outlineLevel="0" collapsed="false">
      <c r="E187" s="3" t="str">
        <f aca="false">A187&amp;"|"&amp;B187</f>
        <v>|</v>
      </c>
    </row>
    <row r="188" customFormat="false" ht="15" hidden="false" customHeight="true" outlineLevel="0" collapsed="false">
      <c r="E188" s="3" t="str">
        <f aca="false">A188&amp;"|"&amp;B188</f>
        <v>|</v>
      </c>
    </row>
    <row r="189" customFormat="false" ht="15" hidden="false" customHeight="true" outlineLevel="0" collapsed="false">
      <c r="E189" s="3" t="str">
        <f aca="false">A189&amp;"|"&amp;B189</f>
        <v>|</v>
      </c>
    </row>
    <row r="190" customFormat="false" ht="15" hidden="false" customHeight="true" outlineLevel="0" collapsed="false">
      <c r="E190" s="3" t="str">
        <f aca="false">A190&amp;"|"&amp;B190</f>
        <v>|</v>
      </c>
    </row>
    <row r="191" customFormat="false" ht="15" hidden="false" customHeight="true" outlineLevel="0" collapsed="false">
      <c r="E191" s="3" t="str">
        <f aca="false">A191&amp;"|"&amp;B191</f>
        <v>|</v>
      </c>
    </row>
    <row r="192" customFormat="false" ht="15" hidden="false" customHeight="true" outlineLevel="0" collapsed="false">
      <c r="E192" s="3" t="str">
        <f aca="false">A192&amp;"|"&amp;B192</f>
        <v>|</v>
      </c>
    </row>
    <row r="193" customFormat="false" ht="15" hidden="false" customHeight="true" outlineLevel="0" collapsed="false">
      <c r="E193" s="3" t="str">
        <f aca="false">A193&amp;"|"&amp;B193</f>
        <v>|</v>
      </c>
    </row>
    <row r="194" customFormat="false" ht="15" hidden="false" customHeight="true" outlineLevel="0" collapsed="false">
      <c r="E194" s="3" t="str">
        <f aca="false">A194&amp;"|"&amp;B194</f>
        <v>|</v>
      </c>
    </row>
    <row r="195" customFormat="false" ht="15" hidden="false" customHeight="true" outlineLevel="0" collapsed="false">
      <c r="E195" s="3" t="str">
        <f aca="false">A195&amp;"|"&amp;B195</f>
        <v>|</v>
      </c>
    </row>
    <row r="196" customFormat="false" ht="15" hidden="false" customHeight="true" outlineLevel="0" collapsed="false">
      <c r="E196" s="3" t="str">
        <f aca="false">A196&amp;"|"&amp;B196</f>
        <v>|</v>
      </c>
    </row>
    <row r="197" customFormat="false" ht="15" hidden="false" customHeight="true" outlineLevel="0" collapsed="false">
      <c r="E197" s="3" t="str">
        <f aca="false">A197&amp;"|"&amp;B197</f>
        <v>|</v>
      </c>
    </row>
    <row r="198" customFormat="false" ht="15" hidden="false" customHeight="true" outlineLevel="0" collapsed="false">
      <c r="E198" s="3" t="str">
        <f aca="false">A198&amp;"|"&amp;B198</f>
        <v>|</v>
      </c>
    </row>
    <row r="199" customFormat="false" ht="15" hidden="false" customHeight="true" outlineLevel="0" collapsed="false">
      <c r="E199" s="3" t="str">
        <f aca="false">A199&amp;"|"&amp;B199</f>
        <v>|</v>
      </c>
    </row>
    <row r="200" customFormat="false" ht="15" hidden="false" customHeight="true" outlineLevel="0" collapsed="false">
      <c r="E200" s="3" t="str">
        <f aca="false">A200&amp;"|"&amp;B200</f>
        <v>|</v>
      </c>
    </row>
    <row r="201" customFormat="false" ht="15" hidden="false" customHeight="true" outlineLevel="0" collapsed="false">
      <c r="E201" s="3" t="str">
        <f aca="false">A201&amp;"|"&amp;B201</f>
        <v>|</v>
      </c>
    </row>
    <row r="202" customFormat="false" ht="15" hidden="false" customHeight="true" outlineLevel="0" collapsed="false">
      <c r="E202" s="3" t="str">
        <f aca="false">A202&amp;"|"&amp;B202</f>
        <v>|</v>
      </c>
    </row>
    <row r="203" customFormat="false" ht="15" hidden="false" customHeight="true" outlineLevel="0" collapsed="false">
      <c r="E203" s="3" t="str">
        <f aca="false">A203&amp;"|"&amp;B203</f>
        <v>|</v>
      </c>
    </row>
    <row r="204" customFormat="false" ht="15" hidden="false" customHeight="true" outlineLevel="0" collapsed="false">
      <c r="E204" s="3" t="str">
        <f aca="false">A204&amp;"|"&amp;B204</f>
        <v>|</v>
      </c>
    </row>
    <row r="205" customFormat="false" ht="15" hidden="false" customHeight="true" outlineLevel="0" collapsed="false">
      <c r="E205" s="3" t="str">
        <f aca="false">A205&amp;"|"&amp;B205</f>
        <v>|</v>
      </c>
    </row>
    <row r="206" customFormat="false" ht="15" hidden="false" customHeight="true" outlineLevel="0" collapsed="false">
      <c r="E206" s="3" t="str">
        <f aca="false">A206&amp;"|"&amp;B206</f>
        <v>|</v>
      </c>
    </row>
    <row r="207" customFormat="false" ht="15" hidden="false" customHeight="true" outlineLevel="0" collapsed="false">
      <c r="E207" s="3" t="str">
        <f aca="false">A207&amp;"|"&amp;B207</f>
        <v>|</v>
      </c>
    </row>
    <row r="208" customFormat="false" ht="15" hidden="false" customHeight="true" outlineLevel="0" collapsed="false">
      <c r="E208" s="3" t="str">
        <f aca="false">A208&amp;"|"&amp;B208</f>
        <v>|</v>
      </c>
    </row>
    <row r="209" customFormat="false" ht="15" hidden="false" customHeight="true" outlineLevel="0" collapsed="false">
      <c r="E209" s="3" t="str">
        <f aca="false">A209&amp;"|"&amp;B209</f>
        <v>|</v>
      </c>
    </row>
    <row r="210" customFormat="false" ht="15" hidden="false" customHeight="true" outlineLevel="0" collapsed="false">
      <c r="E210" s="3" t="str">
        <f aca="false">A210&amp;"|"&amp;B210</f>
        <v>|</v>
      </c>
    </row>
    <row r="211" customFormat="false" ht="15" hidden="false" customHeight="true" outlineLevel="0" collapsed="false">
      <c r="E211" s="3" t="str">
        <f aca="false">A211&amp;"|"&amp;B211</f>
        <v>|</v>
      </c>
    </row>
    <row r="212" customFormat="false" ht="15" hidden="false" customHeight="true" outlineLevel="0" collapsed="false">
      <c r="E212" s="3" t="str">
        <f aca="false">A212&amp;"|"&amp;B212</f>
        <v>|</v>
      </c>
    </row>
    <row r="213" customFormat="false" ht="15" hidden="false" customHeight="true" outlineLevel="0" collapsed="false">
      <c r="E213" s="3" t="str">
        <f aca="false">A213&amp;"|"&amp;B213</f>
        <v>|</v>
      </c>
    </row>
    <row r="214" customFormat="false" ht="15" hidden="false" customHeight="true" outlineLevel="0" collapsed="false">
      <c r="E214" s="3" t="str">
        <f aca="false">A214&amp;"|"&amp;B214</f>
        <v>|</v>
      </c>
    </row>
    <row r="215" customFormat="false" ht="15" hidden="false" customHeight="true" outlineLevel="0" collapsed="false">
      <c r="E215" s="3" t="str">
        <f aca="false">A215&amp;"|"&amp;B215</f>
        <v>|</v>
      </c>
    </row>
    <row r="216" customFormat="false" ht="15" hidden="false" customHeight="true" outlineLevel="0" collapsed="false">
      <c r="E216" s="3" t="str">
        <f aca="false">A216&amp;"|"&amp;B216</f>
        <v>|</v>
      </c>
    </row>
    <row r="217" customFormat="false" ht="15" hidden="false" customHeight="true" outlineLevel="0" collapsed="false">
      <c r="E217" s="3" t="str">
        <f aca="false">A217&amp;"|"&amp;B217</f>
        <v>|</v>
      </c>
    </row>
    <row r="218" customFormat="false" ht="15" hidden="false" customHeight="true" outlineLevel="0" collapsed="false">
      <c r="E218" s="3" t="str">
        <f aca="false">A218&amp;"|"&amp;B218</f>
        <v>|</v>
      </c>
    </row>
    <row r="219" customFormat="false" ht="15" hidden="false" customHeight="true" outlineLevel="0" collapsed="false">
      <c r="E219" s="3" t="str">
        <f aca="false">A219&amp;"|"&amp;B219</f>
        <v>|</v>
      </c>
    </row>
    <row r="220" customFormat="false" ht="15" hidden="false" customHeight="true" outlineLevel="0" collapsed="false">
      <c r="E220" s="3" t="str">
        <f aca="false">A220&amp;"|"&amp;B220</f>
        <v>|</v>
      </c>
    </row>
    <row r="221" customFormat="false" ht="15" hidden="false" customHeight="true" outlineLevel="0" collapsed="false">
      <c r="E221" s="3" t="str">
        <f aca="false">A221&amp;"|"&amp;B221</f>
        <v>|</v>
      </c>
    </row>
    <row r="222" customFormat="false" ht="15" hidden="false" customHeight="true" outlineLevel="0" collapsed="false">
      <c r="E222" s="3" t="str">
        <f aca="false">A222&amp;"|"&amp;B222</f>
        <v>|</v>
      </c>
    </row>
    <row r="223" customFormat="false" ht="15" hidden="false" customHeight="true" outlineLevel="0" collapsed="false">
      <c r="E223" s="3" t="str">
        <f aca="false">A223&amp;"|"&amp;B223</f>
        <v>|</v>
      </c>
    </row>
    <row r="224" customFormat="false" ht="15" hidden="false" customHeight="true" outlineLevel="0" collapsed="false">
      <c r="E224" s="3" t="str">
        <f aca="false">A224&amp;"|"&amp;B224</f>
        <v>|</v>
      </c>
    </row>
    <row r="225" customFormat="false" ht="15" hidden="false" customHeight="true" outlineLevel="0" collapsed="false">
      <c r="E225" s="3" t="str">
        <f aca="false">A225&amp;"|"&amp;B225</f>
        <v>|</v>
      </c>
    </row>
    <row r="226" customFormat="false" ht="15" hidden="false" customHeight="true" outlineLevel="0" collapsed="false">
      <c r="E226" s="3" t="str">
        <f aca="false">A226&amp;"|"&amp;B226</f>
        <v>|</v>
      </c>
    </row>
    <row r="227" customFormat="false" ht="15" hidden="false" customHeight="true" outlineLevel="0" collapsed="false">
      <c r="E227" s="3" t="str">
        <f aca="false">A227&amp;"|"&amp;B227</f>
        <v>|</v>
      </c>
    </row>
    <row r="228" customFormat="false" ht="15" hidden="false" customHeight="true" outlineLevel="0" collapsed="false">
      <c r="E228" s="3" t="str">
        <f aca="false">A228&amp;"|"&amp;B228</f>
        <v>|</v>
      </c>
    </row>
    <row r="229" customFormat="false" ht="15" hidden="false" customHeight="true" outlineLevel="0" collapsed="false">
      <c r="E229" s="3" t="str">
        <f aca="false">A229&amp;"|"&amp;B229</f>
        <v>|</v>
      </c>
    </row>
    <row r="230" customFormat="false" ht="15" hidden="false" customHeight="true" outlineLevel="0" collapsed="false">
      <c r="E230" s="3" t="str">
        <f aca="false">A230&amp;"|"&amp;B230</f>
        <v>|</v>
      </c>
    </row>
    <row r="231" customFormat="false" ht="15" hidden="false" customHeight="true" outlineLevel="0" collapsed="false">
      <c r="E231" s="3" t="str">
        <f aca="false">A231&amp;"|"&amp;B231</f>
        <v>|</v>
      </c>
    </row>
    <row r="232" customFormat="false" ht="15" hidden="false" customHeight="true" outlineLevel="0" collapsed="false">
      <c r="E232" s="3" t="str">
        <f aca="false">A232&amp;"|"&amp;B232</f>
        <v>|</v>
      </c>
    </row>
    <row r="233" customFormat="false" ht="15" hidden="false" customHeight="true" outlineLevel="0" collapsed="false">
      <c r="E233" s="3" t="str">
        <f aca="false">A233&amp;"|"&amp;B233</f>
        <v>|</v>
      </c>
    </row>
    <row r="234" customFormat="false" ht="15" hidden="false" customHeight="true" outlineLevel="0" collapsed="false">
      <c r="E234" s="3" t="str">
        <f aca="false">A234&amp;"|"&amp;B234</f>
        <v>|</v>
      </c>
    </row>
    <row r="235" customFormat="false" ht="15" hidden="false" customHeight="true" outlineLevel="0" collapsed="false">
      <c r="E235" s="3" t="str">
        <f aca="false">A235&amp;"|"&amp;B235</f>
        <v>|</v>
      </c>
    </row>
    <row r="236" customFormat="false" ht="15" hidden="false" customHeight="true" outlineLevel="0" collapsed="false">
      <c r="E236" s="3" t="str">
        <f aca="false">A236&amp;"|"&amp;B236</f>
        <v>|</v>
      </c>
    </row>
    <row r="237" customFormat="false" ht="15" hidden="false" customHeight="true" outlineLevel="0" collapsed="false">
      <c r="E237" s="3" t="str">
        <f aca="false">A237&amp;"|"&amp;B237</f>
        <v>|</v>
      </c>
    </row>
    <row r="238" customFormat="false" ht="15" hidden="false" customHeight="true" outlineLevel="0" collapsed="false">
      <c r="E238" s="3" t="str">
        <f aca="false">A238&amp;"|"&amp;B238</f>
        <v>|</v>
      </c>
    </row>
    <row r="239" customFormat="false" ht="15" hidden="false" customHeight="true" outlineLevel="0" collapsed="false">
      <c r="E239" s="3" t="str">
        <f aca="false">A239&amp;"|"&amp;B239</f>
        <v>|</v>
      </c>
    </row>
    <row r="240" customFormat="false" ht="15" hidden="false" customHeight="true" outlineLevel="0" collapsed="false">
      <c r="E240" s="3" t="str">
        <f aca="false">A240&amp;"|"&amp;B240</f>
        <v>|</v>
      </c>
    </row>
    <row r="241" customFormat="false" ht="15" hidden="false" customHeight="true" outlineLevel="0" collapsed="false">
      <c r="E241" s="3" t="str">
        <f aca="false">A241&amp;"|"&amp;B241</f>
        <v>|</v>
      </c>
    </row>
    <row r="242" customFormat="false" ht="15" hidden="false" customHeight="true" outlineLevel="0" collapsed="false">
      <c r="E242" s="3" t="str">
        <f aca="false">A242&amp;"|"&amp;B242</f>
        <v>|</v>
      </c>
    </row>
    <row r="243" customFormat="false" ht="15" hidden="false" customHeight="true" outlineLevel="0" collapsed="false">
      <c r="E243" s="3" t="str">
        <f aca="false">A243&amp;"|"&amp;B243</f>
        <v>|</v>
      </c>
    </row>
    <row r="244" customFormat="false" ht="15" hidden="false" customHeight="true" outlineLevel="0" collapsed="false">
      <c r="E244" s="3" t="str">
        <f aca="false">A244&amp;"|"&amp;B244</f>
        <v>|</v>
      </c>
    </row>
    <row r="245" customFormat="false" ht="15" hidden="false" customHeight="true" outlineLevel="0" collapsed="false">
      <c r="E245" s="3" t="str">
        <f aca="false">A245&amp;"|"&amp;B245</f>
        <v>|</v>
      </c>
    </row>
    <row r="246" customFormat="false" ht="15" hidden="false" customHeight="true" outlineLevel="0" collapsed="false">
      <c r="E246" s="3" t="str">
        <f aca="false">A246&amp;"|"&amp;B246</f>
        <v>|</v>
      </c>
    </row>
    <row r="247" customFormat="false" ht="15" hidden="false" customHeight="true" outlineLevel="0" collapsed="false">
      <c r="E247" s="3" t="str">
        <f aca="false">A247&amp;"|"&amp;B247</f>
        <v>|</v>
      </c>
    </row>
    <row r="248" customFormat="false" ht="15" hidden="false" customHeight="true" outlineLevel="0" collapsed="false">
      <c r="E248" s="3" t="str">
        <f aca="false">A248&amp;"|"&amp;B248</f>
        <v>|</v>
      </c>
    </row>
    <row r="249" customFormat="false" ht="15" hidden="false" customHeight="true" outlineLevel="0" collapsed="false">
      <c r="E249" s="3" t="str">
        <f aca="false">A249&amp;"|"&amp;B249</f>
        <v>|</v>
      </c>
    </row>
    <row r="250" customFormat="false" ht="15" hidden="false" customHeight="true" outlineLevel="0" collapsed="false">
      <c r="E250" s="3" t="str">
        <f aca="false">A250&amp;"|"&amp;B250</f>
        <v>|</v>
      </c>
    </row>
    <row r="251" customFormat="false" ht="15" hidden="false" customHeight="true" outlineLevel="0" collapsed="false">
      <c r="E251" s="3" t="str">
        <f aca="false">A251&amp;"|"&amp;B251</f>
        <v>|</v>
      </c>
    </row>
    <row r="252" customFormat="false" ht="15" hidden="false" customHeight="true" outlineLevel="0" collapsed="false">
      <c r="E252" s="3" t="str">
        <f aca="false">A252&amp;"|"&amp;B252</f>
        <v>|</v>
      </c>
    </row>
    <row r="253" customFormat="false" ht="15" hidden="false" customHeight="true" outlineLevel="0" collapsed="false">
      <c r="E253" s="3" t="str">
        <f aca="false">A253&amp;"|"&amp;B253</f>
        <v>|</v>
      </c>
    </row>
    <row r="254" customFormat="false" ht="15" hidden="false" customHeight="true" outlineLevel="0" collapsed="false">
      <c r="E254" s="3" t="str">
        <f aca="false">A254&amp;"|"&amp;B254</f>
        <v>|</v>
      </c>
    </row>
    <row r="255" customFormat="false" ht="15" hidden="false" customHeight="true" outlineLevel="0" collapsed="false">
      <c r="E255" s="3" t="str">
        <f aca="false">A255&amp;"|"&amp;B255</f>
        <v>|</v>
      </c>
    </row>
    <row r="256" customFormat="false" ht="15" hidden="false" customHeight="true" outlineLevel="0" collapsed="false">
      <c r="E256" s="3" t="str">
        <f aca="false">A256&amp;"|"&amp;B256</f>
        <v>|</v>
      </c>
    </row>
    <row r="257" customFormat="false" ht="15" hidden="false" customHeight="true" outlineLevel="0" collapsed="false">
      <c r="E257" s="3" t="str">
        <f aca="false">A257&amp;"|"&amp;B257</f>
        <v>|</v>
      </c>
    </row>
    <row r="258" customFormat="false" ht="15" hidden="false" customHeight="true" outlineLevel="0" collapsed="false">
      <c r="E258" s="3" t="str">
        <f aca="false">A258&amp;"|"&amp;B258</f>
        <v>|</v>
      </c>
    </row>
    <row r="259" customFormat="false" ht="15" hidden="false" customHeight="true" outlineLevel="0" collapsed="false">
      <c r="E259" s="3" t="str">
        <f aca="false">A259&amp;"|"&amp;B259</f>
        <v>|</v>
      </c>
    </row>
    <row r="260" customFormat="false" ht="15" hidden="false" customHeight="true" outlineLevel="0" collapsed="false">
      <c r="E260" s="3" t="str">
        <f aca="false">A260&amp;"|"&amp;B260</f>
        <v>|</v>
      </c>
    </row>
    <row r="261" customFormat="false" ht="15" hidden="false" customHeight="true" outlineLevel="0" collapsed="false">
      <c r="E261" s="3" t="str">
        <f aca="false">A261&amp;"|"&amp;B261</f>
        <v>|</v>
      </c>
    </row>
    <row r="262" customFormat="false" ht="15" hidden="false" customHeight="true" outlineLevel="0" collapsed="false">
      <c r="E262" s="3" t="str">
        <f aca="false">A262&amp;"|"&amp;B262</f>
        <v>|</v>
      </c>
    </row>
    <row r="263" customFormat="false" ht="15" hidden="false" customHeight="true" outlineLevel="0" collapsed="false">
      <c r="E263" s="3" t="str">
        <f aca="false">A263&amp;"|"&amp;B263</f>
        <v>|</v>
      </c>
    </row>
    <row r="264" customFormat="false" ht="15" hidden="false" customHeight="true" outlineLevel="0" collapsed="false">
      <c r="E264" s="3" t="str">
        <f aca="false">A264&amp;"|"&amp;B264</f>
        <v>|</v>
      </c>
    </row>
    <row r="265" customFormat="false" ht="15" hidden="false" customHeight="true" outlineLevel="0" collapsed="false">
      <c r="E265" s="3" t="str">
        <f aca="false">A265&amp;"|"&amp;B265</f>
        <v>|</v>
      </c>
    </row>
    <row r="266" customFormat="false" ht="15" hidden="false" customHeight="true" outlineLevel="0" collapsed="false">
      <c r="E266" s="3" t="str">
        <f aca="false">A266&amp;"|"&amp;B266</f>
        <v>|</v>
      </c>
    </row>
    <row r="267" customFormat="false" ht="15" hidden="false" customHeight="true" outlineLevel="0" collapsed="false">
      <c r="E267" s="3" t="str">
        <f aca="false">A267&amp;"|"&amp;B267</f>
        <v>|</v>
      </c>
    </row>
    <row r="268" customFormat="false" ht="15" hidden="false" customHeight="true" outlineLevel="0" collapsed="false">
      <c r="E268" s="3" t="str">
        <f aca="false">A268&amp;"|"&amp;B268</f>
        <v>|</v>
      </c>
    </row>
    <row r="269" customFormat="false" ht="15" hidden="false" customHeight="true" outlineLevel="0" collapsed="false">
      <c r="E269" s="3" t="str">
        <f aca="false">A269&amp;"|"&amp;B269</f>
        <v>|</v>
      </c>
    </row>
    <row r="270" customFormat="false" ht="15" hidden="false" customHeight="true" outlineLevel="0" collapsed="false">
      <c r="E270" s="3" t="str">
        <f aca="false">A270&amp;"|"&amp;B270</f>
        <v>|</v>
      </c>
    </row>
    <row r="271" customFormat="false" ht="15" hidden="false" customHeight="true" outlineLevel="0" collapsed="false">
      <c r="E271" s="3" t="str">
        <f aca="false">A271&amp;"|"&amp;B271</f>
        <v>|</v>
      </c>
    </row>
    <row r="272" customFormat="false" ht="15" hidden="false" customHeight="true" outlineLevel="0" collapsed="false">
      <c r="E272" s="3" t="str">
        <f aca="false">A272&amp;"|"&amp;B272</f>
        <v>|</v>
      </c>
    </row>
    <row r="273" customFormat="false" ht="15" hidden="false" customHeight="true" outlineLevel="0" collapsed="false">
      <c r="E273" s="3" t="str">
        <f aca="false">A273&amp;"|"&amp;B273</f>
        <v>|</v>
      </c>
    </row>
    <row r="274" customFormat="false" ht="15" hidden="false" customHeight="true" outlineLevel="0" collapsed="false">
      <c r="E274" s="3" t="str">
        <f aca="false">A274&amp;"|"&amp;B274</f>
        <v>|</v>
      </c>
    </row>
    <row r="275" customFormat="false" ht="15" hidden="false" customHeight="true" outlineLevel="0" collapsed="false">
      <c r="E275" s="3" t="str">
        <f aca="false">A275&amp;"|"&amp;B275</f>
        <v>|</v>
      </c>
    </row>
    <row r="276" customFormat="false" ht="15" hidden="false" customHeight="true" outlineLevel="0" collapsed="false">
      <c r="E276" s="3" t="str">
        <f aca="false">A276&amp;"|"&amp;B276</f>
        <v>|</v>
      </c>
    </row>
    <row r="277" customFormat="false" ht="15" hidden="false" customHeight="true" outlineLevel="0" collapsed="false">
      <c r="E277" s="3" t="str">
        <f aca="false">A277&amp;"|"&amp;B277</f>
        <v>|</v>
      </c>
    </row>
    <row r="278" customFormat="false" ht="15" hidden="false" customHeight="true" outlineLevel="0" collapsed="false">
      <c r="E278" s="3" t="str">
        <f aca="false">A278&amp;"|"&amp;B278</f>
        <v>|</v>
      </c>
    </row>
    <row r="279" customFormat="false" ht="15" hidden="false" customHeight="true" outlineLevel="0" collapsed="false">
      <c r="E279" s="3" t="str">
        <f aca="false">A279&amp;"|"&amp;B279</f>
        <v>|</v>
      </c>
    </row>
    <row r="280" customFormat="false" ht="15" hidden="false" customHeight="true" outlineLevel="0" collapsed="false">
      <c r="E280" s="3" t="str">
        <f aca="false">A280&amp;"|"&amp;B280</f>
        <v>|</v>
      </c>
    </row>
    <row r="281" customFormat="false" ht="15" hidden="false" customHeight="true" outlineLevel="0" collapsed="false">
      <c r="E281" s="3" t="str">
        <f aca="false">A281&amp;"|"&amp;B281</f>
        <v>|</v>
      </c>
    </row>
    <row r="282" customFormat="false" ht="15" hidden="false" customHeight="true" outlineLevel="0" collapsed="false">
      <c r="E282" s="3" t="str">
        <f aca="false">A282&amp;"|"&amp;B282</f>
        <v>|</v>
      </c>
    </row>
    <row r="283" customFormat="false" ht="15" hidden="false" customHeight="true" outlineLevel="0" collapsed="false">
      <c r="E283" s="3" t="str">
        <f aca="false">A283&amp;"|"&amp;B283</f>
        <v>|</v>
      </c>
    </row>
    <row r="284" customFormat="false" ht="15" hidden="false" customHeight="true" outlineLevel="0" collapsed="false">
      <c r="E284" s="3" t="str">
        <f aca="false">A284&amp;"|"&amp;B284</f>
        <v>|</v>
      </c>
    </row>
    <row r="285" customFormat="false" ht="15" hidden="false" customHeight="true" outlineLevel="0" collapsed="false">
      <c r="E285" s="3" t="str">
        <f aca="false">A285&amp;"|"&amp;B285</f>
        <v>|</v>
      </c>
    </row>
    <row r="286" customFormat="false" ht="15" hidden="false" customHeight="true" outlineLevel="0" collapsed="false">
      <c r="E286" s="3" t="str">
        <f aca="false">A286&amp;"|"&amp;B286</f>
        <v>|</v>
      </c>
    </row>
    <row r="287" customFormat="false" ht="15" hidden="false" customHeight="true" outlineLevel="0" collapsed="false">
      <c r="E287" s="3" t="str">
        <f aca="false">A287&amp;"|"&amp;B287</f>
        <v>|</v>
      </c>
    </row>
    <row r="288" customFormat="false" ht="15" hidden="false" customHeight="true" outlineLevel="0" collapsed="false">
      <c r="E288" s="3" t="str">
        <f aca="false">A288&amp;"|"&amp;B288</f>
        <v>|</v>
      </c>
    </row>
    <row r="289" customFormat="false" ht="15" hidden="false" customHeight="true" outlineLevel="0" collapsed="false">
      <c r="E289" s="3" t="str">
        <f aca="false">A289&amp;"|"&amp;B289</f>
        <v>|</v>
      </c>
    </row>
    <row r="290" customFormat="false" ht="15" hidden="false" customHeight="true" outlineLevel="0" collapsed="false">
      <c r="E290" s="3" t="str">
        <f aca="false">A290&amp;"|"&amp;B290</f>
        <v>|</v>
      </c>
    </row>
    <row r="291" customFormat="false" ht="15" hidden="false" customHeight="true" outlineLevel="0" collapsed="false">
      <c r="E291" s="3" t="str">
        <f aca="false">A291&amp;"|"&amp;B291</f>
        <v>|</v>
      </c>
    </row>
    <row r="292" customFormat="false" ht="15" hidden="false" customHeight="true" outlineLevel="0" collapsed="false">
      <c r="E292" s="3" t="str">
        <f aca="false">A292&amp;"|"&amp;B292</f>
        <v>|</v>
      </c>
    </row>
    <row r="293" customFormat="false" ht="15" hidden="false" customHeight="true" outlineLevel="0" collapsed="false">
      <c r="E293" s="3" t="str">
        <f aca="false">A293&amp;"|"&amp;B293</f>
        <v>|</v>
      </c>
    </row>
    <row r="294" customFormat="false" ht="15" hidden="false" customHeight="true" outlineLevel="0" collapsed="false">
      <c r="E294" s="3" t="str">
        <f aca="false">A294&amp;"|"&amp;B294</f>
        <v>|</v>
      </c>
    </row>
    <row r="295" customFormat="false" ht="15" hidden="false" customHeight="true" outlineLevel="0" collapsed="false">
      <c r="E295" s="3" t="str">
        <f aca="false">A295&amp;"|"&amp;B295</f>
        <v>|</v>
      </c>
    </row>
    <row r="296" customFormat="false" ht="15" hidden="false" customHeight="true" outlineLevel="0" collapsed="false">
      <c r="E296" s="3" t="str">
        <f aca="false">A296&amp;"|"&amp;B296</f>
        <v>|</v>
      </c>
    </row>
    <row r="297" customFormat="false" ht="15" hidden="false" customHeight="true" outlineLevel="0" collapsed="false">
      <c r="E297" s="3" t="str">
        <f aca="false">A297&amp;"|"&amp;B297</f>
        <v>|</v>
      </c>
    </row>
    <row r="298" customFormat="false" ht="15" hidden="false" customHeight="true" outlineLevel="0" collapsed="false">
      <c r="E298" s="3" t="str">
        <f aca="false">A298&amp;"|"&amp;B298</f>
        <v>|</v>
      </c>
    </row>
    <row r="299" customFormat="false" ht="15" hidden="false" customHeight="true" outlineLevel="0" collapsed="false">
      <c r="E299" s="3" t="str">
        <f aca="false">A299&amp;"|"&amp;B299</f>
        <v>|</v>
      </c>
    </row>
    <row r="300" customFormat="false" ht="15" hidden="false" customHeight="true" outlineLevel="0" collapsed="false">
      <c r="E300" s="3" t="str">
        <f aca="false">A300&amp;"|"&amp;B300</f>
        <v>|</v>
      </c>
    </row>
    <row r="301" customFormat="false" ht="15" hidden="false" customHeight="true" outlineLevel="0" collapsed="false">
      <c r="E301" s="3" t="str">
        <f aca="false">A301&amp;"|"&amp;B301</f>
        <v>|</v>
      </c>
    </row>
    <row r="302" customFormat="false" ht="15" hidden="false" customHeight="true" outlineLevel="0" collapsed="false">
      <c r="E302" s="3" t="str">
        <f aca="false">A302&amp;"|"&amp;B302</f>
        <v>|</v>
      </c>
    </row>
    <row r="303" customFormat="false" ht="15" hidden="false" customHeight="true" outlineLevel="0" collapsed="false">
      <c r="E303" s="3" t="str">
        <f aca="false">A303&amp;"|"&amp;B303</f>
        <v>|</v>
      </c>
    </row>
    <row r="304" customFormat="false" ht="15" hidden="false" customHeight="true" outlineLevel="0" collapsed="false">
      <c r="E304" s="3" t="str">
        <f aca="false">A304&amp;"|"&amp;B304</f>
        <v>|</v>
      </c>
    </row>
    <row r="305" customFormat="false" ht="15" hidden="false" customHeight="true" outlineLevel="0" collapsed="false">
      <c r="E305" s="3" t="str">
        <f aca="false">A305&amp;"|"&amp;B305</f>
        <v>|</v>
      </c>
    </row>
    <row r="306" customFormat="false" ht="15" hidden="false" customHeight="true" outlineLevel="0" collapsed="false">
      <c r="E306" s="3" t="str">
        <f aca="false">A306&amp;"|"&amp;B306</f>
        <v>|</v>
      </c>
    </row>
    <row r="307" customFormat="false" ht="15" hidden="false" customHeight="true" outlineLevel="0" collapsed="false">
      <c r="E307" s="3" t="str">
        <f aca="false">A307&amp;"|"&amp;B307</f>
        <v>|</v>
      </c>
    </row>
    <row r="308" customFormat="false" ht="15" hidden="false" customHeight="true" outlineLevel="0" collapsed="false">
      <c r="E308" s="3" t="str">
        <f aca="false">A308&amp;"|"&amp;B308</f>
        <v>|</v>
      </c>
    </row>
    <row r="309" customFormat="false" ht="15" hidden="false" customHeight="true" outlineLevel="0" collapsed="false">
      <c r="E309" s="3" t="str">
        <f aca="false">A309&amp;"|"&amp;B309</f>
        <v>|</v>
      </c>
    </row>
    <row r="310" customFormat="false" ht="15" hidden="false" customHeight="true" outlineLevel="0" collapsed="false">
      <c r="E310" s="3" t="str">
        <f aca="false">A310&amp;"|"&amp;B310</f>
        <v>|</v>
      </c>
    </row>
    <row r="311" customFormat="false" ht="15" hidden="false" customHeight="true" outlineLevel="0" collapsed="false">
      <c r="E311" s="3" t="str">
        <f aca="false">A311&amp;"|"&amp;B311</f>
        <v>|</v>
      </c>
    </row>
    <row r="312" customFormat="false" ht="15" hidden="false" customHeight="true" outlineLevel="0" collapsed="false">
      <c r="E312" s="3" t="str">
        <f aca="false">A312&amp;"|"&amp;B312</f>
        <v>|</v>
      </c>
    </row>
    <row r="313" customFormat="false" ht="15" hidden="false" customHeight="true" outlineLevel="0" collapsed="false">
      <c r="E313" s="3" t="str">
        <f aca="false">A313&amp;"|"&amp;B313</f>
        <v>|</v>
      </c>
    </row>
    <row r="314" customFormat="false" ht="15" hidden="false" customHeight="true" outlineLevel="0" collapsed="false">
      <c r="E314" s="3" t="str">
        <f aca="false">A314&amp;"|"&amp;B314</f>
        <v>|</v>
      </c>
    </row>
    <row r="315" customFormat="false" ht="15" hidden="false" customHeight="true" outlineLevel="0" collapsed="false">
      <c r="E315" s="3" t="str">
        <f aca="false">A315&amp;"|"&amp;B315</f>
        <v>|</v>
      </c>
    </row>
    <row r="316" customFormat="false" ht="15" hidden="false" customHeight="true" outlineLevel="0" collapsed="false">
      <c r="E316" s="3" t="str">
        <f aca="false">A316&amp;"|"&amp;B316</f>
        <v>|</v>
      </c>
    </row>
    <row r="317" customFormat="false" ht="15" hidden="false" customHeight="true" outlineLevel="0" collapsed="false">
      <c r="E317" s="3" t="str">
        <f aca="false">A317&amp;"|"&amp;B317</f>
        <v>|</v>
      </c>
    </row>
    <row r="318" customFormat="false" ht="15" hidden="false" customHeight="true" outlineLevel="0" collapsed="false">
      <c r="E318" s="3" t="str">
        <f aca="false">A318&amp;"|"&amp;B318</f>
        <v>|</v>
      </c>
    </row>
    <row r="319" customFormat="false" ht="15" hidden="false" customHeight="true" outlineLevel="0" collapsed="false">
      <c r="E319" s="3" t="str">
        <f aca="false">A319&amp;"|"&amp;B319</f>
        <v>|</v>
      </c>
    </row>
    <row r="320" customFormat="false" ht="15" hidden="false" customHeight="true" outlineLevel="0" collapsed="false">
      <c r="E320" s="3" t="str">
        <f aca="false">A320&amp;"|"&amp;B320</f>
        <v>|</v>
      </c>
    </row>
    <row r="321" customFormat="false" ht="15" hidden="false" customHeight="true" outlineLevel="0" collapsed="false">
      <c r="E321" s="3" t="str">
        <f aca="false">A321&amp;"|"&amp;B321</f>
        <v>|</v>
      </c>
    </row>
    <row r="322" customFormat="false" ht="15" hidden="false" customHeight="true" outlineLevel="0" collapsed="false">
      <c r="E322" s="3" t="str">
        <f aca="false">A322&amp;"|"&amp;B322</f>
        <v>|</v>
      </c>
    </row>
    <row r="323" customFormat="false" ht="15" hidden="false" customHeight="true" outlineLevel="0" collapsed="false">
      <c r="E323" s="3" t="str">
        <f aca="false">A323&amp;"|"&amp;B323</f>
        <v>|</v>
      </c>
    </row>
    <row r="324" customFormat="false" ht="15" hidden="false" customHeight="true" outlineLevel="0" collapsed="false">
      <c r="E324" s="3" t="str">
        <f aca="false">A324&amp;"|"&amp;B324</f>
        <v>|</v>
      </c>
    </row>
    <row r="325" customFormat="false" ht="15" hidden="false" customHeight="true" outlineLevel="0" collapsed="false">
      <c r="E325" s="3" t="str">
        <f aca="false">A325&amp;"|"&amp;B325</f>
        <v>|</v>
      </c>
    </row>
    <row r="326" customFormat="false" ht="15" hidden="false" customHeight="true" outlineLevel="0" collapsed="false">
      <c r="E326" s="3" t="str">
        <f aca="false">A326&amp;"|"&amp;B326</f>
        <v>|</v>
      </c>
    </row>
    <row r="327" customFormat="false" ht="15" hidden="false" customHeight="true" outlineLevel="0" collapsed="false">
      <c r="E327" s="3" t="str">
        <f aca="false">A327&amp;"|"&amp;B327</f>
        <v>|</v>
      </c>
    </row>
    <row r="328" customFormat="false" ht="15" hidden="false" customHeight="true" outlineLevel="0" collapsed="false">
      <c r="E328" s="3" t="str">
        <f aca="false">A328&amp;"|"&amp;B328</f>
        <v>|</v>
      </c>
    </row>
    <row r="329" customFormat="false" ht="15" hidden="false" customHeight="true" outlineLevel="0" collapsed="false">
      <c r="E329" s="3" t="str">
        <f aca="false">A329&amp;"|"&amp;B329</f>
        <v>|</v>
      </c>
    </row>
    <row r="330" customFormat="false" ht="15" hidden="false" customHeight="true" outlineLevel="0" collapsed="false">
      <c r="E330" s="3" t="str">
        <f aca="false">A330&amp;"|"&amp;B330</f>
        <v>|</v>
      </c>
    </row>
    <row r="331" customFormat="false" ht="15" hidden="false" customHeight="true" outlineLevel="0" collapsed="false">
      <c r="E331" s="3" t="str">
        <f aca="false">A331&amp;"|"&amp;B331</f>
        <v>|</v>
      </c>
    </row>
    <row r="332" customFormat="false" ht="15" hidden="false" customHeight="true" outlineLevel="0" collapsed="false">
      <c r="E332" s="3" t="str">
        <f aca="false">A332&amp;"|"&amp;B332</f>
        <v>|</v>
      </c>
    </row>
    <row r="333" customFormat="false" ht="15" hidden="false" customHeight="true" outlineLevel="0" collapsed="false">
      <c r="E333" s="3" t="str">
        <f aca="false">A333&amp;"|"&amp;B333</f>
        <v>|</v>
      </c>
    </row>
    <row r="334" customFormat="false" ht="15" hidden="false" customHeight="true" outlineLevel="0" collapsed="false">
      <c r="E334" s="3" t="str">
        <f aca="false">A334&amp;"|"&amp;B334</f>
        <v>|</v>
      </c>
    </row>
    <row r="335" customFormat="false" ht="15" hidden="false" customHeight="true" outlineLevel="0" collapsed="false">
      <c r="E335" s="3" t="str">
        <f aca="false">A335&amp;"|"&amp;B335</f>
        <v>|</v>
      </c>
    </row>
    <row r="336" customFormat="false" ht="15" hidden="false" customHeight="true" outlineLevel="0" collapsed="false">
      <c r="E336" s="3" t="str">
        <f aca="false">A336&amp;"|"&amp;B336</f>
        <v>|</v>
      </c>
    </row>
    <row r="337" customFormat="false" ht="15" hidden="false" customHeight="true" outlineLevel="0" collapsed="false">
      <c r="E337" s="3" t="str">
        <f aca="false">A337&amp;"|"&amp;B337</f>
        <v>|</v>
      </c>
    </row>
    <row r="338" customFormat="false" ht="15" hidden="false" customHeight="true" outlineLevel="0" collapsed="false">
      <c r="E338" s="3" t="str">
        <f aca="false">A338&amp;"|"&amp;B338</f>
        <v>|</v>
      </c>
    </row>
    <row r="339" customFormat="false" ht="15" hidden="false" customHeight="true" outlineLevel="0" collapsed="false">
      <c r="E339" s="3" t="str">
        <f aca="false">A339&amp;"|"&amp;B339</f>
        <v>|</v>
      </c>
    </row>
    <row r="340" customFormat="false" ht="15" hidden="false" customHeight="true" outlineLevel="0" collapsed="false">
      <c r="E340" s="3" t="str">
        <f aca="false">A340&amp;"|"&amp;B340</f>
        <v>|</v>
      </c>
    </row>
    <row r="341" customFormat="false" ht="15" hidden="false" customHeight="true" outlineLevel="0" collapsed="false">
      <c r="E341" s="3" t="str">
        <f aca="false">A341&amp;"|"&amp;B341</f>
        <v>|</v>
      </c>
    </row>
    <row r="342" customFormat="false" ht="15" hidden="false" customHeight="true" outlineLevel="0" collapsed="false">
      <c r="E342" s="3" t="str">
        <f aca="false">A342&amp;"|"&amp;B342</f>
        <v>|</v>
      </c>
    </row>
    <row r="343" customFormat="false" ht="15" hidden="false" customHeight="true" outlineLevel="0" collapsed="false">
      <c r="E343" s="3" t="str">
        <f aca="false">A343&amp;"|"&amp;B343</f>
        <v>|</v>
      </c>
    </row>
    <row r="344" customFormat="false" ht="15" hidden="false" customHeight="true" outlineLevel="0" collapsed="false">
      <c r="E344" s="3" t="str">
        <f aca="false">A344&amp;"|"&amp;B344</f>
        <v>|</v>
      </c>
    </row>
    <row r="345" customFormat="false" ht="15" hidden="false" customHeight="true" outlineLevel="0" collapsed="false">
      <c r="E345" s="3" t="str">
        <f aca="false">A345&amp;"|"&amp;B345</f>
        <v>|</v>
      </c>
    </row>
    <row r="346" customFormat="false" ht="15" hidden="false" customHeight="true" outlineLevel="0" collapsed="false">
      <c r="E346" s="3" t="str">
        <f aca="false">A346&amp;"|"&amp;B346</f>
        <v>|</v>
      </c>
    </row>
    <row r="347" customFormat="false" ht="15" hidden="false" customHeight="true" outlineLevel="0" collapsed="false">
      <c r="E347" s="3" t="str">
        <f aca="false">A347&amp;"|"&amp;B347</f>
        <v>|</v>
      </c>
    </row>
    <row r="348" customFormat="false" ht="15" hidden="false" customHeight="true" outlineLevel="0" collapsed="false">
      <c r="E348" s="3" t="str">
        <f aca="false">A348&amp;"|"&amp;B348</f>
        <v>|</v>
      </c>
    </row>
    <row r="349" customFormat="false" ht="15" hidden="false" customHeight="true" outlineLevel="0" collapsed="false">
      <c r="E349" s="3" t="str">
        <f aca="false">A349&amp;"|"&amp;B349</f>
        <v>|</v>
      </c>
    </row>
    <row r="350" customFormat="false" ht="15" hidden="false" customHeight="true" outlineLevel="0" collapsed="false">
      <c r="E350" s="3" t="str">
        <f aca="false">A350&amp;"|"&amp;B350</f>
        <v>|</v>
      </c>
    </row>
    <row r="351" customFormat="false" ht="15" hidden="false" customHeight="true" outlineLevel="0" collapsed="false">
      <c r="E351" s="3" t="str">
        <f aca="false">A351&amp;"|"&amp;B351</f>
        <v>|</v>
      </c>
    </row>
    <row r="352" customFormat="false" ht="15" hidden="false" customHeight="true" outlineLevel="0" collapsed="false">
      <c r="E352" s="3" t="str">
        <f aca="false">A352&amp;"|"&amp;B352</f>
        <v>|</v>
      </c>
    </row>
    <row r="353" customFormat="false" ht="15" hidden="false" customHeight="true" outlineLevel="0" collapsed="false">
      <c r="E353" s="3" t="str">
        <f aca="false">A353&amp;"|"&amp;B353</f>
        <v>|</v>
      </c>
    </row>
    <row r="354" customFormat="false" ht="15" hidden="false" customHeight="true" outlineLevel="0" collapsed="false">
      <c r="E354" s="3" t="str">
        <f aca="false">A354&amp;"|"&amp;B354</f>
        <v>|</v>
      </c>
    </row>
    <row r="355" customFormat="false" ht="15" hidden="false" customHeight="true" outlineLevel="0" collapsed="false">
      <c r="E355" s="3" t="str">
        <f aca="false">A355&amp;"|"&amp;B355</f>
        <v>|</v>
      </c>
    </row>
    <row r="356" customFormat="false" ht="15" hidden="false" customHeight="true" outlineLevel="0" collapsed="false">
      <c r="E356" s="3" t="str">
        <f aca="false">A356&amp;"|"&amp;B356</f>
        <v>|</v>
      </c>
    </row>
    <row r="357" customFormat="false" ht="15" hidden="false" customHeight="true" outlineLevel="0" collapsed="false">
      <c r="E357" s="3" t="str">
        <f aca="false">A357&amp;"|"&amp;B357</f>
        <v>|</v>
      </c>
    </row>
    <row r="358" customFormat="false" ht="15" hidden="false" customHeight="true" outlineLevel="0" collapsed="false">
      <c r="E358" s="3" t="str">
        <f aca="false">A358&amp;"|"&amp;B358</f>
        <v>|</v>
      </c>
    </row>
    <row r="359" customFormat="false" ht="15" hidden="false" customHeight="true" outlineLevel="0" collapsed="false">
      <c r="E359" s="3" t="str">
        <f aca="false">A359&amp;"|"&amp;B359</f>
        <v>|</v>
      </c>
    </row>
    <row r="360" customFormat="false" ht="15" hidden="false" customHeight="true" outlineLevel="0" collapsed="false">
      <c r="E360" s="3" t="str">
        <f aca="false">A360&amp;"|"&amp;B360</f>
        <v>|</v>
      </c>
    </row>
    <row r="361" customFormat="false" ht="15" hidden="false" customHeight="true" outlineLevel="0" collapsed="false">
      <c r="E361" s="3" t="str">
        <f aca="false">A361&amp;"|"&amp;B361</f>
        <v>|</v>
      </c>
    </row>
    <row r="362" customFormat="false" ht="15" hidden="false" customHeight="true" outlineLevel="0" collapsed="false">
      <c r="E362" s="3" t="str">
        <f aca="false">A362&amp;"|"&amp;B362</f>
        <v>|</v>
      </c>
    </row>
    <row r="363" customFormat="false" ht="15" hidden="false" customHeight="true" outlineLevel="0" collapsed="false">
      <c r="E363" s="3" t="str">
        <f aca="false">A363&amp;"|"&amp;B363</f>
        <v>|</v>
      </c>
    </row>
    <row r="364" customFormat="false" ht="15" hidden="false" customHeight="true" outlineLevel="0" collapsed="false">
      <c r="E364" s="3" t="str">
        <f aca="false">A364&amp;"|"&amp;B364</f>
        <v>|</v>
      </c>
    </row>
    <row r="365" customFormat="false" ht="15" hidden="false" customHeight="true" outlineLevel="0" collapsed="false">
      <c r="E365" s="3" t="str">
        <f aca="false">A365&amp;"|"&amp;B365</f>
        <v>|</v>
      </c>
    </row>
    <row r="366" customFormat="false" ht="15" hidden="false" customHeight="true" outlineLevel="0" collapsed="false">
      <c r="E366" s="3" t="str">
        <f aca="false">A366&amp;"|"&amp;B366</f>
        <v>|</v>
      </c>
    </row>
    <row r="367" customFormat="false" ht="15" hidden="false" customHeight="true" outlineLevel="0" collapsed="false">
      <c r="E367" s="3" t="str">
        <f aca="false">A367&amp;"|"&amp;B367</f>
        <v>|</v>
      </c>
    </row>
    <row r="368" customFormat="false" ht="15" hidden="false" customHeight="true" outlineLevel="0" collapsed="false">
      <c r="E368" s="3" t="str">
        <f aca="false">A368&amp;"|"&amp;B368</f>
        <v>|</v>
      </c>
    </row>
    <row r="369" customFormat="false" ht="15" hidden="false" customHeight="true" outlineLevel="0" collapsed="false">
      <c r="E369" s="3" t="str">
        <f aca="false">A369&amp;"|"&amp;B369</f>
        <v>|</v>
      </c>
    </row>
    <row r="370" customFormat="false" ht="15" hidden="false" customHeight="true" outlineLevel="0" collapsed="false">
      <c r="E370" s="3" t="str">
        <f aca="false">A370&amp;"|"&amp;B370</f>
        <v>|</v>
      </c>
    </row>
    <row r="371" customFormat="false" ht="15" hidden="false" customHeight="true" outlineLevel="0" collapsed="false">
      <c r="E371" s="3" t="str">
        <f aca="false">A371&amp;"|"&amp;B371</f>
        <v>|</v>
      </c>
    </row>
    <row r="372" customFormat="false" ht="15" hidden="false" customHeight="true" outlineLevel="0" collapsed="false">
      <c r="E372" s="3" t="str">
        <f aca="false">A372&amp;"|"&amp;B372</f>
        <v>|</v>
      </c>
    </row>
    <row r="373" customFormat="false" ht="15" hidden="false" customHeight="true" outlineLevel="0" collapsed="false">
      <c r="E373" s="3" t="str">
        <f aca="false">A373&amp;"|"&amp;B373</f>
        <v>|</v>
      </c>
    </row>
    <row r="374" customFormat="false" ht="15" hidden="false" customHeight="true" outlineLevel="0" collapsed="false">
      <c r="E374" s="3" t="str">
        <f aca="false">A374&amp;"|"&amp;B374</f>
        <v>|</v>
      </c>
    </row>
    <row r="375" customFormat="false" ht="15" hidden="false" customHeight="true" outlineLevel="0" collapsed="false">
      <c r="E375" s="3" t="str">
        <f aca="false">A375&amp;"|"&amp;B375</f>
        <v>|</v>
      </c>
    </row>
    <row r="376" customFormat="false" ht="15" hidden="false" customHeight="true" outlineLevel="0" collapsed="false">
      <c r="E376" s="3" t="str">
        <f aca="false">A376&amp;"|"&amp;B376</f>
        <v>|</v>
      </c>
    </row>
    <row r="377" customFormat="false" ht="15" hidden="false" customHeight="true" outlineLevel="0" collapsed="false">
      <c r="E377" s="3" t="str">
        <f aca="false">A377&amp;"|"&amp;B377</f>
        <v>|</v>
      </c>
    </row>
    <row r="378" customFormat="false" ht="15" hidden="false" customHeight="true" outlineLevel="0" collapsed="false">
      <c r="E378" s="3" t="str">
        <f aca="false">A378&amp;"|"&amp;B378</f>
        <v>|</v>
      </c>
    </row>
    <row r="379" customFormat="false" ht="15" hidden="false" customHeight="true" outlineLevel="0" collapsed="false">
      <c r="E379" s="3" t="str">
        <f aca="false">A379&amp;"|"&amp;B379</f>
        <v>|</v>
      </c>
    </row>
    <row r="380" customFormat="false" ht="15" hidden="false" customHeight="true" outlineLevel="0" collapsed="false">
      <c r="E380" s="3" t="str">
        <f aca="false">A380&amp;"|"&amp;B380</f>
        <v>|</v>
      </c>
    </row>
    <row r="381" customFormat="false" ht="15" hidden="false" customHeight="true" outlineLevel="0" collapsed="false">
      <c r="E381" s="3" t="str">
        <f aca="false">A381&amp;"|"&amp;B381</f>
        <v>|</v>
      </c>
    </row>
    <row r="382" customFormat="false" ht="15" hidden="false" customHeight="true" outlineLevel="0" collapsed="false">
      <c r="E382" s="3" t="str">
        <f aca="false">A382&amp;"|"&amp;B382</f>
        <v>|</v>
      </c>
    </row>
    <row r="383" customFormat="false" ht="15" hidden="false" customHeight="true" outlineLevel="0" collapsed="false">
      <c r="E383" s="3" t="str">
        <f aca="false">A383&amp;"|"&amp;B383</f>
        <v>|</v>
      </c>
    </row>
    <row r="384" customFormat="false" ht="15" hidden="false" customHeight="true" outlineLevel="0" collapsed="false">
      <c r="E384" s="3" t="str">
        <f aca="false">A384&amp;"|"&amp;B384</f>
        <v>|</v>
      </c>
    </row>
    <row r="385" customFormat="false" ht="15" hidden="false" customHeight="true" outlineLevel="0" collapsed="false">
      <c r="E385" s="3" t="str">
        <f aca="false">A385&amp;"|"&amp;B385</f>
        <v>|</v>
      </c>
    </row>
    <row r="386" customFormat="false" ht="15" hidden="false" customHeight="true" outlineLevel="0" collapsed="false">
      <c r="E386" s="3" t="str">
        <f aca="false">A386&amp;"|"&amp;B386</f>
        <v>|</v>
      </c>
    </row>
    <row r="387" customFormat="false" ht="15" hidden="false" customHeight="true" outlineLevel="0" collapsed="false">
      <c r="E387" s="3" t="str">
        <f aca="false">A387&amp;"|"&amp;B387</f>
        <v>|</v>
      </c>
    </row>
    <row r="388" customFormat="false" ht="15" hidden="false" customHeight="true" outlineLevel="0" collapsed="false">
      <c r="E388" s="3" t="str">
        <f aca="false">A388&amp;"|"&amp;B388</f>
        <v>|</v>
      </c>
    </row>
    <row r="389" customFormat="false" ht="15" hidden="false" customHeight="true" outlineLevel="0" collapsed="false">
      <c r="E389" s="3" t="str">
        <f aca="false">A389&amp;"|"&amp;B389</f>
        <v>|</v>
      </c>
    </row>
    <row r="390" customFormat="false" ht="15" hidden="false" customHeight="true" outlineLevel="0" collapsed="false">
      <c r="E390" s="3" t="str">
        <f aca="false">A390&amp;"|"&amp;B390</f>
        <v>|</v>
      </c>
    </row>
    <row r="391" customFormat="false" ht="15" hidden="false" customHeight="true" outlineLevel="0" collapsed="false">
      <c r="E391" s="3" t="str">
        <f aca="false">A391&amp;"|"&amp;B391</f>
        <v>|</v>
      </c>
    </row>
    <row r="392" customFormat="false" ht="15" hidden="false" customHeight="true" outlineLevel="0" collapsed="false">
      <c r="E392" s="3" t="str">
        <f aca="false">A392&amp;"|"&amp;B392</f>
        <v>|</v>
      </c>
    </row>
    <row r="393" customFormat="false" ht="15" hidden="false" customHeight="true" outlineLevel="0" collapsed="false">
      <c r="E393" s="3" t="str">
        <f aca="false">A393&amp;"|"&amp;B393</f>
        <v>|</v>
      </c>
    </row>
    <row r="394" customFormat="false" ht="15" hidden="false" customHeight="true" outlineLevel="0" collapsed="false">
      <c r="E394" s="3" t="str">
        <f aca="false">A394&amp;"|"&amp;B394</f>
        <v>|</v>
      </c>
    </row>
    <row r="395" customFormat="false" ht="15" hidden="false" customHeight="true" outlineLevel="0" collapsed="false">
      <c r="E395" s="3" t="str">
        <f aca="false">A395&amp;"|"&amp;B395</f>
        <v>|</v>
      </c>
    </row>
    <row r="396" customFormat="false" ht="15" hidden="false" customHeight="true" outlineLevel="0" collapsed="false">
      <c r="E396" s="3" t="str">
        <f aca="false">A396&amp;"|"&amp;B396</f>
        <v>|</v>
      </c>
    </row>
    <row r="397" customFormat="false" ht="15" hidden="false" customHeight="true" outlineLevel="0" collapsed="false">
      <c r="E397" s="3" t="str">
        <f aca="false">A397&amp;"|"&amp;B397</f>
        <v>|</v>
      </c>
    </row>
    <row r="398" customFormat="false" ht="15" hidden="false" customHeight="true" outlineLevel="0" collapsed="false">
      <c r="E398" s="3" t="str">
        <f aca="false">A398&amp;"|"&amp;B398</f>
        <v>|</v>
      </c>
    </row>
    <row r="399" customFormat="false" ht="15" hidden="false" customHeight="true" outlineLevel="0" collapsed="false">
      <c r="E399" s="3" t="str">
        <f aca="false">A399&amp;"|"&amp;B399</f>
        <v>|</v>
      </c>
    </row>
    <row r="400" customFormat="false" ht="15" hidden="false" customHeight="true" outlineLevel="0" collapsed="false">
      <c r="E400" s="3" t="str">
        <f aca="false">A400&amp;"|"&amp;B400</f>
        <v>|</v>
      </c>
    </row>
    <row r="401" customFormat="false" ht="15" hidden="false" customHeight="true" outlineLevel="0" collapsed="false">
      <c r="E401" s="3" t="str">
        <f aca="false">A401&amp;"|"&amp;B401</f>
        <v>|</v>
      </c>
    </row>
    <row r="402" customFormat="false" ht="15" hidden="false" customHeight="true" outlineLevel="0" collapsed="false">
      <c r="E402" s="3" t="str">
        <f aca="false">A402&amp;"|"&amp;B402</f>
        <v>|</v>
      </c>
    </row>
    <row r="403" customFormat="false" ht="15" hidden="false" customHeight="true" outlineLevel="0" collapsed="false">
      <c r="E403" s="3" t="str">
        <f aca="false">A403&amp;"|"&amp;B403</f>
        <v>|</v>
      </c>
    </row>
    <row r="404" customFormat="false" ht="15" hidden="false" customHeight="true" outlineLevel="0" collapsed="false">
      <c r="E404" s="3" t="str">
        <f aca="false">A404&amp;"|"&amp;B404</f>
        <v>|</v>
      </c>
    </row>
    <row r="405" customFormat="false" ht="15" hidden="false" customHeight="true" outlineLevel="0" collapsed="false">
      <c r="E405" s="3" t="str">
        <f aca="false">A405&amp;"|"&amp;B405</f>
        <v>|</v>
      </c>
    </row>
    <row r="406" customFormat="false" ht="15" hidden="false" customHeight="true" outlineLevel="0" collapsed="false">
      <c r="E406" s="3" t="str">
        <f aca="false">A406&amp;"|"&amp;B406</f>
        <v>|</v>
      </c>
    </row>
    <row r="407" customFormat="false" ht="15" hidden="false" customHeight="true" outlineLevel="0" collapsed="false">
      <c r="E407" s="3" t="str">
        <f aca="false">A407&amp;"|"&amp;B407</f>
        <v>|</v>
      </c>
    </row>
    <row r="408" customFormat="false" ht="15" hidden="false" customHeight="true" outlineLevel="0" collapsed="false">
      <c r="E408" s="3" t="str">
        <f aca="false">A408&amp;"|"&amp;B408</f>
        <v>|</v>
      </c>
    </row>
    <row r="409" customFormat="false" ht="15" hidden="false" customHeight="true" outlineLevel="0" collapsed="false">
      <c r="E409" s="3" t="str">
        <f aca="false">A409&amp;"|"&amp;B409</f>
        <v>|</v>
      </c>
    </row>
    <row r="410" customFormat="false" ht="15" hidden="false" customHeight="true" outlineLevel="0" collapsed="false">
      <c r="E410" s="3" t="str">
        <f aca="false">A410&amp;"|"&amp;B410</f>
        <v>|</v>
      </c>
    </row>
    <row r="411" customFormat="false" ht="15" hidden="false" customHeight="true" outlineLevel="0" collapsed="false">
      <c r="E411" s="3" t="str">
        <f aca="false">A411&amp;"|"&amp;B411</f>
        <v>|</v>
      </c>
    </row>
    <row r="412" customFormat="false" ht="15" hidden="false" customHeight="true" outlineLevel="0" collapsed="false">
      <c r="E412" s="3" t="str">
        <f aca="false">A412&amp;"|"&amp;B412</f>
        <v>|</v>
      </c>
    </row>
    <row r="413" customFormat="false" ht="15" hidden="false" customHeight="true" outlineLevel="0" collapsed="false">
      <c r="E413" s="3" t="str">
        <f aca="false">A413&amp;"|"&amp;B413</f>
        <v>|</v>
      </c>
    </row>
    <row r="414" customFormat="false" ht="15" hidden="false" customHeight="true" outlineLevel="0" collapsed="false">
      <c r="E414" s="3" t="str">
        <f aca="false">A414&amp;"|"&amp;B414</f>
        <v>|</v>
      </c>
    </row>
    <row r="415" customFormat="false" ht="15" hidden="false" customHeight="true" outlineLevel="0" collapsed="false">
      <c r="E415" s="3" t="str">
        <f aca="false">A415&amp;"|"&amp;B415</f>
        <v>|</v>
      </c>
    </row>
    <row r="416" customFormat="false" ht="15" hidden="false" customHeight="true" outlineLevel="0" collapsed="false">
      <c r="E416" s="3" t="str">
        <f aca="false">A416&amp;"|"&amp;B416</f>
        <v>|</v>
      </c>
    </row>
    <row r="417" customFormat="false" ht="15" hidden="false" customHeight="true" outlineLevel="0" collapsed="false">
      <c r="E417" s="3" t="str">
        <f aca="false">A417&amp;"|"&amp;B417</f>
        <v>|</v>
      </c>
    </row>
    <row r="418" customFormat="false" ht="15" hidden="false" customHeight="true" outlineLevel="0" collapsed="false">
      <c r="E418" s="3" t="str">
        <f aca="false">A418&amp;"|"&amp;B418</f>
        <v>|</v>
      </c>
    </row>
    <row r="419" customFormat="false" ht="15" hidden="false" customHeight="true" outlineLevel="0" collapsed="false">
      <c r="E419" s="3" t="str">
        <f aca="false">A419&amp;"|"&amp;B419</f>
        <v>|</v>
      </c>
    </row>
    <row r="420" customFormat="false" ht="15" hidden="false" customHeight="true" outlineLevel="0" collapsed="false">
      <c r="E420" s="3" t="str">
        <f aca="false">A420&amp;"|"&amp;B420</f>
        <v>|</v>
      </c>
    </row>
    <row r="421" customFormat="false" ht="15" hidden="false" customHeight="true" outlineLevel="0" collapsed="false">
      <c r="E421" s="3" t="str">
        <f aca="false">A421&amp;"|"&amp;B421</f>
        <v>|</v>
      </c>
    </row>
    <row r="422" customFormat="false" ht="15" hidden="false" customHeight="true" outlineLevel="0" collapsed="false">
      <c r="E422" s="3" t="str">
        <f aca="false">A422&amp;"|"&amp;B422</f>
        <v>|</v>
      </c>
    </row>
    <row r="423" customFormat="false" ht="15" hidden="false" customHeight="true" outlineLevel="0" collapsed="false">
      <c r="E423" s="3" t="str">
        <f aca="false">A423&amp;"|"&amp;B423</f>
        <v>|</v>
      </c>
    </row>
    <row r="424" customFormat="false" ht="15" hidden="false" customHeight="true" outlineLevel="0" collapsed="false">
      <c r="E424" s="3" t="str">
        <f aca="false">A424&amp;"|"&amp;B424</f>
        <v>|</v>
      </c>
    </row>
    <row r="425" customFormat="false" ht="15" hidden="false" customHeight="true" outlineLevel="0" collapsed="false">
      <c r="E425" s="3" t="str">
        <f aca="false">A425&amp;"|"&amp;B425</f>
        <v>|</v>
      </c>
    </row>
    <row r="426" customFormat="false" ht="15" hidden="false" customHeight="true" outlineLevel="0" collapsed="false">
      <c r="E426" s="3" t="str">
        <f aca="false">A426&amp;"|"&amp;B426</f>
        <v>|</v>
      </c>
    </row>
    <row r="427" customFormat="false" ht="15" hidden="false" customHeight="true" outlineLevel="0" collapsed="false">
      <c r="E427" s="3" t="str">
        <f aca="false">A427&amp;"|"&amp;B427</f>
        <v>|</v>
      </c>
    </row>
    <row r="428" customFormat="false" ht="15" hidden="false" customHeight="true" outlineLevel="0" collapsed="false">
      <c r="E428" s="3" t="str">
        <f aca="false">A428&amp;"|"&amp;B428</f>
        <v>|</v>
      </c>
    </row>
    <row r="429" customFormat="false" ht="15" hidden="false" customHeight="true" outlineLevel="0" collapsed="false">
      <c r="E429" s="3" t="str">
        <f aca="false">A429&amp;"|"&amp;B429</f>
        <v>|</v>
      </c>
    </row>
    <row r="430" customFormat="false" ht="15" hidden="false" customHeight="true" outlineLevel="0" collapsed="false">
      <c r="E430" s="3" t="str">
        <f aca="false">A430&amp;"|"&amp;B430</f>
        <v>|</v>
      </c>
    </row>
    <row r="431" customFormat="false" ht="15" hidden="false" customHeight="true" outlineLevel="0" collapsed="false">
      <c r="E431" s="3" t="str">
        <f aca="false">A431&amp;"|"&amp;B431</f>
        <v>|</v>
      </c>
    </row>
    <row r="432" customFormat="false" ht="15" hidden="false" customHeight="true" outlineLevel="0" collapsed="false">
      <c r="E432" s="3" t="str">
        <f aca="false">A432&amp;"|"&amp;B432</f>
        <v>|</v>
      </c>
    </row>
    <row r="433" customFormat="false" ht="15" hidden="false" customHeight="true" outlineLevel="0" collapsed="false">
      <c r="E433" s="3" t="str">
        <f aca="false">A433&amp;"|"&amp;B433</f>
        <v>|</v>
      </c>
    </row>
    <row r="434" customFormat="false" ht="15" hidden="false" customHeight="true" outlineLevel="0" collapsed="false">
      <c r="E434" s="3" t="str">
        <f aca="false">A434&amp;"|"&amp;B434</f>
        <v>|</v>
      </c>
    </row>
    <row r="435" customFormat="false" ht="15" hidden="false" customHeight="true" outlineLevel="0" collapsed="false">
      <c r="E435" s="3" t="str">
        <f aca="false">A435&amp;"|"&amp;B435</f>
        <v>|</v>
      </c>
    </row>
    <row r="436" customFormat="false" ht="15" hidden="false" customHeight="true" outlineLevel="0" collapsed="false">
      <c r="E436" s="3" t="str">
        <f aca="false">A436&amp;"|"&amp;B436</f>
        <v>|</v>
      </c>
    </row>
    <row r="437" customFormat="false" ht="15" hidden="false" customHeight="true" outlineLevel="0" collapsed="false">
      <c r="E437" s="3" t="str">
        <f aca="false">A437&amp;"|"&amp;B437</f>
        <v>|</v>
      </c>
    </row>
    <row r="438" customFormat="false" ht="15" hidden="false" customHeight="true" outlineLevel="0" collapsed="false">
      <c r="E438" s="3" t="str">
        <f aca="false">A438&amp;"|"&amp;B438</f>
        <v>|</v>
      </c>
    </row>
    <row r="439" customFormat="false" ht="15" hidden="false" customHeight="true" outlineLevel="0" collapsed="false">
      <c r="E439" s="3" t="str">
        <f aca="false">A439&amp;"|"&amp;B439</f>
        <v>|</v>
      </c>
    </row>
    <row r="440" customFormat="false" ht="15" hidden="false" customHeight="true" outlineLevel="0" collapsed="false">
      <c r="E440" s="3" t="str">
        <f aca="false">A440&amp;"|"&amp;B440</f>
        <v>|</v>
      </c>
    </row>
    <row r="441" customFormat="false" ht="15" hidden="false" customHeight="true" outlineLevel="0" collapsed="false">
      <c r="E441" s="3" t="str">
        <f aca="false">A441&amp;"|"&amp;B441</f>
        <v>|</v>
      </c>
    </row>
    <row r="442" customFormat="false" ht="15" hidden="false" customHeight="true" outlineLevel="0" collapsed="false">
      <c r="E442" s="3" t="str">
        <f aca="false">A442&amp;"|"&amp;B442</f>
        <v>|</v>
      </c>
    </row>
    <row r="443" customFormat="false" ht="15" hidden="false" customHeight="true" outlineLevel="0" collapsed="false">
      <c r="E443" s="3" t="str">
        <f aca="false">A443&amp;"|"&amp;B443</f>
        <v>|</v>
      </c>
    </row>
    <row r="444" customFormat="false" ht="15" hidden="false" customHeight="true" outlineLevel="0" collapsed="false">
      <c r="E444" s="3" t="str">
        <f aca="false">A444&amp;"|"&amp;B444</f>
        <v>|</v>
      </c>
    </row>
    <row r="445" customFormat="false" ht="15" hidden="false" customHeight="true" outlineLevel="0" collapsed="false">
      <c r="E445" s="3" t="str">
        <f aca="false">A445&amp;"|"&amp;B445</f>
        <v>|</v>
      </c>
    </row>
    <row r="446" customFormat="false" ht="15" hidden="false" customHeight="true" outlineLevel="0" collapsed="false">
      <c r="E446" s="3" t="str">
        <f aca="false">A446&amp;"|"&amp;B446</f>
        <v>|</v>
      </c>
    </row>
    <row r="447" customFormat="false" ht="15" hidden="false" customHeight="true" outlineLevel="0" collapsed="false">
      <c r="E447" s="3" t="str">
        <f aca="false">A447&amp;"|"&amp;B447</f>
        <v>|</v>
      </c>
    </row>
    <row r="448" customFormat="false" ht="15" hidden="false" customHeight="true" outlineLevel="0" collapsed="false">
      <c r="E448" s="3" t="str">
        <f aca="false">A448&amp;"|"&amp;B448</f>
        <v>|</v>
      </c>
    </row>
    <row r="449" customFormat="false" ht="15" hidden="false" customHeight="true" outlineLevel="0" collapsed="false">
      <c r="E449" s="3" t="str">
        <f aca="false">A449&amp;"|"&amp;B449</f>
        <v>|</v>
      </c>
    </row>
    <row r="450" customFormat="false" ht="15" hidden="false" customHeight="true" outlineLevel="0" collapsed="false">
      <c r="E450" s="3" t="str">
        <f aca="false">A450&amp;"|"&amp;B450</f>
        <v>|</v>
      </c>
    </row>
    <row r="451" customFormat="false" ht="15" hidden="false" customHeight="true" outlineLevel="0" collapsed="false">
      <c r="E451" s="3" t="str">
        <f aca="false">A451&amp;"|"&amp;B451</f>
        <v>|</v>
      </c>
    </row>
    <row r="452" customFormat="false" ht="15" hidden="false" customHeight="true" outlineLevel="0" collapsed="false">
      <c r="E452" s="3" t="str">
        <f aca="false">A452&amp;"|"&amp;B452</f>
        <v>|</v>
      </c>
    </row>
    <row r="453" customFormat="false" ht="15" hidden="false" customHeight="true" outlineLevel="0" collapsed="false">
      <c r="E453" s="3" t="str">
        <f aca="false">A453&amp;"|"&amp;B453</f>
        <v>|</v>
      </c>
    </row>
    <row r="454" customFormat="false" ht="15" hidden="false" customHeight="true" outlineLevel="0" collapsed="false">
      <c r="E454" s="3" t="str">
        <f aca="false">A454&amp;"|"&amp;B454</f>
        <v>|</v>
      </c>
    </row>
    <row r="455" customFormat="false" ht="15" hidden="false" customHeight="true" outlineLevel="0" collapsed="false">
      <c r="E455" s="3" t="str">
        <f aca="false">A455&amp;"|"&amp;B455</f>
        <v>|</v>
      </c>
    </row>
    <row r="456" customFormat="false" ht="15" hidden="false" customHeight="true" outlineLevel="0" collapsed="false">
      <c r="E456" s="3" t="str">
        <f aca="false">A456&amp;"|"&amp;B456</f>
        <v>|</v>
      </c>
    </row>
    <row r="457" customFormat="false" ht="15" hidden="false" customHeight="true" outlineLevel="0" collapsed="false">
      <c r="E457" s="3" t="str">
        <f aca="false">A457&amp;"|"&amp;B457</f>
        <v>|</v>
      </c>
    </row>
    <row r="458" customFormat="false" ht="15" hidden="false" customHeight="true" outlineLevel="0" collapsed="false">
      <c r="E458" s="3" t="str">
        <f aca="false">A458&amp;"|"&amp;B458</f>
        <v>|</v>
      </c>
    </row>
    <row r="459" customFormat="false" ht="15" hidden="false" customHeight="true" outlineLevel="0" collapsed="false">
      <c r="E459" s="3" t="str">
        <f aca="false">A459&amp;"|"&amp;B459</f>
        <v>|</v>
      </c>
    </row>
    <row r="460" customFormat="false" ht="15" hidden="false" customHeight="true" outlineLevel="0" collapsed="false">
      <c r="E460" s="3" t="str">
        <f aca="false">A460&amp;"|"&amp;B460</f>
        <v>|</v>
      </c>
    </row>
    <row r="461" customFormat="false" ht="15" hidden="false" customHeight="true" outlineLevel="0" collapsed="false">
      <c r="E461" s="3" t="str">
        <f aca="false">A461&amp;"|"&amp;B461</f>
        <v>|</v>
      </c>
    </row>
    <row r="462" customFormat="false" ht="15" hidden="false" customHeight="true" outlineLevel="0" collapsed="false">
      <c r="E462" s="3" t="str">
        <f aca="false">A462&amp;"|"&amp;B462</f>
        <v>|</v>
      </c>
    </row>
    <row r="463" customFormat="false" ht="15" hidden="false" customHeight="true" outlineLevel="0" collapsed="false">
      <c r="E463" s="3" t="str">
        <f aca="false">A463&amp;"|"&amp;B463</f>
        <v>|</v>
      </c>
    </row>
    <row r="464" customFormat="false" ht="15" hidden="false" customHeight="true" outlineLevel="0" collapsed="false">
      <c r="E464" s="3" t="str">
        <f aca="false">A464&amp;"|"&amp;B464</f>
        <v>|</v>
      </c>
    </row>
    <row r="465" customFormat="false" ht="15" hidden="false" customHeight="true" outlineLevel="0" collapsed="false">
      <c r="E465" s="3" t="str">
        <f aca="false">A465&amp;"|"&amp;B465</f>
        <v>|</v>
      </c>
    </row>
    <row r="466" customFormat="false" ht="15" hidden="false" customHeight="true" outlineLevel="0" collapsed="false">
      <c r="E466" s="3" t="str">
        <f aca="false">A466&amp;"|"&amp;B466</f>
        <v>|</v>
      </c>
    </row>
    <row r="467" customFormat="false" ht="15" hidden="false" customHeight="true" outlineLevel="0" collapsed="false">
      <c r="E467" s="3" t="str">
        <f aca="false">A467&amp;"|"&amp;B467</f>
        <v>|</v>
      </c>
    </row>
    <row r="468" customFormat="false" ht="15" hidden="false" customHeight="true" outlineLevel="0" collapsed="false">
      <c r="E468" s="3" t="str">
        <f aca="false">A468&amp;"|"&amp;B468</f>
        <v>|</v>
      </c>
    </row>
    <row r="469" customFormat="false" ht="15" hidden="false" customHeight="true" outlineLevel="0" collapsed="false">
      <c r="E469" s="3" t="str">
        <f aca="false">A469&amp;"|"&amp;B469</f>
        <v>|</v>
      </c>
    </row>
    <row r="470" customFormat="false" ht="15" hidden="false" customHeight="true" outlineLevel="0" collapsed="false">
      <c r="E470" s="3" t="str">
        <f aca="false">A470&amp;"|"&amp;B470</f>
        <v>|</v>
      </c>
    </row>
    <row r="471" customFormat="false" ht="15" hidden="false" customHeight="true" outlineLevel="0" collapsed="false">
      <c r="E471" s="3" t="str">
        <f aca="false">A471&amp;"|"&amp;B471</f>
        <v>|</v>
      </c>
    </row>
    <row r="472" customFormat="false" ht="15" hidden="false" customHeight="true" outlineLevel="0" collapsed="false">
      <c r="E472" s="3" t="str">
        <f aca="false">A472&amp;"|"&amp;B472</f>
        <v>|</v>
      </c>
    </row>
    <row r="473" customFormat="false" ht="15" hidden="false" customHeight="true" outlineLevel="0" collapsed="false">
      <c r="E473" s="3" t="str">
        <f aca="false">A473&amp;"|"&amp;B473</f>
        <v>|</v>
      </c>
    </row>
    <row r="474" customFormat="false" ht="15" hidden="false" customHeight="true" outlineLevel="0" collapsed="false">
      <c r="E474" s="3" t="str">
        <f aca="false">A474&amp;"|"&amp;B474</f>
        <v>|</v>
      </c>
    </row>
    <row r="475" customFormat="false" ht="15" hidden="false" customHeight="true" outlineLevel="0" collapsed="false">
      <c r="E475" s="3" t="str">
        <f aca="false">A475&amp;"|"&amp;B475</f>
        <v>|</v>
      </c>
    </row>
    <row r="476" customFormat="false" ht="15" hidden="false" customHeight="true" outlineLevel="0" collapsed="false">
      <c r="E476" s="3" t="str">
        <f aca="false">A476&amp;"|"&amp;B476</f>
        <v>|</v>
      </c>
    </row>
    <row r="477" customFormat="false" ht="15" hidden="false" customHeight="true" outlineLevel="0" collapsed="false">
      <c r="E477" s="3" t="str">
        <f aca="false">A477&amp;"|"&amp;B477</f>
        <v>|</v>
      </c>
    </row>
    <row r="478" customFormat="false" ht="15" hidden="false" customHeight="true" outlineLevel="0" collapsed="false">
      <c r="E478" s="3" t="str">
        <f aca="false">A478&amp;"|"&amp;B478</f>
        <v>|</v>
      </c>
    </row>
    <row r="479" customFormat="false" ht="15" hidden="false" customHeight="true" outlineLevel="0" collapsed="false">
      <c r="E479" s="3" t="str">
        <f aca="false">A479&amp;"|"&amp;B479</f>
        <v>|</v>
      </c>
    </row>
    <row r="480" customFormat="false" ht="15" hidden="false" customHeight="true" outlineLevel="0" collapsed="false">
      <c r="E480" s="3" t="str">
        <f aca="false">A480&amp;"|"&amp;B480</f>
        <v>|</v>
      </c>
    </row>
    <row r="481" customFormat="false" ht="15" hidden="false" customHeight="true" outlineLevel="0" collapsed="false">
      <c r="E481" s="3" t="str">
        <f aca="false">A481&amp;"|"&amp;B481</f>
        <v>|</v>
      </c>
    </row>
    <row r="482" customFormat="false" ht="15" hidden="false" customHeight="true" outlineLevel="0" collapsed="false">
      <c r="E482" s="3" t="str">
        <f aca="false">A482&amp;"|"&amp;B482</f>
        <v>|</v>
      </c>
    </row>
    <row r="483" customFormat="false" ht="15" hidden="false" customHeight="true" outlineLevel="0" collapsed="false">
      <c r="E483" s="3" t="str">
        <f aca="false">A483&amp;"|"&amp;B483</f>
        <v>|</v>
      </c>
    </row>
    <row r="484" customFormat="false" ht="15" hidden="false" customHeight="true" outlineLevel="0" collapsed="false">
      <c r="E484" s="3" t="str">
        <f aca="false">A484&amp;"|"&amp;B484</f>
        <v>|</v>
      </c>
    </row>
    <row r="485" customFormat="false" ht="15" hidden="false" customHeight="true" outlineLevel="0" collapsed="false">
      <c r="E485" s="3" t="str">
        <f aca="false">A485&amp;"|"&amp;B485</f>
        <v>|</v>
      </c>
    </row>
    <row r="486" customFormat="false" ht="15" hidden="false" customHeight="true" outlineLevel="0" collapsed="false">
      <c r="E486" s="3" t="str">
        <f aca="false">A486&amp;"|"&amp;B486</f>
        <v>|</v>
      </c>
    </row>
    <row r="487" customFormat="false" ht="15" hidden="false" customHeight="true" outlineLevel="0" collapsed="false">
      <c r="E487" s="3" t="str">
        <f aca="false">A487&amp;"|"&amp;B487</f>
        <v>|</v>
      </c>
    </row>
    <row r="488" customFormat="false" ht="15" hidden="false" customHeight="true" outlineLevel="0" collapsed="false">
      <c r="E488" s="3" t="str">
        <f aca="false">A488&amp;"|"&amp;B488</f>
        <v>|</v>
      </c>
    </row>
    <row r="489" customFormat="false" ht="15" hidden="false" customHeight="true" outlineLevel="0" collapsed="false">
      <c r="E489" s="3" t="str">
        <f aca="false">A489&amp;"|"&amp;B489</f>
        <v>|</v>
      </c>
    </row>
    <row r="490" customFormat="false" ht="15" hidden="false" customHeight="true" outlineLevel="0" collapsed="false">
      <c r="E490" s="3" t="str">
        <f aca="false">A490&amp;"|"&amp;B490</f>
        <v>|</v>
      </c>
    </row>
    <row r="491" customFormat="false" ht="15" hidden="false" customHeight="true" outlineLevel="0" collapsed="false">
      <c r="E491" s="3" t="str">
        <f aca="false">A491&amp;"|"&amp;B491</f>
        <v>|</v>
      </c>
    </row>
    <row r="492" customFormat="false" ht="15" hidden="false" customHeight="true" outlineLevel="0" collapsed="false">
      <c r="E492" s="3" t="str">
        <f aca="false">A492&amp;"|"&amp;B492</f>
        <v>|</v>
      </c>
    </row>
    <row r="493" customFormat="false" ht="15" hidden="false" customHeight="true" outlineLevel="0" collapsed="false">
      <c r="E493" s="3" t="str">
        <f aca="false">A493&amp;"|"&amp;B493</f>
        <v>|</v>
      </c>
    </row>
    <row r="494" customFormat="false" ht="15" hidden="false" customHeight="true" outlineLevel="0" collapsed="false">
      <c r="E494" s="3" t="str">
        <f aca="false">A494&amp;"|"&amp;B494</f>
        <v>|</v>
      </c>
    </row>
    <row r="495" customFormat="false" ht="15" hidden="false" customHeight="true" outlineLevel="0" collapsed="false">
      <c r="E495" s="3" t="str">
        <f aca="false">A495&amp;"|"&amp;B495</f>
        <v>|</v>
      </c>
    </row>
    <row r="496" customFormat="false" ht="15" hidden="false" customHeight="true" outlineLevel="0" collapsed="false">
      <c r="E496" s="3" t="str">
        <f aca="false">A496&amp;"|"&amp;B496</f>
        <v>|</v>
      </c>
    </row>
    <row r="497" customFormat="false" ht="15" hidden="false" customHeight="true" outlineLevel="0" collapsed="false">
      <c r="E497" s="3" t="str">
        <f aca="false">A497&amp;"|"&amp;B497</f>
        <v>|</v>
      </c>
    </row>
    <row r="498" customFormat="false" ht="15" hidden="false" customHeight="true" outlineLevel="0" collapsed="false">
      <c r="E498" s="3" t="str">
        <f aca="false">A498&amp;"|"&amp;B498</f>
        <v>|</v>
      </c>
    </row>
    <row r="499" customFormat="false" ht="15" hidden="false" customHeight="true" outlineLevel="0" collapsed="false">
      <c r="E499" s="3" t="str">
        <f aca="false">A499&amp;"|"&amp;B499</f>
        <v>|</v>
      </c>
    </row>
    <row r="500" customFormat="false" ht="15" hidden="false" customHeight="true" outlineLevel="0" collapsed="false">
      <c r="E500" s="3" t="str">
        <f aca="false">A500&amp;"|"&amp;B500</f>
        <v>|</v>
      </c>
    </row>
    <row r="501" customFormat="false" ht="15" hidden="false" customHeight="true" outlineLevel="0" collapsed="false">
      <c r="E501" s="3" t="str">
        <f aca="false">A501&amp;"|"&amp;B501</f>
        <v>|</v>
      </c>
    </row>
    <row r="502" customFormat="false" ht="15" hidden="false" customHeight="true" outlineLevel="0" collapsed="false">
      <c r="E502" s="3" t="str">
        <f aca="false">A502&amp;"|"&amp;B502</f>
        <v>|</v>
      </c>
    </row>
    <row r="503" customFormat="false" ht="15" hidden="false" customHeight="true" outlineLevel="0" collapsed="false">
      <c r="E503" s="3" t="str">
        <f aca="false">A503&amp;"|"&amp;B503</f>
        <v>|</v>
      </c>
    </row>
    <row r="504" customFormat="false" ht="15" hidden="false" customHeight="true" outlineLevel="0" collapsed="false">
      <c r="E504" s="3" t="str">
        <f aca="false">A504&amp;"|"&amp;B504</f>
        <v>|</v>
      </c>
    </row>
    <row r="505" customFormat="false" ht="15" hidden="false" customHeight="true" outlineLevel="0" collapsed="false">
      <c r="E505" s="3" t="str">
        <f aca="false">A505&amp;"|"&amp;B505</f>
        <v>|</v>
      </c>
    </row>
    <row r="506" customFormat="false" ht="15" hidden="false" customHeight="true" outlineLevel="0" collapsed="false">
      <c r="E506" s="3" t="str">
        <f aca="false">A506&amp;"|"&amp;B506</f>
        <v>|</v>
      </c>
    </row>
    <row r="507" customFormat="false" ht="15" hidden="false" customHeight="true" outlineLevel="0" collapsed="false">
      <c r="E507" s="3" t="str">
        <f aca="false">A507&amp;"|"&amp;B507</f>
        <v>|</v>
      </c>
    </row>
    <row r="508" customFormat="false" ht="15" hidden="false" customHeight="true" outlineLevel="0" collapsed="false">
      <c r="E508" s="3" t="str">
        <f aca="false">A508&amp;"|"&amp;B508</f>
        <v>|</v>
      </c>
    </row>
    <row r="509" customFormat="false" ht="15" hidden="false" customHeight="true" outlineLevel="0" collapsed="false">
      <c r="E509" s="3" t="str">
        <f aca="false">A509&amp;"|"&amp;B509</f>
        <v>|</v>
      </c>
    </row>
    <row r="510" customFormat="false" ht="15" hidden="false" customHeight="true" outlineLevel="0" collapsed="false">
      <c r="E510" s="3" t="str">
        <f aca="false">A510&amp;"|"&amp;B510</f>
        <v>|</v>
      </c>
    </row>
    <row r="511" customFormat="false" ht="15" hidden="false" customHeight="true" outlineLevel="0" collapsed="false">
      <c r="E511" s="3" t="str">
        <f aca="false">A511&amp;"|"&amp;B511</f>
        <v>|</v>
      </c>
    </row>
    <row r="512" customFormat="false" ht="15" hidden="false" customHeight="true" outlineLevel="0" collapsed="false">
      <c r="E512" s="3" t="str">
        <f aca="false">A512&amp;"|"&amp;B512</f>
        <v>|</v>
      </c>
    </row>
    <row r="513" customFormat="false" ht="15" hidden="false" customHeight="true" outlineLevel="0" collapsed="false">
      <c r="E513" s="3" t="str">
        <f aca="false">A513&amp;"|"&amp;B513</f>
        <v>|</v>
      </c>
    </row>
    <row r="514" customFormat="false" ht="15" hidden="false" customHeight="true" outlineLevel="0" collapsed="false">
      <c r="E514" s="3" t="str">
        <f aca="false">A514&amp;"|"&amp;B514</f>
        <v>|</v>
      </c>
    </row>
    <row r="515" customFormat="false" ht="15" hidden="false" customHeight="true" outlineLevel="0" collapsed="false">
      <c r="E515" s="3" t="str">
        <f aca="false">A515&amp;"|"&amp;B515</f>
        <v>|</v>
      </c>
    </row>
    <row r="516" customFormat="false" ht="15" hidden="false" customHeight="true" outlineLevel="0" collapsed="false">
      <c r="E516" s="3" t="str">
        <f aca="false">A516&amp;"|"&amp;B516</f>
        <v>|</v>
      </c>
    </row>
    <row r="517" customFormat="false" ht="15" hidden="false" customHeight="true" outlineLevel="0" collapsed="false">
      <c r="E517" s="3" t="str">
        <f aca="false">A517&amp;"|"&amp;B517</f>
        <v>|</v>
      </c>
    </row>
    <row r="518" customFormat="false" ht="15" hidden="false" customHeight="true" outlineLevel="0" collapsed="false">
      <c r="E518" s="3" t="str">
        <f aca="false">A518&amp;"|"&amp;B518</f>
        <v>|</v>
      </c>
    </row>
    <row r="519" customFormat="false" ht="15" hidden="false" customHeight="true" outlineLevel="0" collapsed="false">
      <c r="E519" s="3" t="str">
        <f aca="false">A519&amp;"|"&amp;B519</f>
        <v>|</v>
      </c>
    </row>
    <row r="520" customFormat="false" ht="15" hidden="false" customHeight="true" outlineLevel="0" collapsed="false">
      <c r="E520" s="3" t="str">
        <f aca="false">A520&amp;"|"&amp;B520</f>
        <v>|</v>
      </c>
    </row>
    <row r="521" customFormat="false" ht="15" hidden="false" customHeight="true" outlineLevel="0" collapsed="false">
      <c r="E521" s="3" t="str">
        <f aca="false">A521&amp;"|"&amp;B521</f>
        <v>|</v>
      </c>
    </row>
    <row r="522" customFormat="false" ht="15" hidden="false" customHeight="true" outlineLevel="0" collapsed="false">
      <c r="E522" s="3" t="str">
        <f aca="false">A522&amp;"|"&amp;B522</f>
        <v>|</v>
      </c>
    </row>
    <row r="523" customFormat="false" ht="15" hidden="false" customHeight="true" outlineLevel="0" collapsed="false">
      <c r="E523" s="3" t="str">
        <f aca="false">A523&amp;"|"&amp;B523</f>
        <v>|</v>
      </c>
    </row>
    <row r="524" customFormat="false" ht="15" hidden="false" customHeight="true" outlineLevel="0" collapsed="false">
      <c r="E524" s="3" t="str">
        <f aca="false">A524&amp;"|"&amp;B524</f>
        <v>|</v>
      </c>
    </row>
    <row r="525" customFormat="false" ht="15" hidden="false" customHeight="true" outlineLevel="0" collapsed="false">
      <c r="E525" s="3" t="str">
        <f aca="false">A525&amp;"|"&amp;B525</f>
        <v>|</v>
      </c>
    </row>
    <row r="526" customFormat="false" ht="15" hidden="false" customHeight="true" outlineLevel="0" collapsed="false">
      <c r="E526" s="3" t="str">
        <f aca="false">A526&amp;"|"&amp;B526</f>
        <v>|</v>
      </c>
    </row>
    <row r="527" customFormat="false" ht="15" hidden="false" customHeight="true" outlineLevel="0" collapsed="false">
      <c r="E527" s="3" t="str">
        <f aca="false">A527&amp;"|"&amp;B527</f>
        <v>|</v>
      </c>
    </row>
    <row r="528" customFormat="false" ht="15" hidden="false" customHeight="true" outlineLevel="0" collapsed="false">
      <c r="E528" s="3" t="str">
        <f aca="false">A528&amp;"|"&amp;B528</f>
        <v>|</v>
      </c>
    </row>
    <row r="529" customFormat="false" ht="15" hidden="false" customHeight="true" outlineLevel="0" collapsed="false">
      <c r="E529" s="3" t="str">
        <f aca="false">A529&amp;"|"&amp;B529</f>
        <v>|</v>
      </c>
    </row>
    <row r="530" customFormat="false" ht="15" hidden="false" customHeight="true" outlineLevel="0" collapsed="false">
      <c r="E530" s="3" t="str">
        <f aca="false">A530&amp;"|"&amp;B530</f>
        <v>|</v>
      </c>
    </row>
    <row r="531" customFormat="false" ht="15" hidden="false" customHeight="true" outlineLevel="0" collapsed="false">
      <c r="E531" s="3" t="str">
        <f aca="false">A531&amp;"|"&amp;B531</f>
        <v>|</v>
      </c>
    </row>
    <row r="532" customFormat="false" ht="15" hidden="false" customHeight="true" outlineLevel="0" collapsed="false">
      <c r="E532" s="3" t="str">
        <f aca="false">A532&amp;"|"&amp;B532</f>
        <v>|</v>
      </c>
    </row>
    <row r="533" customFormat="false" ht="15" hidden="false" customHeight="true" outlineLevel="0" collapsed="false">
      <c r="E533" s="3" t="str">
        <f aca="false">A533&amp;"|"&amp;B533</f>
        <v>|</v>
      </c>
    </row>
    <row r="534" customFormat="false" ht="15" hidden="false" customHeight="true" outlineLevel="0" collapsed="false">
      <c r="E534" s="3" t="str">
        <f aca="false">A534&amp;"|"&amp;B534</f>
        <v>|</v>
      </c>
    </row>
    <row r="535" customFormat="false" ht="15" hidden="false" customHeight="true" outlineLevel="0" collapsed="false">
      <c r="E535" s="3" t="str">
        <f aca="false">A535&amp;"|"&amp;B535</f>
        <v>|</v>
      </c>
    </row>
    <row r="536" customFormat="false" ht="15" hidden="false" customHeight="true" outlineLevel="0" collapsed="false">
      <c r="E536" s="3" t="str">
        <f aca="false">A536&amp;"|"&amp;B536</f>
        <v>|</v>
      </c>
    </row>
    <row r="537" customFormat="false" ht="15" hidden="false" customHeight="true" outlineLevel="0" collapsed="false">
      <c r="E537" s="3" t="str">
        <f aca="false">A537&amp;"|"&amp;B537</f>
        <v>|</v>
      </c>
    </row>
    <row r="538" customFormat="false" ht="15" hidden="false" customHeight="true" outlineLevel="0" collapsed="false">
      <c r="E538" s="3" t="str">
        <f aca="false">A538&amp;"|"&amp;B538</f>
        <v>|</v>
      </c>
    </row>
    <row r="539" customFormat="false" ht="15" hidden="false" customHeight="true" outlineLevel="0" collapsed="false">
      <c r="E539" s="3" t="str">
        <f aca="false">A539&amp;"|"&amp;B539</f>
        <v>|</v>
      </c>
    </row>
    <row r="540" customFormat="false" ht="15" hidden="false" customHeight="true" outlineLevel="0" collapsed="false">
      <c r="E540" s="3" t="str">
        <f aca="false">A540&amp;"|"&amp;B540</f>
        <v>|</v>
      </c>
    </row>
    <row r="541" customFormat="false" ht="15" hidden="false" customHeight="true" outlineLevel="0" collapsed="false">
      <c r="E541" s="3" t="str">
        <f aca="false">A541&amp;"|"&amp;B541</f>
        <v>|</v>
      </c>
    </row>
    <row r="542" customFormat="false" ht="15" hidden="false" customHeight="true" outlineLevel="0" collapsed="false">
      <c r="E542" s="3" t="str">
        <f aca="false">A542&amp;"|"&amp;B542</f>
        <v>|</v>
      </c>
    </row>
    <row r="543" customFormat="false" ht="15" hidden="false" customHeight="true" outlineLevel="0" collapsed="false">
      <c r="E543" s="3" t="str">
        <f aca="false">A543&amp;"|"&amp;B543</f>
        <v>|</v>
      </c>
    </row>
    <row r="544" customFormat="false" ht="15" hidden="false" customHeight="true" outlineLevel="0" collapsed="false">
      <c r="E544" s="3" t="str">
        <f aca="false">A544&amp;"|"&amp;B544</f>
        <v>|</v>
      </c>
    </row>
    <row r="545" customFormat="false" ht="15" hidden="false" customHeight="true" outlineLevel="0" collapsed="false">
      <c r="E545" s="3" t="str">
        <f aca="false">A545&amp;"|"&amp;B545</f>
        <v>|</v>
      </c>
    </row>
    <row r="546" customFormat="false" ht="15" hidden="false" customHeight="true" outlineLevel="0" collapsed="false">
      <c r="E546" s="3" t="str">
        <f aca="false">A546&amp;"|"&amp;B546</f>
        <v>|</v>
      </c>
    </row>
    <row r="547" customFormat="false" ht="15" hidden="false" customHeight="true" outlineLevel="0" collapsed="false">
      <c r="E547" s="3" t="str">
        <f aca="false">A547&amp;"|"&amp;B547</f>
        <v>|</v>
      </c>
    </row>
    <row r="548" customFormat="false" ht="15" hidden="false" customHeight="true" outlineLevel="0" collapsed="false">
      <c r="E548" s="3" t="str">
        <f aca="false">A548&amp;"|"&amp;B548</f>
        <v>|</v>
      </c>
    </row>
    <row r="549" customFormat="false" ht="15" hidden="false" customHeight="true" outlineLevel="0" collapsed="false">
      <c r="E549" s="3" t="str">
        <f aca="false">A549&amp;"|"&amp;B549</f>
        <v>|</v>
      </c>
    </row>
    <row r="550" customFormat="false" ht="15" hidden="false" customHeight="true" outlineLevel="0" collapsed="false">
      <c r="E550" s="3" t="str">
        <f aca="false">A550&amp;"|"&amp;B550</f>
        <v>|</v>
      </c>
    </row>
    <row r="551" customFormat="false" ht="15" hidden="false" customHeight="true" outlineLevel="0" collapsed="false">
      <c r="E551" s="3" t="str">
        <f aca="false">A551&amp;"|"&amp;B551</f>
        <v>|</v>
      </c>
    </row>
    <row r="552" customFormat="false" ht="15" hidden="false" customHeight="true" outlineLevel="0" collapsed="false">
      <c r="E552" s="3" t="str">
        <f aca="false">A552&amp;"|"&amp;B552</f>
        <v>|</v>
      </c>
    </row>
    <row r="553" customFormat="false" ht="15" hidden="false" customHeight="true" outlineLevel="0" collapsed="false">
      <c r="E553" s="3" t="str">
        <f aca="false">A553&amp;"|"&amp;B553</f>
        <v>|</v>
      </c>
    </row>
    <row r="554" customFormat="false" ht="15" hidden="false" customHeight="true" outlineLevel="0" collapsed="false">
      <c r="E554" s="3" t="str">
        <f aca="false">A554&amp;"|"&amp;B554</f>
        <v>|</v>
      </c>
    </row>
    <row r="555" customFormat="false" ht="15" hidden="false" customHeight="true" outlineLevel="0" collapsed="false">
      <c r="E555" s="3" t="str">
        <f aca="false">A555&amp;"|"&amp;B555</f>
        <v>|</v>
      </c>
    </row>
    <row r="556" customFormat="false" ht="15" hidden="false" customHeight="true" outlineLevel="0" collapsed="false">
      <c r="E556" s="3" t="str">
        <f aca="false">A556&amp;"|"&amp;B556</f>
        <v>|</v>
      </c>
    </row>
    <row r="557" customFormat="false" ht="15" hidden="false" customHeight="true" outlineLevel="0" collapsed="false">
      <c r="E557" s="3" t="str">
        <f aca="false">A557&amp;"|"&amp;B557</f>
        <v>|</v>
      </c>
    </row>
    <row r="558" customFormat="false" ht="15" hidden="false" customHeight="true" outlineLevel="0" collapsed="false">
      <c r="E558" s="3" t="str">
        <f aca="false">A558&amp;"|"&amp;B558</f>
        <v>|</v>
      </c>
    </row>
    <row r="559" customFormat="false" ht="15" hidden="false" customHeight="true" outlineLevel="0" collapsed="false">
      <c r="E559" s="3" t="str">
        <f aca="false">A559&amp;"|"&amp;B559</f>
        <v>|</v>
      </c>
    </row>
    <row r="560" customFormat="false" ht="15" hidden="false" customHeight="true" outlineLevel="0" collapsed="false">
      <c r="E560" s="3" t="str">
        <f aca="false">A560&amp;"|"&amp;B560</f>
        <v>|</v>
      </c>
    </row>
    <row r="561" customFormat="false" ht="15" hidden="false" customHeight="true" outlineLevel="0" collapsed="false">
      <c r="E561" s="3" t="str">
        <f aca="false">A561&amp;"|"&amp;B561</f>
        <v>|</v>
      </c>
    </row>
    <row r="562" customFormat="false" ht="15" hidden="false" customHeight="true" outlineLevel="0" collapsed="false">
      <c r="E562" s="3" t="str">
        <f aca="false">A562&amp;"|"&amp;B562</f>
        <v>|</v>
      </c>
    </row>
    <row r="563" customFormat="false" ht="15" hidden="false" customHeight="true" outlineLevel="0" collapsed="false">
      <c r="E563" s="3" t="str">
        <f aca="false">A563&amp;"|"&amp;B563</f>
        <v>|</v>
      </c>
    </row>
    <row r="564" customFormat="false" ht="15" hidden="false" customHeight="true" outlineLevel="0" collapsed="false">
      <c r="E564" s="3" t="str">
        <f aca="false">A564&amp;"|"&amp;B564</f>
        <v>|</v>
      </c>
    </row>
    <row r="565" customFormat="false" ht="15" hidden="false" customHeight="true" outlineLevel="0" collapsed="false">
      <c r="E565" s="3" t="str">
        <f aca="false">A565&amp;"|"&amp;B565</f>
        <v>|</v>
      </c>
    </row>
    <row r="566" customFormat="false" ht="15" hidden="false" customHeight="true" outlineLevel="0" collapsed="false">
      <c r="E566" s="3" t="str">
        <f aca="false">A566&amp;"|"&amp;B566</f>
        <v>|</v>
      </c>
    </row>
    <row r="567" customFormat="false" ht="15" hidden="false" customHeight="true" outlineLevel="0" collapsed="false">
      <c r="E567" s="3" t="str">
        <f aca="false">A567&amp;"|"&amp;B567</f>
        <v>|</v>
      </c>
    </row>
    <row r="568" customFormat="false" ht="15" hidden="false" customHeight="true" outlineLevel="0" collapsed="false">
      <c r="E568" s="3" t="str">
        <f aca="false">A568&amp;"|"&amp;B568</f>
        <v>|</v>
      </c>
    </row>
    <row r="569" customFormat="false" ht="15" hidden="false" customHeight="true" outlineLevel="0" collapsed="false">
      <c r="E569" s="3" t="str">
        <f aca="false">A569&amp;"|"&amp;B569</f>
        <v>|</v>
      </c>
    </row>
    <row r="570" customFormat="false" ht="15" hidden="false" customHeight="true" outlineLevel="0" collapsed="false">
      <c r="E570" s="3" t="str">
        <f aca="false">A570&amp;"|"&amp;B570</f>
        <v>|</v>
      </c>
    </row>
    <row r="571" customFormat="false" ht="15" hidden="false" customHeight="true" outlineLevel="0" collapsed="false">
      <c r="E571" s="3" t="str">
        <f aca="false">A571&amp;"|"&amp;B571</f>
        <v>|</v>
      </c>
    </row>
    <row r="572" customFormat="false" ht="15" hidden="false" customHeight="true" outlineLevel="0" collapsed="false">
      <c r="E572" s="3" t="str">
        <f aca="false">A572&amp;"|"&amp;B572</f>
        <v>|</v>
      </c>
    </row>
    <row r="573" customFormat="false" ht="15" hidden="false" customHeight="true" outlineLevel="0" collapsed="false">
      <c r="E573" s="3" t="str">
        <f aca="false">A573&amp;"|"&amp;B573</f>
        <v>|</v>
      </c>
    </row>
    <row r="574" customFormat="false" ht="15" hidden="false" customHeight="true" outlineLevel="0" collapsed="false">
      <c r="E574" s="3" t="str">
        <f aca="false">A574&amp;"|"&amp;B574</f>
        <v>|</v>
      </c>
    </row>
    <row r="575" customFormat="false" ht="15" hidden="false" customHeight="true" outlineLevel="0" collapsed="false">
      <c r="E575" s="3" t="str">
        <f aca="false">A575&amp;"|"&amp;B575</f>
        <v>|</v>
      </c>
    </row>
    <row r="576" customFormat="false" ht="15" hidden="false" customHeight="true" outlineLevel="0" collapsed="false">
      <c r="E576" s="3" t="str">
        <f aca="false">A576&amp;"|"&amp;B576</f>
        <v>|</v>
      </c>
    </row>
    <row r="577" customFormat="false" ht="15" hidden="false" customHeight="true" outlineLevel="0" collapsed="false">
      <c r="E577" s="3" t="str">
        <f aca="false">A577&amp;"|"&amp;B577</f>
        <v>|</v>
      </c>
    </row>
    <row r="578" customFormat="false" ht="15" hidden="false" customHeight="true" outlineLevel="0" collapsed="false">
      <c r="E578" s="3" t="str">
        <f aca="false">A578&amp;"|"&amp;B578</f>
        <v>|</v>
      </c>
    </row>
    <row r="579" customFormat="false" ht="15" hidden="false" customHeight="true" outlineLevel="0" collapsed="false">
      <c r="E579" s="3" t="str">
        <f aca="false">A579&amp;"|"&amp;B579</f>
        <v>|</v>
      </c>
    </row>
    <row r="580" customFormat="false" ht="15" hidden="false" customHeight="true" outlineLevel="0" collapsed="false">
      <c r="E580" s="3" t="str">
        <f aca="false">A580&amp;"|"&amp;B580</f>
        <v>|</v>
      </c>
    </row>
    <row r="581" customFormat="false" ht="15" hidden="false" customHeight="true" outlineLevel="0" collapsed="false">
      <c r="E581" s="3" t="str">
        <f aca="false">A581&amp;"|"&amp;B581</f>
        <v>|</v>
      </c>
    </row>
    <row r="582" customFormat="false" ht="15" hidden="false" customHeight="true" outlineLevel="0" collapsed="false">
      <c r="E582" s="3" t="str">
        <f aca="false">A582&amp;"|"&amp;B582</f>
        <v>|</v>
      </c>
    </row>
    <row r="583" customFormat="false" ht="15" hidden="false" customHeight="true" outlineLevel="0" collapsed="false">
      <c r="E583" s="3" t="str">
        <f aca="false">A583&amp;"|"&amp;B583</f>
        <v>|</v>
      </c>
    </row>
    <row r="584" customFormat="false" ht="15" hidden="false" customHeight="true" outlineLevel="0" collapsed="false">
      <c r="E584" s="3" t="str">
        <f aca="false">A584&amp;"|"&amp;B584</f>
        <v>|</v>
      </c>
    </row>
    <row r="585" customFormat="false" ht="15" hidden="false" customHeight="true" outlineLevel="0" collapsed="false">
      <c r="E585" s="3" t="str">
        <f aca="false">A585&amp;"|"&amp;B585</f>
        <v>|</v>
      </c>
    </row>
    <row r="586" customFormat="false" ht="15" hidden="false" customHeight="true" outlineLevel="0" collapsed="false">
      <c r="E586" s="3" t="str">
        <f aca="false">A586&amp;"|"&amp;B586</f>
        <v>|</v>
      </c>
    </row>
    <row r="587" customFormat="false" ht="15" hidden="false" customHeight="true" outlineLevel="0" collapsed="false">
      <c r="E587" s="3" t="str">
        <f aca="false">A587&amp;"|"&amp;B587</f>
        <v>|</v>
      </c>
    </row>
    <row r="588" customFormat="false" ht="15" hidden="false" customHeight="true" outlineLevel="0" collapsed="false">
      <c r="E588" s="3" t="str">
        <f aca="false">A588&amp;"|"&amp;B588</f>
        <v>|</v>
      </c>
    </row>
    <row r="589" customFormat="false" ht="15" hidden="false" customHeight="true" outlineLevel="0" collapsed="false">
      <c r="E589" s="3" t="str">
        <f aca="false">A589&amp;"|"&amp;B589</f>
        <v>|</v>
      </c>
    </row>
    <row r="590" customFormat="false" ht="15" hidden="false" customHeight="true" outlineLevel="0" collapsed="false">
      <c r="E590" s="3" t="str">
        <f aca="false">A590&amp;"|"&amp;B590</f>
        <v>|</v>
      </c>
    </row>
    <row r="591" customFormat="false" ht="15" hidden="false" customHeight="true" outlineLevel="0" collapsed="false">
      <c r="E591" s="3" t="str">
        <f aca="false">A591&amp;"|"&amp;B591</f>
        <v>|</v>
      </c>
    </row>
    <row r="592" customFormat="false" ht="15" hidden="false" customHeight="true" outlineLevel="0" collapsed="false">
      <c r="E592" s="3" t="str">
        <f aca="false">A592&amp;"|"&amp;B592</f>
        <v>|</v>
      </c>
    </row>
    <row r="593" customFormat="false" ht="15" hidden="false" customHeight="true" outlineLevel="0" collapsed="false">
      <c r="E593" s="3" t="str">
        <f aca="false">A593&amp;"|"&amp;B593</f>
        <v>|</v>
      </c>
    </row>
    <row r="594" customFormat="false" ht="15" hidden="false" customHeight="true" outlineLevel="0" collapsed="false">
      <c r="E594" s="3" t="str">
        <f aca="false">A594&amp;"|"&amp;B594</f>
        <v>|</v>
      </c>
    </row>
    <row r="595" customFormat="false" ht="15" hidden="false" customHeight="true" outlineLevel="0" collapsed="false">
      <c r="E595" s="3" t="str">
        <f aca="false">A595&amp;"|"&amp;B595</f>
        <v>|</v>
      </c>
    </row>
    <row r="596" customFormat="false" ht="15" hidden="false" customHeight="true" outlineLevel="0" collapsed="false">
      <c r="E596" s="3" t="str">
        <f aca="false">A596&amp;"|"&amp;B596</f>
        <v>|</v>
      </c>
    </row>
    <row r="597" customFormat="false" ht="15" hidden="false" customHeight="true" outlineLevel="0" collapsed="false">
      <c r="E597" s="3" t="str">
        <f aca="false">A597&amp;"|"&amp;B597</f>
        <v>|</v>
      </c>
    </row>
    <row r="598" customFormat="false" ht="15" hidden="false" customHeight="true" outlineLevel="0" collapsed="false">
      <c r="E598" s="3" t="str">
        <f aca="false">A598&amp;"|"&amp;B598</f>
        <v>|</v>
      </c>
    </row>
    <row r="599" customFormat="false" ht="15" hidden="false" customHeight="true" outlineLevel="0" collapsed="false">
      <c r="E599" s="3" t="str">
        <f aca="false">A599&amp;"|"&amp;B599</f>
        <v>|</v>
      </c>
    </row>
    <row r="600" customFormat="false" ht="15" hidden="false" customHeight="true" outlineLevel="0" collapsed="false">
      <c r="E600" s="3" t="str">
        <f aca="false">A600&amp;"|"&amp;B600</f>
        <v>|</v>
      </c>
    </row>
    <row r="601" customFormat="false" ht="15" hidden="false" customHeight="true" outlineLevel="0" collapsed="false">
      <c r="E601" s="3" t="str">
        <f aca="false">A601&amp;"|"&amp;B601</f>
        <v>|</v>
      </c>
    </row>
    <row r="602" customFormat="false" ht="15" hidden="false" customHeight="true" outlineLevel="0" collapsed="false">
      <c r="E602" s="3" t="str">
        <f aca="false">A602&amp;"|"&amp;B602</f>
        <v>|</v>
      </c>
    </row>
    <row r="603" customFormat="false" ht="15" hidden="false" customHeight="true" outlineLevel="0" collapsed="false">
      <c r="E603" s="3" t="str">
        <f aca="false">A603&amp;"|"&amp;B603</f>
        <v>|</v>
      </c>
    </row>
    <row r="604" customFormat="false" ht="15" hidden="false" customHeight="true" outlineLevel="0" collapsed="false">
      <c r="E604" s="3" t="str">
        <f aca="false">A604&amp;"|"&amp;B604</f>
        <v>|</v>
      </c>
    </row>
    <row r="605" customFormat="false" ht="15" hidden="false" customHeight="true" outlineLevel="0" collapsed="false">
      <c r="E605" s="3" t="str">
        <f aca="false">A605&amp;"|"&amp;B605</f>
        <v>|</v>
      </c>
    </row>
    <row r="606" customFormat="false" ht="15" hidden="false" customHeight="true" outlineLevel="0" collapsed="false">
      <c r="E606" s="3" t="str">
        <f aca="false">A606&amp;"|"&amp;B606</f>
        <v>|</v>
      </c>
    </row>
    <row r="607" customFormat="false" ht="15" hidden="false" customHeight="true" outlineLevel="0" collapsed="false">
      <c r="E607" s="3" t="str">
        <f aca="false">A607&amp;"|"&amp;B607</f>
        <v>|</v>
      </c>
    </row>
    <row r="608" customFormat="false" ht="15" hidden="false" customHeight="true" outlineLevel="0" collapsed="false">
      <c r="E608" s="3" t="str">
        <f aca="false">A608&amp;"|"&amp;B608</f>
        <v>|</v>
      </c>
    </row>
    <row r="609" customFormat="false" ht="15" hidden="false" customHeight="true" outlineLevel="0" collapsed="false">
      <c r="E609" s="3" t="str">
        <f aca="false">A609&amp;"|"&amp;B609</f>
        <v>|</v>
      </c>
    </row>
    <row r="610" customFormat="false" ht="15" hidden="false" customHeight="true" outlineLevel="0" collapsed="false">
      <c r="E610" s="3" t="str">
        <f aca="false">A610&amp;"|"&amp;B610</f>
        <v>|</v>
      </c>
    </row>
    <row r="611" customFormat="false" ht="15" hidden="false" customHeight="true" outlineLevel="0" collapsed="false">
      <c r="E611" s="3" t="str">
        <f aca="false">A611&amp;"|"&amp;B611</f>
        <v>|</v>
      </c>
    </row>
    <row r="612" customFormat="false" ht="15" hidden="false" customHeight="true" outlineLevel="0" collapsed="false">
      <c r="E612" s="3" t="str">
        <f aca="false">A612&amp;"|"&amp;B612</f>
        <v>|</v>
      </c>
    </row>
    <row r="613" customFormat="false" ht="15" hidden="false" customHeight="true" outlineLevel="0" collapsed="false">
      <c r="E613" s="3" t="str">
        <f aca="false">A613&amp;"|"&amp;B613</f>
        <v>|</v>
      </c>
    </row>
    <row r="614" customFormat="false" ht="15" hidden="false" customHeight="true" outlineLevel="0" collapsed="false">
      <c r="E614" s="3" t="str">
        <f aca="false">A614&amp;"|"&amp;B614</f>
        <v>|</v>
      </c>
    </row>
    <row r="615" customFormat="false" ht="15" hidden="false" customHeight="true" outlineLevel="0" collapsed="false">
      <c r="E615" s="3" t="str">
        <f aca="false">A615&amp;"|"&amp;B615</f>
        <v>|</v>
      </c>
    </row>
    <row r="616" customFormat="false" ht="15" hidden="false" customHeight="true" outlineLevel="0" collapsed="false">
      <c r="E616" s="3" t="str">
        <f aca="false">A616&amp;"|"&amp;B616</f>
        <v>|</v>
      </c>
    </row>
    <row r="617" customFormat="false" ht="15" hidden="false" customHeight="true" outlineLevel="0" collapsed="false">
      <c r="E617" s="3" t="str">
        <f aca="false">A617&amp;"|"&amp;B617</f>
        <v>|</v>
      </c>
    </row>
    <row r="618" customFormat="false" ht="15" hidden="false" customHeight="true" outlineLevel="0" collapsed="false">
      <c r="E618" s="3" t="str">
        <f aca="false">A618&amp;"|"&amp;B618</f>
        <v>|</v>
      </c>
    </row>
    <row r="619" customFormat="false" ht="15" hidden="false" customHeight="true" outlineLevel="0" collapsed="false">
      <c r="E619" s="3" t="str">
        <f aca="false">A619&amp;"|"&amp;B619</f>
        <v>|</v>
      </c>
    </row>
    <row r="620" customFormat="false" ht="15" hidden="false" customHeight="true" outlineLevel="0" collapsed="false">
      <c r="E620" s="3" t="str">
        <f aca="false">A620&amp;"|"&amp;B620</f>
        <v>|</v>
      </c>
    </row>
    <row r="621" customFormat="false" ht="15" hidden="false" customHeight="true" outlineLevel="0" collapsed="false">
      <c r="E621" s="3" t="str">
        <f aca="false">A621&amp;"|"&amp;B621</f>
        <v>|</v>
      </c>
    </row>
    <row r="622" customFormat="false" ht="15" hidden="false" customHeight="true" outlineLevel="0" collapsed="false">
      <c r="E622" s="3" t="str">
        <f aca="false">A622&amp;"|"&amp;B622</f>
        <v>|</v>
      </c>
    </row>
    <row r="623" customFormat="false" ht="15" hidden="false" customHeight="true" outlineLevel="0" collapsed="false">
      <c r="E623" s="3" t="str">
        <f aca="false">A623&amp;"|"&amp;B623</f>
        <v>|</v>
      </c>
    </row>
    <row r="624" customFormat="false" ht="15" hidden="false" customHeight="true" outlineLevel="0" collapsed="false">
      <c r="E624" s="3" t="str">
        <f aca="false">A624&amp;"|"&amp;B624</f>
        <v>|</v>
      </c>
    </row>
    <row r="625" customFormat="false" ht="15" hidden="false" customHeight="true" outlineLevel="0" collapsed="false">
      <c r="E625" s="3" t="str">
        <f aca="false">A625&amp;"|"&amp;B625</f>
        <v>|</v>
      </c>
    </row>
    <row r="626" customFormat="false" ht="15" hidden="false" customHeight="true" outlineLevel="0" collapsed="false">
      <c r="E626" s="3" t="str">
        <f aca="false">A626&amp;"|"&amp;B626</f>
        <v>|</v>
      </c>
    </row>
    <row r="627" customFormat="false" ht="15" hidden="false" customHeight="true" outlineLevel="0" collapsed="false">
      <c r="E627" s="3" t="str">
        <f aca="false">A627&amp;"|"&amp;B627</f>
        <v>|</v>
      </c>
    </row>
    <row r="628" customFormat="false" ht="15" hidden="false" customHeight="true" outlineLevel="0" collapsed="false">
      <c r="E628" s="3" t="str">
        <f aca="false">A628&amp;"|"&amp;B628</f>
        <v>|</v>
      </c>
    </row>
    <row r="629" customFormat="false" ht="15" hidden="false" customHeight="true" outlineLevel="0" collapsed="false">
      <c r="E629" s="3" t="str">
        <f aca="false">A629&amp;"|"&amp;B629</f>
        <v>|</v>
      </c>
    </row>
    <row r="630" customFormat="false" ht="15" hidden="false" customHeight="true" outlineLevel="0" collapsed="false">
      <c r="E630" s="3" t="str">
        <f aca="false">A630&amp;"|"&amp;B630</f>
        <v>|</v>
      </c>
    </row>
    <row r="631" customFormat="false" ht="15" hidden="false" customHeight="true" outlineLevel="0" collapsed="false">
      <c r="E631" s="3" t="str">
        <f aca="false">A631&amp;"|"&amp;B631</f>
        <v>|</v>
      </c>
    </row>
    <row r="632" customFormat="false" ht="15" hidden="false" customHeight="true" outlineLevel="0" collapsed="false">
      <c r="E632" s="3" t="str">
        <f aca="false">A632&amp;"|"&amp;B632</f>
        <v>|</v>
      </c>
    </row>
    <row r="633" customFormat="false" ht="15" hidden="false" customHeight="true" outlineLevel="0" collapsed="false">
      <c r="E633" s="3" t="str">
        <f aca="false">A633&amp;"|"&amp;B633</f>
        <v>|</v>
      </c>
    </row>
    <row r="634" customFormat="false" ht="15" hidden="false" customHeight="true" outlineLevel="0" collapsed="false">
      <c r="E634" s="3" t="str">
        <f aca="false">A634&amp;"|"&amp;B634</f>
        <v>|</v>
      </c>
    </row>
    <row r="635" customFormat="false" ht="15" hidden="false" customHeight="true" outlineLevel="0" collapsed="false">
      <c r="E635" s="3" t="str">
        <f aca="false">A635&amp;"|"&amp;B635</f>
        <v>|</v>
      </c>
    </row>
    <row r="636" customFormat="false" ht="15" hidden="false" customHeight="true" outlineLevel="0" collapsed="false">
      <c r="E636" s="3" t="str">
        <f aca="false">A636&amp;"|"&amp;B636</f>
        <v>|</v>
      </c>
    </row>
    <row r="637" customFormat="false" ht="15" hidden="false" customHeight="true" outlineLevel="0" collapsed="false">
      <c r="E637" s="3" t="str">
        <f aca="false">A637&amp;"|"&amp;B637</f>
        <v>|</v>
      </c>
    </row>
    <row r="638" customFormat="false" ht="15" hidden="false" customHeight="true" outlineLevel="0" collapsed="false">
      <c r="E638" s="3" t="str">
        <f aca="false">A638&amp;"|"&amp;B638</f>
        <v>|</v>
      </c>
    </row>
    <row r="639" customFormat="false" ht="15" hidden="false" customHeight="true" outlineLevel="0" collapsed="false">
      <c r="E639" s="3" t="str">
        <f aca="false">A639&amp;"|"&amp;B639</f>
        <v>|</v>
      </c>
    </row>
    <row r="640" customFormat="false" ht="15" hidden="false" customHeight="true" outlineLevel="0" collapsed="false">
      <c r="E640" s="3" t="str">
        <f aca="false">A640&amp;"|"&amp;B640</f>
        <v>|</v>
      </c>
    </row>
    <row r="641" customFormat="false" ht="15" hidden="false" customHeight="true" outlineLevel="0" collapsed="false">
      <c r="E641" s="3" t="str">
        <f aca="false">A641&amp;"|"&amp;B641</f>
        <v>|</v>
      </c>
    </row>
    <row r="642" customFormat="false" ht="15" hidden="false" customHeight="true" outlineLevel="0" collapsed="false">
      <c r="E642" s="3" t="str">
        <f aca="false">A642&amp;"|"&amp;B642</f>
        <v>|</v>
      </c>
    </row>
    <row r="643" customFormat="false" ht="15" hidden="false" customHeight="true" outlineLevel="0" collapsed="false">
      <c r="E643" s="3" t="str">
        <f aca="false">A643&amp;"|"&amp;B643</f>
        <v>|</v>
      </c>
    </row>
    <row r="644" customFormat="false" ht="15" hidden="false" customHeight="true" outlineLevel="0" collapsed="false">
      <c r="E644" s="3" t="str">
        <f aca="false">A644&amp;"|"&amp;B644</f>
        <v>|</v>
      </c>
    </row>
    <row r="645" customFormat="false" ht="15" hidden="false" customHeight="true" outlineLevel="0" collapsed="false">
      <c r="E645" s="3" t="str">
        <f aca="false">A645&amp;"|"&amp;B645</f>
        <v>|</v>
      </c>
    </row>
    <row r="646" customFormat="false" ht="15" hidden="false" customHeight="true" outlineLevel="0" collapsed="false">
      <c r="E646" s="3" t="str">
        <f aca="false">A646&amp;"|"&amp;B646</f>
        <v>|</v>
      </c>
    </row>
    <row r="647" customFormat="false" ht="15" hidden="false" customHeight="true" outlineLevel="0" collapsed="false">
      <c r="E647" s="3" t="str">
        <f aca="false">A647&amp;"|"&amp;B647</f>
        <v>|</v>
      </c>
    </row>
    <row r="648" customFormat="false" ht="15" hidden="false" customHeight="true" outlineLevel="0" collapsed="false">
      <c r="E648" s="3" t="str">
        <f aca="false">A648&amp;"|"&amp;B648</f>
        <v>|</v>
      </c>
    </row>
    <row r="649" customFormat="false" ht="15" hidden="false" customHeight="true" outlineLevel="0" collapsed="false">
      <c r="E649" s="3" t="str">
        <f aca="false">A649&amp;"|"&amp;B649</f>
        <v>|</v>
      </c>
    </row>
    <row r="650" customFormat="false" ht="15" hidden="false" customHeight="true" outlineLevel="0" collapsed="false">
      <c r="E650" s="3" t="str">
        <f aca="false">A650&amp;"|"&amp;B650</f>
        <v>|</v>
      </c>
    </row>
    <row r="651" customFormat="false" ht="15" hidden="false" customHeight="true" outlineLevel="0" collapsed="false">
      <c r="E651" s="3" t="str">
        <f aca="false">A651&amp;"|"&amp;B651</f>
        <v>|</v>
      </c>
    </row>
    <row r="652" customFormat="false" ht="15" hidden="false" customHeight="true" outlineLevel="0" collapsed="false">
      <c r="E652" s="3" t="str">
        <f aca="false">A652&amp;"|"&amp;B652</f>
        <v>|</v>
      </c>
    </row>
    <row r="653" customFormat="false" ht="15" hidden="false" customHeight="true" outlineLevel="0" collapsed="false">
      <c r="E653" s="3" t="str">
        <f aca="false">A653&amp;"|"&amp;B653</f>
        <v>|</v>
      </c>
    </row>
    <row r="654" customFormat="false" ht="15" hidden="false" customHeight="true" outlineLevel="0" collapsed="false">
      <c r="E654" s="3" t="str">
        <f aca="false">A654&amp;"|"&amp;B654</f>
        <v>|</v>
      </c>
    </row>
    <row r="655" customFormat="false" ht="15" hidden="false" customHeight="true" outlineLevel="0" collapsed="false">
      <c r="E655" s="3" t="str">
        <f aca="false">A655&amp;"|"&amp;B655</f>
        <v>|</v>
      </c>
    </row>
    <row r="656" customFormat="false" ht="15" hidden="false" customHeight="true" outlineLevel="0" collapsed="false">
      <c r="E656" s="3" t="str">
        <f aca="false">A656&amp;"|"&amp;B656</f>
        <v>|</v>
      </c>
    </row>
    <row r="657" customFormat="false" ht="15" hidden="false" customHeight="true" outlineLevel="0" collapsed="false">
      <c r="E657" s="3" t="str">
        <f aca="false">A657&amp;"|"&amp;B657</f>
        <v>|</v>
      </c>
    </row>
    <row r="658" customFormat="false" ht="15" hidden="false" customHeight="true" outlineLevel="0" collapsed="false">
      <c r="E658" s="3" t="str">
        <f aca="false">A658&amp;"|"&amp;B658</f>
        <v>|</v>
      </c>
    </row>
    <row r="659" customFormat="false" ht="15" hidden="false" customHeight="true" outlineLevel="0" collapsed="false">
      <c r="E659" s="3" t="str">
        <f aca="false">A659&amp;"|"&amp;B659</f>
        <v>|</v>
      </c>
    </row>
    <row r="660" customFormat="false" ht="15" hidden="false" customHeight="true" outlineLevel="0" collapsed="false">
      <c r="E660" s="3" t="str">
        <f aca="false">A660&amp;"|"&amp;B660</f>
        <v>|</v>
      </c>
    </row>
    <row r="661" customFormat="false" ht="15" hidden="false" customHeight="true" outlineLevel="0" collapsed="false">
      <c r="E661" s="3" t="str">
        <f aca="false">A661&amp;"|"&amp;B661</f>
        <v>|</v>
      </c>
    </row>
    <row r="662" customFormat="false" ht="15" hidden="false" customHeight="true" outlineLevel="0" collapsed="false">
      <c r="E662" s="3" t="str">
        <f aca="false">A662&amp;"|"&amp;B662</f>
        <v>|</v>
      </c>
    </row>
    <row r="663" customFormat="false" ht="15" hidden="false" customHeight="true" outlineLevel="0" collapsed="false">
      <c r="E663" s="3" t="str">
        <f aca="false">A663&amp;"|"&amp;B663</f>
        <v>|</v>
      </c>
    </row>
    <row r="664" customFormat="false" ht="15" hidden="false" customHeight="true" outlineLevel="0" collapsed="false">
      <c r="E664" s="3" t="str">
        <f aca="false">A664&amp;"|"&amp;B664</f>
        <v>|</v>
      </c>
    </row>
    <row r="665" customFormat="false" ht="15" hidden="false" customHeight="true" outlineLevel="0" collapsed="false">
      <c r="E665" s="3" t="str">
        <f aca="false">A665&amp;"|"&amp;B665</f>
        <v>|</v>
      </c>
    </row>
    <row r="666" customFormat="false" ht="15" hidden="false" customHeight="true" outlineLevel="0" collapsed="false">
      <c r="E666" s="3" t="str">
        <f aca="false">A666&amp;"|"&amp;B666</f>
        <v>|</v>
      </c>
    </row>
    <row r="667" customFormat="false" ht="15" hidden="false" customHeight="true" outlineLevel="0" collapsed="false">
      <c r="E667" s="3" t="str">
        <f aca="false">A667&amp;"|"&amp;B667</f>
        <v>|</v>
      </c>
    </row>
    <row r="668" customFormat="false" ht="15" hidden="false" customHeight="true" outlineLevel="0" collapsed="false">
      <c r="E668" s="3" t="str">
        <f aca="false">A668&amp;"|"&amp;B668</f>
        <v>|</v>
      </c>
    </row>
    <row r="669" customFormat="false" ht="15" hidden="false" customHeight="true" outlineLevel="0" collapsed="false">
      <c r="E669" s="3" t="str">
        <f aca="false">A669&amp;"|"&amp;B669</f>
        <v>|</v>
      </c>
    </row>
    <row r="670" customFormat="false" ht="15" hidden="false" customHeight="true" outlineLevel="0" collapsed="false">
      <c r="E670" s="3" t="str">
        <f aca="false">A670&amp;"|"&amp;B670</f>
        <v>|</v>
      </c>
    </row>
    <row r="671" customFormat="false" ht="15" hidden="false" customHeight="true" outlineLevel="0" collapsed="false">
      <c r="E671" s="3" t="str">
        <f aca="false">A671&amp;"|"&amp;B671</f>
        <v>|</v>
      </c>
    </row>
    <row r="672" customFormat="false" ht="15" hidden="false" customHeight="true" outlineLevel="0" collapsed="false">
      <c r="E672" s="3" t="str">
        <f aca="false">A672&amp;"|"&amp;B672</f>
        <v>|</v>
      </c>
    </row>
    <row r="673" customFormat="false" ht="15" hidden="false" customHeight="true" outlineLevel="0" collapsed="false">
      <c r="E673" s="3" t="str">
        <f aca="false">A673&amp;"|"&amp;B673</f>
        <v>|</v>
      </c>
    </row>
    <row r="674" customFormat="false" ht="15" hidden="false" customHeight="true" outlineLevel="0" collapsed="false">
      <c r="E674" s="3" t="str">
        <f aca="false">A674&amp;"|"&amp;B674</f>
        <v>|</v>
      </c>
    </row>
    <row r="675" customFormat="false" ht="15" hidden="false" customHeight="true" outlineLevel="0" collapsed="false">
      <c r="E675" s="3" t="str">
        <f aca="false">A675&amp;"|"&amp;B675</f>
        <v>|</v>
      </c>
    </row>
    <row r="676" customFormat="false" ht="15" hidden="false" customHeight="true" outlineLevel="0" collapsed="false">
      <c r="E676" s="3" t="str">
        <f aca="false">A676&amp;"|"&amp;B676</f>
        <v>|</v>
      </c>
    </row>
    <row r="677" customFormat="false" ht="15" hidden="false" customHeight="true" outlineLevel="0" collapsed="false">
      <c r="E677" s="3" t="str">
        <f aca="false">A677&amp;"|"&amp;B677</f>
        <v>|</v>
      </c>
    </row>
    <row r="678" customFormat="false" ht="15" hidden="false" customHeight="true" outlineLevel="0" collapsed="false">
      <c r="E678" s="3" t="str">
        <f aca="false">A678&amp;"|"&amp;B678</f>
        <v>|</v>
      </c>
    </row>
    <row r="679" customFormat="false" ht="15" hidden="false" customHeight="true" outlineLevel="0" collapsed="false">
      <c r="E679" s="3" t="str">
        <f aca="false">A679&amp;"|"&amp;B679</f>
        <v>|</v>
      </c>
    </row>
    <row r="680" customFormat="false" ht="15" hidden="false" customHeight="true" outlineLevel="0" collapsed="false">
      <c r="E680" s="3" t="str">
        <f aca="false">A680&amp;"|"&amp;B680</f>
        <v>|</v>
      </c>
    </row>
    <row r="681" customFormat="false" ht="15" hidden="false" customHeight="true" outlineLevel="0" collapsed="false">
      <c r="E681" s="3" t="str">
        <f aca="false">A681&amp;"|"&amp;B681</f>
        <v>|</v>
      </c>
    </row>
    <row r="682" customFormat="false" ht="15" hidden="false" customHeight="true" outlineLevel="0" collapsed="false">
      <c r="E682" s="3" t="str">
        <f aca="false">A682&amp;"|"&amp;B682</f>
        <v>|</v>
      </c>
    </row>
    <row r="683" customFormat="false" ht="15" hidden="false" customHeight="true" outlineLevel="0" collapsed="false">
      <c r="E683" s="3" t="str">
        <f aca="false">A683&amp;"|"&amp;B683</f>
        <v>|</v>
      </c>
    </row>
    <row r="684" customFormat="false" ht="15" hidden="false" customHeight="true" outlineLevel="0" collapsed="false">
      <c r="E684" s="3" t="str">
        <f aca="false">A684&amp;"|"&amp;B684</f>
        <v>|</v>
      </c>
    </row>
    <row r="685" customFormat="false" ht="15" hidden="false" customHeight="true" outlineLevel="0" collapsed="false">
      <c r="E685" s="3" t="str">
        <f aca="false">A685&amp;"|"&amp;B685</f>
        <v>|</v>
      </c>
    </row>
    <row r="686" customFormat="false" ht="15" hidden="false" customHeight="true" outlineLevel="0" collapsed="false">
      <c r="E686" s="3" t="str">
        <f aca="false">A686&amp;"|"&amp;B686</f>
        <v>|</v>
      </c>
    </row>
    <row r="687" customFormat="false" ht="15" hidden="false" customHeight="true" outlineLevel="0" collapsed="false">
      <c r="E687" s="3" t="str">
        <f aca="false">A687&amp;"|"&amp;B687</f>
        <v>|</v>
      </c>
    </row>
    <row r="688" customFormat="false" ht="15" hidden="false" customHeight="true" outlineLevel="0" collapsed="false">
      <c r="E688" s="3" t="str">
        <f aca="false">A688&amp;"|"&amp;B688</f>
        <v>|</v>
      </c>
    </row>
    <row r="689" customFormat="false" ht="15" hidden="false" customHeight="true" outlineLevel="0" collapsed="false">
      <c r="E689" s="3" t="str">
        <f aca="false">A689&amp;"|"&amp;B689</f>
        <v>|</v>
      </c>
    </row>
    <row r="690" customFormat="false" ht="15" hidden="false" customHeight="true" outlineLevel="0" collapsed="false">
      <c r="E690" s="3" t="str">
        <f aca="false">A690&amp;"|"&amp;B690</f>
        <v>|</v>
      </c>
    </row>
    <row r="691" customFormat="false" ht="15" hidden="false" customHeight="true" outlineLevel="0" collapsed="false">
      <c r="E691" s="3" t="str">
        <f aca="false">A691&amp;"|"&amp;B691</f>
        <v>|</v>
      </c>
    </row>
    <row r="692" customFormat="false" ht="15" hidden="false" customHeight="true" outlineLevel="0" collapsed="false">
      <c r="E692" s="3" t="str">
        <f aca="false">A692&amp;"|"&amp;B692</f>
        <v>|</v>
      </c>
    </row>
    <row r="693" customFormat="false" ht="15" hidden="false" customHeight="true" outlineLevel="0" collapsed="false">
      <c r="E693" s="3" t="str">
        <f aca="false">A693&amp;"|"&amp;B693</f>
        <v>|</v>
      </c>
    </row>
    <row r="694" customFormat="false" ht="15" hidden="false" customHeight="true" outlineLevel="0" collapsed="false">
      <c r="E694" s="3" t="str">
        <f aca="false">A694&amp;"|"&amp;B694</f>
        <v>|</v>
      </c>
    </row>
    <row r="695" customFormat="false" ht="15" hidden="false" customHeight="true" outlineLevel="0" collapsed="false">
      <c r="E695" s="3" t="str">
        <f aca="false">A695&amp;"|"&amp;B695</f>
        <v>|</v>
      </c>
    </row>
    <row r="696" customFormat="false" ht="15" hidden="false" customHeight="true" outlineLevel="0" collapsed="false">
      <c r="E696" s="3" t="str">
        <f aca="false">A696&amp;"|"&amp;B696</f>
        <v>|</v>
      </c>
    </row>
    <row r="697" customFormat="false" ht="15" hidden="false" customHeight="true" outlineLevel="0" collapsed="false">
      <c r="E697" s="3" t="str">
        <f aca="false">A697&amp;"|"&amp;B697</f>
        <v>|</v>
      </c>
    </row>
    <row r="698" customFormat="false" ht="15" hidden="false" customHeight="true" outlineLevel="0" collapsed="false">
      <c r="E698" s="3" t="str">
        <f aca="false">A698&amp;"|"&amp;B698</f>
        <v>|</v>
      </c>
    </row>
    <row r="699" customFormat="false" ht="15" hidden="false" customHeight="true" outlineLevel="0" collapsed="false">
      <c r="E699" s="3" t="str">
        <f aca="false">A699&amp;"|"&amp;B699</f>
        <v>|</v>
      </c>
    </row>
    <row r="700" customFormat="false" ht="15" hidden="false" customHeight="true" outlineLevel="0" collapsed="false">
      <c r="E700" s="3" t="str">
        <f aca="false">A700&amp;"|"&amp;B700</f>
        <v>|</v>
      </c>
    </row>
    <row r="701" customFormat="false" ht="15" hidden="false" customHeight="true" outlineLevel="0" collapsed="false">
      <c r="E701" s="3" t="str">
        <f aca="false">A701&amp;"|"&amp;B701</f>
        <v>|</v>
      </c>
    </row>
    <row r="702" customFormat="false" ht="15" hidden="false" customHeight="true" outlineLevel="0" collapsed="false">
      <c r="E702" s="3" t="str">
        <f aca="false">A702&amp;"|"&amp;B702</f>
        <v>|</v>
      </c>
    </row>
    <row r="703" customFormat="false" ht="15" hidden="false" customHeight="true" outlineLevel="0" collapsed="false">
      <c r="E703" s="3" t="str">
        <f aca="false">A703&amp;"|"&amp;B703</f>
        <v>|</v>
      </c>
    </row>
    <row r="704" customFormat="false" ht="15" hidden="false" customHeight="true" outlineLevel="0" collapsed="false">
      <c r="E704" s="3" t="str">
        <f aca="false">A704&amp;"|"&amp;B704</f>
        <v>|</v>
      </c>
    </row>
    <row r="705" customFormat="false" ht="15" hidden="false" customHeight="true" outlineLevel="0" collapsed="false">
      <c r="E705" s="3" t="str">
        <f aca="false">A705&amp;"|"&amp;B705</f>
        <v>|</v>
      </c>
    </row>
    <row r="706" customFormat="false" ht="15" hidden="false" customHeight="true" outlineLevel="0" collapsed="false">
      <c r="E706" s="3" t="str">
        <f aca="false">A706&amp;"|"&amp;B706</f>
        <v>|</v>
      </c>
    </row>
    <row r="707" customFormat="false" ht="15" hidden="false" customHeight="true" outlineLevel="0" collapsed="false">
      <c r="E707" s="3" t="str">
        <f aca="false">A707&amp;"|"&amp;B707</f>
        <v>|</v>
      </c>
    </row>
    <row r="708" customFormat="false" ht="15" hidden="false" customHeight="true" outlineLevel="0" collapsed="false">
      <c r="E708" s="3" t="str">
        <f aca="false">A708&amp;"|"&amp;B708</f>
        <v>|</v>
      </c>
    </row>
    <row r="709" customFormat="false" ht="15" hidden="false" customHeight="true" outlineLevel="0" collapsed="false">
      <c r="E709" s="3" t="str">
        <f aca="false">A709&amp;"|"&amp;B709</f>
        <v>|</v>
      </c>
    </row>
    <row r="710" customFormat="false" ht="15" hidden="false" customHeight="true" outlineLevel="0" collapsed="false">
      <c r="E710" s="3" t="str">
        <f aca="false">A710&amp;"|"&amp;B710</f>
        <v>|</v>
      </c>
    </row>
    <row r="711" customFormat="false" ht="15" hidden="false" customHeight="true" outlineLevel="0" collapsed="false">
      <c r="E711" s="3" t="str">
        <f aca="false">A711&amp;"|"&amp;B711</f>
        <v>|</v>
      </c>
    </row>
    <row r="712" customFormat="false" ht="15" hidden="false" customHeight="true" outlineLevel="0" collapsed="false">
      <c r="E712" s="3" t="str">
        <f aca="false">A712&amp;"|"&amp;B712</f>
        <v>|</v>
      </c>
    </row>
    <row r="713" customFormat="false" ht="15" hidden="false" customHeight="true" outlineLevel="0" collapsed="false">
      <c r="E713" s="3" t="str">
        <f aca="false">A713&amp;"|"&amp;B713</f>
        <v>|</v>
      </c>
    </row>
    <row r="714" customFormat="false" ht="15" hidden="false" customHeight="true" outlineLevel="0" collapsed="false">
      <c r="E714" s="3" t="str">
        <f aca="false">A714&amp;"|"&amp;B714</f>
        <v>|</v>
      </c>
    </row>
    <row r="715" customFormat="false" ht="15" hidden="false" customHeight="true" outlineLevel="0" collapsed="false">
      <c r="E715" s="3" t="str">
        <f aca="false">A715&amp;"|"&amp;B715</f>
        <v>|</v>
      </c>
    </row>
    <row r="716" customFormat="false" ht="15" hidden="false" customHeight="true" outlineLevel="0" collapsed="false">
      <c r="E716" s="3" t="str">
        <f aca="false">A716&amp;"|"&amp;B716</f>
        <v>|</v>
      </c>
    </row>
    <row r="717" customFormat="false" ht="15" hidden="false" customHeight="true" outlineLevel="0" collapsed="false">
      <c r="E717" s="3" t="str">
        <f aca="false">A717&amp;"|"&amp;B717</f>
        <v>|</v>
      </c>
    </row>
    <row r="718" customFormat="false" ht="15" hidden="false" customHeight="true" outlineLevel="0" collapsed="false">
      <c r="E718" s="3" t="str">
        <f aca="false">A718&amp;"|"&amp;B718</f>
        <v>|</v>
      </c>
    </row>
    <row r="719" customFormat="false" ht="15" hidden="false" customHeight="true" outlineLevel="0" collapsed="false">
      <c r="E719" s="3" t="str">
        <f aca="false">A719&amp;"|"&amp;B719</f>
        <v>|</v>
      </c>
    </row>
    <row r="720" customFormat="false" ht="15" hidden="false" customHeight="true" outlineLevel="0" collapsed="false">
      <c r="E720" s="3" t="str">
        <f aca="false">A720&amp;"|"&amp;B720</f>
        <v>|</v>
      </c>
    </row>
    <row r="721" customFormat="false" ht="15" hidden="false" customHeight="true" outlineLevel="0" collapsed="false">
      <c r="E721" s="3" t="str">
        <f aca="false">A721&amp;"|"&amp;B721</f>
        <v>|</v>
      </c>
    </row>
    <row r="722" customFormat="false" ht="15" hidden="false" customHeight="true" outlineLevel="0" collapsed="false">
      <c r="E722" s="3" t="str">
        <f aca="false">A722&amp;"|"&amp;B722</f>
        <v>|</v>
      </c>
    </row>
    <row r="723" customFormat="false" ht="15" hidden="false" customHeight="true" outlineLevel="0" collapsed="false">
      <c r="E723" s="3" t="str">
        <f aca="false">A723&amp;"|"&amp;B723</f>
        <v>|</v>
      </c>
    </row>
    <row r="724" customFormat="false" ht="15" hidden="false" customHeight="true" outlineLevel="0" collapsed="false">
      <c r="E724" s="3" t="str">
        <f aca="false">A724&amp;"|"&amp;B724</f>
        <v>|</v>
      </c>
    </row>
    <row r="725" customFormat="false" ht="15" hidden="false" customHeight="true" outlineLevel="0" collapsed="false">
      <c r="E725" s="3" t="str">
        <f aca="false">A725&amp;"|"&amp;B725</f>
        <v>|</v>
      </c>
    </row>
    <row r="726" customFormat="false" ht="15" hidden="false" customHeight="true" outlineLevel="0" collapsed="false">
      <c r="E726" s="3" t="str">
        <f aca="false">A726&amp;"|"&amp;B726</f>
        <v>|</v>
      </c>
    </row>
    <row r="727" customFormat="false" ht="15" hidden="false" customHeight="true" outlineLevel="0" collapsed="false">
      <c r="E727" s="3" t="str">
        <f aca="false">A727&amp;"|"&amp;B727</f>
        <v>|</v>
      </c>
    </row>
    <row r="728" customFormat="false" ht="15" hidden="false" customHeight="true" outlineLevel="0" collapsed="false">
      <c r="E728" s="3" t="str">
        <f aca="false">A728&amp;"|"&amp;B728</f>
        <v>|</v>
      </c>
    </row>
    <row r="729" customFormat="false" ht="15" hidden="false" customHeight="true" outlineLevel="0" collapsed="false">
      <c r="E729" s="3" t="str">
        <f aca="false">A729&amp;"|"&amp;B729</f>
        <v>|</v>
      </c>
    </row>
    <row r="730" customFormat="false" ht="15" hidden="false" customHeight="true" outlineLevel="0" collapsed="false">
      <c r="E730" s="3" t="str">
        <f aca="false">A730&amp;"|"&amp;B730</f>
        <v>|</v>
      </c>
    </row>
    <row r="731" customFormat="false" ht="15" hidden="false" customHeight="true" outlineLevel="0" collapsed="false">
      <c r="E731" s="3" t="str">
        <f aca="false">A731&amp;"|"&amp;B731</f>
        <v>|</v>
      </c>
    </row>
    <row r="732" customFormat="false" ht="15" hidden="false" customHeight="true" outlineLevel="0" collapsed="false">
      <c r="E732" s="3" t="str">
        <f aca="false">A732&amp;"|"&amp;B732</f>
        <v>|</v>
      </c>
    </row>
    <row r="733" customFormat="false" ht="15" hidden="false" customHeight="true" outlineLevel="0" collapsed="false">
      <c r="E733" s="3" t="str">
        <f aca="false">A733&amp;"|"&amp;B733</f>
        <v>|</v>
      </c>
    </row>
    <row r="734" customFormat="false" ht="15" hidden="false" customHeight="true" outlineLevel="0" collapsed="false">
      <c r="E734" s="3" t="str">
        <f aca="false">A734&amp;"|"&amp;B734</f>
        <v>|</v>
      </c>
    </row>
    <row r="735" customFormat="false" ht="15" hidden="false" customHeight="true" outlineLevel="0" collapsed="false">
      <c r="E735" s="3" t="str">
        <f aca="false">A735&amp;"|"&amp;B735</f>
        <v>|</v>
      </c>
    </row>
    <row r="736" customFormat="false" ht="15" hidden="false" customHeight="true" outlineLevel="0" collapsed="false">
      <c r="E736" s="3" t="str">
        <f aca="false">A736&amp;"|"&amp;B736</f>
        <v>|</v>
      </c>
    </row>
    <row r="737" customFormat="false" ht="15" hidden="false" customHeight="true" outlineLevel="0" collapsed="false">
      <c r="E737" s="3" t="str">
        <f aca="false">A737&amp;"|"&amp;B737</f>
        <v>|</v>
      </c>
    </row>
    <row r="738" customFormat="false" ht="15" hidden="false" customHeight="true" outlineLevel="0" collapsed="false">
      <c r="E738" s="3" t="str">
        <f aca="false">A738&amp;"|"&amp;B738</f>
        <v>|</v>
      </c>
    </row>
    <row r="739" customFormat="false" ht="15" hidden="false" customHeight="true" outlineLevel="0" collapsed="false">
      <c r="E739" s="3" t="str">
        <f aca="false">A739&amp;"|"&amp;B739</f>
        <v>|</v>
      </c>
    </row>
    <row r="740" customFormat="false" ht="15" hidden="false" customHeight="true" outlineLevel="0" collapsed="false">
      <c r="E740" s="3" t="str">
        <f aca="false">A740&amp;"|"&amp;B740</f>
        <v>|</v>
      </c>
    </row>
    <row r="741" customFormat="false" ht="15" hidden="false" customHeight="true" outlineLevel="0" collapsed="false">
      <c r="E741" s="3" t="str">
        <f aca="false">A741&amp;"|"&amp;B741</f>
        <v>|</v>
      </c>
    </row>
    <row r="742" customFormat="false" ht="15" hidden="false" customHeight="true" outlineLevel="0" collapsed="false">
      <c r="E742" s="3" t="str">
        <f aca="false">A742&amp;"|"&amp;B742</f>
        <v>|</v>
      </c>
    </row>
    <row r="743" customFormat="false" ht="15" hidden="false" customHeight="true" outlineLevel="0" collapsed="false">
      <c r="E743" s="3" t="str">
        <f aca="false">A743&amp;"|"&amp;B743</f>
        <v>|</v>
      </c>
    </row>
    <row r="744" customFormat="false" ht="15" hidden="false" customHeight="true" outlineLevel="0" collapsed="false">
      <c r="E744" s="3" t="str">
        <f aca="false">A744&amp;"|"&amp;B744</f>
        <v>|</v>
      </c>
    </row>
    <row r="745" customFormat="false" ht="15" hidden="false" customHeight="true" outlineLevel="0" collapsed="false">
      <c r="E745" s="3" t="str">
        <f aca="false">A745&amp;"|"&amp;B745</f>
        <v>|</v>
      </c>
    </row>
    <row r="746" customFormat="false" ht="15" hidden="false" customHeight="true" outlineLevel="0" collapsed="false">
      <c r="E746" s="3" t="str">
        <f aca="false">A746&amp;"|"&amp;B746</f>
        <v>|</v>
      </c>
    </row>
    <row r="747" customFormat="false" ht="15" hidden="false" customHeight="true" outlineLevel="0" collapsed="false">
      <c r="E747" s="3" t="str">
        <f aca="false">A747&amp;"|"&amp;B747</f>
        <v>|</v>
      </c>
    </row>
    <row r="748" customFormat="false" ht="15" hidden="false" customHeight="true" outlineLevel="0" collapsed="false">
      <c r="E748" s="3" t="str">
        <f aca="false">A748&amp;"|"&amp;B748</f>
        <v>|</v>
      </c>
    </row>
    <row r="749" customFormat="false" ht="15" hidden="false" customHeight="true" outlineLevel="0" collapsed="false">
      <c r="E749" s="3" t="str">
        <f aca="false">A749&amp;"|"&amp;B749</f>
        <v>|</v>
      </c>
    </row>
    <row r="750" customFormat="false" ht="15" hidden="false" customHeight="true" outlineLevel="0" collapsed="false">
      <c r="E750" s="3" t="str">
        <f aca="false">A750&amp;"|"&amp;B750</f>
        <v>|</v>
      </c>
    </row>
    <row r="751" customFormat="false" ht="15" hidden="false" customHeight="true" outlineLevel="0" collapsed="false">
      <c r="E751" s="3" t="str">
        <f aca="false">A751&amp;"|"&amp;B751</f>
        <v>|</v>
      </c>
    </row>
    <row r="752" customFormat="false" ht="15" hidden="false" customHeight="true" outlineLevel="0" collapsed="false">
      <c r="E752" s="3" t="str">
        <f aca="false">A752&amp;"|"&amp;B752</f>
        <v>|</v>
      </c>
    </row>
    <row r="753" customFormat="false" ht="15" hidden="false" customHeight="true" outlineLevel="0" collapsed="false">
      <c r="E753" s="3" t="str">
        <f aca="false">A753&amp;"|"&amp;B753</f>
        <v>|</v>
      </c>
    </row>
    <row r="754" customFormat="false" ht="15" hidden="false" customHeight="true" outlineLevel="0" collapsed="false">
      <c r="E754" s="3" t="str">
        <f aca="false">A754&amp;"|"&amp;B754</f>
        <v>|</v>
      </c>
    </row>
    <row r="755" customFormat="false" ht="15" hidden="false" customHeight="true" outlineLevel="0" collapsed="false">
      <c r="E755" s="3" t="str">
        <f aca="false">A755&amp;"|"&amp;B755</f>
        <v>|</v>
      </c>
    </row>
    <row r="756" customFormat="false" ht="15" hidden="false" customHeight="true" outlineLevel="0" collapsed="false">
      <c r="E756" s="3" t="str">
        <f aca="false">A756&amp;"|"&amp;B756</f>
        <v>|</v>
      </c>
    </row>
    <row r="757" customFormat="false" ht="15" hidden="false" customHeight="true" outlineLevel="0" collapsed="false">
      <c r="E757" s="3" t="str">
        <f aca="false">A757&amp;"|"&amp;B757</f>
        <v>|</v>
      </c>
    </row>
    <row r="758" customFormat="false" ht="15" hidden="false" customHeight="true" outlineLevel="0" collapsed="false">
      <c r="E758" s="3" t="str">
        <f aca="false">A758&amp;"|"&amp;B758</f>
        <v>|</v>
      </c>
    </row>
    <row r="759" customFormat="false" ht="15" hidden="false" customHeight="true" outlineLevel="0" collapsed="false">
      <c r="E759" s="3" t="str">
        <f aca="false">A759&amp;"|"&amp;B759</f>
        <v>|</v>
      </c>
    </row>
    <row r="760" customFormat="false" ht="15" hidden="false" customHeight="true" outlineLevel="0" collapsed="false">
      <c r="E760" s="3" t="str">
        <f aca="false">A760&amp;"|"&amp;B760</f>
        <v>|</v>
      </c>
    </row>
    <row r="761" customFormat="false" ht="15" hidden="false" customHeight="true" outlineLevel="0" collapsed="false">
      <c r="E761" s="3" t="str">
        <f aca="false">A761&amp;"|"&amp;B761</f>
        <v>|</v>
      </c>
    </row>
    <row r="762" customFormat="false" ht="15" hidden="false" customHeight="true" outlineLevel="0" collapsed="false">
      <c r="E762" s="3" t="str">
        <f aca="false">A762&amp;"|"&amp;B762</f>
        <v>|</v>
      </c>
    </row>
    <row r="763" customFormat="false" ht="15" hidden="false" customHeight="true" outlineLevel="0" collapsed="false">
      <c r="E763" s="3" t="str">
        <f aca="false">A763&amp;"|"&amp;B763</f>
        <v>|</v>
      </c>
    </row>
    <row r="764" customFormat="false" ht="15" hidden="false" customHeight="true" outlineLevel="0" collapsed="false">
      <c r="E764" s="3" t="str">
        <f aca="false">A764&amp;"|"&amp;B764</f>
        <v>|</v>
      </c>
    </row>
    <row r="765" customFormat="false" ht="15" hidden="false" customHeight="true" outlineLevel="0" collapsed="false">
      <c r="E765" s="3" t="str">
        <f aca="false">A765&amp;"|"&amp;B765</f>
        <v>|</v>
      </c>
    </row>
    <row r="766" customFormat="false" ht="15" hidden="false" customHeight="true" outlineLevel="0" collapsed="false">
      <c r="E766" s="3" t="str">
        <f aca="false">A766&amp;"|"&amp;B766</f>
        <v>|</v>
      </c>
    </row>
    <row r="767" customFormat="false" ht="15" hidden="false" customHeight="true" outlineLevel="0" collapsed="false">
      <c r="E767" s="3" t="str">
        <f aca="false">A767&amp;"|"&amp;B767</f>
        <v>|</v>
      </c>
    </row>
    <row r="768" customFormat="false" ht="15" hidden="false" customHeight="true" outlineLevel="0" collapsed="false">
      <c r="E768" s="3" t="str">
        <f aca="false">A768&amp;"|"&amp;B768</f>
        <v>|</v>
      </c>
    </row>
    <row r="769" customFormat="false" ht="15" hidden="false" customHeight="true" outlineLevel="0" collapsed="false">
      <c r="E769" s="3" t="str">
        <f aca="false">A769&amp;"|"&amp;B769</f>
        <v>|</v>
      </c>
    </row>
    <row r="770" customFormat="false" ht="15" hidden="false" customHeight="true" outlineLevel="0" collapsed="false">
      <c r="E770" s="3" t="str">
        <f aca="false">A770&amp;"|"&amp;B770</f>
        <v>|</v>
      </c>
    </row>
    <row r="771" customFormat="false" ht="15" hidden="false" customHeight="true" outlineLevel="0" collapsed="false">
      <c r="E771" s="3" t="str">
        <f aca="false">A771&amp;"|"&amp;B771</f>
        <v>|</v>
      </c>
    </row>
    <row r="772" customFormat="false" ht="15" hidden="false" customHeight="true" outlineLevel="0" collapsed="false">
      <c r="E772" s="3" t="str">
        <f aca="false">A772&amp;"|"&amp;B772</f>
        <v>|</v>
      </c>
    </row>
    <row r="773" customFormat="false" ht="15" hidden="false" customHeight="true" outlineLevel="0" collapsed="false">
      <c r="E773" s="3" t="str">
        <f aca="false">A773&amp;"|"&amp;B773</f>
        <v>|</v>
      </c>
    </row>
    <row r="774" customFormat="false" ht="15" hidden="false" customHeight="true" outlineLevel="0" collapsed="false">
      <c r="E774" s="3" t="str">
        <f aca="false">A774&amp;"|"&amp;B774</f>
        <v>|</v>
      </c>
    </row>
    <row r="775" customFormat="false" ht="15" hidden="false" customHeight="true" outlineLevel="0" collapsed="false">
      <c r="E775" s="3" t="str">
        <f aca="false">A775&amp;"|"&amp;B775</f>
        <v>|</v>
      </c>
    </row>
    <row r="776" customFormat="false" ht="15" hidden="false" customHeight="true" outlineLevel="0" collapsed="false">
      <c r="E776" s="3" t="str">
        <f aca="false">A776&amp;"|"&amp;B776</f>
        <v>|</v>
      </c>
    </row>
    <row r="777" customFormat="false" ht="15" hidden="false" customHeight="true" outlineLevel="0" collapsed="false">
      <c r="E777" s="3" t="str">
        <f aca="false">A777&amp;"|"&amp;B777</f>
        <v>|</v>
      </c>
    </row>
    <row r="778" customFormat="false" ht="15" hidden="false" customHeight="true" outlineLevel="0" collapsed="false">
      <c r="E778" s="3" t="str">
        <f aca="false">A778&amp;"|"&amp;B778</f>
        <v>|</v>
      </c>
    </row>
    <row r="779" customFormat="false" ht="15" hidden="false" customHeight="true" outlineLevel="0" collapsed="false">
      <c r="E779" s="3" t="str">
        <f aca="false">A779&amp;"|"&amp;B779</f>
        <v>|</v>
      </c>
    </row>
    <row r="780" customFormat="false" ht="15" hidden="false" customHeight="true" outlineLevel="0" collapsed="false">
      <c r="E780" s="3" t="str">
        <f aca="false">A780&amp;"|"&amp;B780</f>
        <v>|</v>
      </c>
    </row>
    <row r="781" customFormat="false" ht="15" hidden="false" customHeight="true" outlineLevel="0" collapsed="false">
      <c r="E781" s="3" t="str">
        <f aca="false">A781&amp;"|"&amp;B781</f>
        <v>|</v>
      </c>
    </row>
    <row r="782" customFormat="false" ht="15" hidden="false" customHeight="true" outlineLevel="0" collapsed="false">
      <c r="E782" s="3" t="str">
        <f aca="false">A782&amp;"|"&amp;B782</f>
        <v>|</v>
      </c>
    </row>
    <row r="783" customFormat="false" ht="15" hidden="false" customHeight="true" outlineLevel="0" collapsed="false">
      <c r="E783" s="3" t="str">
        <f aca="false">A783&amp;"|"&amp;B783</f>
        <v>|</v>
      </c>
    </row>
    <row r="784" customFormat="false" ht="15" hidden="false" customHeight="true" outlineLevel="0" collapsed="false">
      <c r="E784" s="3" t="str">
        <f aca="false">A784&amp;"|"&amp;B784</f>
        <v>|</v>
      </c>
    </row>
    <row r="785" customFormat="false" ht="15" hidden="false" customHeight="true" outlineLevel="0" collapsed="false">
      <c r="E785" s="3" t="str">
        <f aca="false">A785&amp;"|"&amp;B785</f>
        <v>|</v>
      </c>
    </row>
    <row r="786" customFormat="false" ht="15" hidden="false" customHeight="true" outlineLevel="0" collapsed="false">
      <c r="E786" s="3" t="str">
        <f aca="false">A786&amp;"|"&amp;B786</f>
        <v>|</v>
      </c>
    </row>
    <row r="787" customFormat="false" ht="15" hidden="false" customHeight="true" outlineLevel="0" collapsed="false">
      <c r="E787" s="3" t="str">
        <f aca="false">A787&amp;"|"&amp;B787</f>
        <v>|</v>
      </c>
    </row>
    <row r="788" customFormat="false" ht="15" hidden="false" customHeight="true" outlineLevel="0" collapsed="false">
      <c r="E788" s="3" t="str">
        <f aca="false">A788&amp;"|"&amp;B788</f>
        <v>|</v>
      </c>
    </row>
    <row r="789" customFormat="false" ht="15" hidden="false" customHeight="true" outlineLevel="0" collapsed="false">
      <c r="E789" s="3" t="str">
        <f aca="false">A789&amp;"|"&amp;B789</f>
        <v>|</v>
      </c>
    </row>
    <row r="790" customFormat="false" ht="15" hidden="false" customHeight="true" outlineLevel="0" collapsed="false">
      <c r="E790" s="3" t="str">
        <f aca="false">A790&amp;"|"&amp;B790</f>
        <v>|</v>
      </c>
    </row>
    <row r="791" customFormat="false" ht="15" hidden="false" customHeight="true" outlineLevel="0" collapsed="false">
      <c r="E791" s="3" t="str">
        <f aca="false">A791&amp;"|"&amp;B791</f>
        <v>|</v>
      </c>
    </row>
    <row r="792" customFormat="false" ht="15" hidden="false" customHeight="true" outlineLevel="0" collapsed="false">
      <c r="E792" s="3" t="str">
        <f aca="false">A792&amp;"|"&amp;B792</f>
        <v>|</v>
      </c>
    </row>
    <row r="793" customFormat="false" ht="15" hidden="false" customHeight="true" outlineLevel="0" collapsed="false">
      <c r="E793" s="3" t="str">
        <f aca="false">A793&amp;"|"&amp;B793</f>
        <v>|</v>
      </c>
    </row>
    <row r="794" customFormat="false" ht="15" hidden="false" customHeight="true" outlineLevel="0" collapsed="false">
      <c r="E794" s="3" t="str">
        <f aca="false">A794&amp;"|"&amp;B794</f>
        <v>|</v>
      </c>
    </row>
    <row r="795" customFormat="false" ht="15" hidden="false" customHeight="true" outlineLevel="0" collapsed="false">
      <c r="E795" s="3" t="str">
        <f aca="false">A795&amp;"|"&amp;B795</f>
        <v>|</v>
      </c>
    </row>
    <row r="796" customFormat="false" ht="15" hidden="false" customHeight="true" outlineLevel="0" collapsed="false">
      <c r="E796" s="3" t="str">
        <f aca="false">A796&amp;"|"&amp;B796</f>
        <v>|</v>
      </c>
    </row>
    <row r="797" customFormat="false" ht="15" hidden="false" customHeight="true" outlineLevel="0" collapsed="false">
      <c r="E797" s="3" t="str">
        <f aca="false">A797&amp;"|"&amp;B797</f>
        <v>|</v>
      </c>
    </row>
    <row r="798" customFormat="false" ht="15" hidden="false" customHeight="true" outlineLevel="0" collapsed="false">
      <c r="E798" s="3" t="str">
        <f aca="false">A798&amp;"|"&amp;B798</f>
        <v>|</v>
      </c>
    </row>
    <row r="799" customFormat="false" ht="15" hidden="false" customHeight="true" outlineLevel="0" collapsed="false">
      <c r="E799" s="3" t="str">
        <f aca="false">A799&amp;"|"&amp;B799</f>
        <v>|</v>
      </c>
    </row>
    <row r="800" customFormat="false" ht="15" hidden="false" customHeight="true" outlineLevel="0" collapsed="false">
      <c r="E800" s="3" t="str">
        <f aca="false">A800&amp;"|"&amp;B800</f>
        <v>|</v>
      </c>
    </row>
    <row r="801" customFormat="false" ht="15" hidden="false" customHeight="true" outlineLevel="0" collapsed="false">
      <c r="E801" s="3" t="str">
        <f aca="false">A801&amp;"|"&amp;B801</f>
        <v>|</v>
      </c>
    </row>
    <row r="802" customFormat="false" ht="15" hidden="false" customHeight="true" outlineLevel="0" collapsed="false">
      <c r="E802" s="3" t="str">
        <f aca="false">A802&amp;"|"&amp;B802</f>
        <v>|</v>
      </c>
    </row>
    <row r="803" customFormat="false" ht="15" hidden="false" customHeight="true" outlineLevel="0" collapsed="false">
      <c r="E803" s="3" t="str">
        <f aca="false">A803&amp;"|"&amp;B803</f>
        <v>|</v>
      </c>
    </row>
    <row r="804" customFormat="false" ht="15" hidden="false" customHeight="true" outlineLevel="0" collapsed="false">
      <c r="E804" s="3" t="str">
        <f aca="false">A804&amp;"|"&amp;B804</f>
        <v>|</v>
      </c>
    </row>
    <row r="805" customFormat="false" ht="15" hidden="false" customHeight="true" outlineLevel="0" collapsed="false">
      <c r="E805" s="3" t="str">
        <f aca="false">A805&amp;"|"&amp;B805</f>
        <v>|</v>
      </c>
    </row>
    <row r="806" customFormat="false" ht="15" hidden="false" customHeight="true" outlineLevel="0" collapsed="false">
      <c r="E806" s="3" t="str">
        <f aca="false">A806&amp;"|"&amp;B806</f>
        <v>|</v>
      </c>
    </row>
    <row r="807" customFormat="false" ht="15" hidden="false" customHeight="true" outlineLevel="0" collapsed="false">
      <c r="E807" s="3" t="str">
        <f aca="false">A807&amp;"|"&amp;B807</f>
        <v>|</v>
      </c>
    </row>
    <row r="808" customFormat="false" ht="15" hidden="false" customHeight="true" outlineLevel="0" collapsed="false">
      <c r="E808" s="3" t="str">
        <f aca="false">A808&amp;"|"&amp;B808</f>
        <v>|</v>
      </c>
    </row>
    <row r="809" customFormat="false" ht="15" hidden="false" customHeight="true" outlineLevel="0" collapsed="false">
      <c r="E809" s="3" t="str">
        <f aca="false">A809&amp;"|"&amp;B809</f>
        <v>|</v>
      </c>
    </row>
    <row r="810" customFormat="false" ht="15" hidden="false" customHeight="true" outlineLevel="0" collapsed="false">
      <c r="E810" s="3" t="str">
        <f aca="false">A810&amp;"|"&amp;B810</f>
        <v>|</v>
      </c>
    </row>
    <row r="811" customFormat="false" ht="15" hidden="false" customHeight="true" outlineLevel="0" collapsed="false">
      <c r="E811" s="3" t="str">
        <f aca="false">A811&amp;"|"&amp;B811</f>
        <v>|</v>
      </c>
    </row>
    <row r="812" customFormat="false" ht="15" hidden="false" customHeight="true" outlineLevel="0" collapsed="false">
      <c r="E812" s="3" t="str">
        <f aca="false">A812&amp;"|"&amp;B812</f>
        <v>|</v>
      </c>
    </row>
    <row r="813" customFormat="false" ht="15" hidden="false" customHeight="true" outlineLevel="0" collapsed="false">
      <c r="E813" s="3" t="str">
        <f aca="false">A813&amp;"|"&amp;B813</f>
        <v>|</v>
      </c>
    </row>
    <row r="814" customFormat="false" ht="15" hidden="false" customHeight="true" outlineLevel="0" collapsed="false">
      <c r="E814" s="3" t="str">
        <f aca="false">A814&amp;"|"&amp;B814</f>
        <v>|</v>
      </c>
    </row>
    <row r="815" customFormat="false" ht="15" hidden="false" customHeight="true" outlineLevel="0" collapsed="false">
      <c r="E815" s="3" t="str">
        <f aca="false">A815&amp;"|"&amp;B815</f>
        <v>|</v>
      </c>
    </row>
    <row r="816" customFormat="false" ht="15" hidden="false" customHeight="true" outlineLevel="0" collapsed="false">
      <c r="E816" s="3" t="str">
        <f aca="false">A816&amp;"|"&amp;B816</f>
        <v>|</v>
      </c>
    </row>
    <row r="817" customFormat="false" ht="15" hidden="false" customHeight="true" outlineLevel="0" collapsed="false">
      <c r="E817" s="3" t="str">
        <f aca="false">A817&amp;"|"&amp;B817</f>
        <v>|</v>
      </c>
    </row>
    <row r="818" customFormat="false" ht="15" hidden="false" customHeight="true" outlineLevel="0" collapsed="false">
      <c r="E818" s="3" t="str">
        <f aca="false">A818&amp;"|"&amp;B818</f>
        <v>|</v>
      </c>
    </row>
    <row r="819" customFormat="false" ht="15" hidden="false" customHeight="true" outlineLevel="0" collapsed="false">
      <c r="E819" s="3" t="str">
        <f aca="false">A819&amp;"|"&amp;B819</f>
        <v>|</v>
      </c>
    </row>
    <row r="820" customFormat="false" ht="15" hidden="false" customHeight="true" outlineLevel="0" collapsed="false">
      <c r="E820" s="3" t="str">
        <f aca="false">A820&amp;"|"&amp;B820</f>
        <v>|</v>
      </c>
    </row>
    <row r="821" customFormat="false" ht="15" hidden="false" customHeight="true" outlineLevel="0" collapsed="false">
      <c r="E821" s="3" t="str">
        <f aca="false">A821&amp;"|"&amp;B821</f>
        <v>|</v>
      </c>
    </row>
    <row r="822" customFormat="false" ht="15" hidden="false" customHeight="true" outlineLevel="0" collapsed="false">
      <c r="E822" s="3" t="str">
        <f aca="false">A822&amp;"|"&amp;B822</f>
        <v>|</v>
      </c>
    </row>
    <row r="823" customFormat="false" ht="15" hidden="false" customHeight="true" outlineLevel="0" collapsed="false">
      <c r="E823" s="3" t="str">
        <f aca="false">A823&amp;"|"&amp;B823</f>
        <v>|</v>
      </c>
    </row>
    <row r="824" customFormat="false" ht="15" hidden="false" customHeight="true" outlineLevel="0" collapsed="false">
      <c r="E824" s="3" t="str">
        <f aca="false">A824&amp;"|"&amp;B824</f>
        <v>|</v>
      </c>
    </row>
    <row r="825" customFormat="false" ht="15" hidden="false" customHeight="true" outlineLevel="0" collapsed="false">
      <c r="E825" s="3" t="str">
        <f aca="false">A825&amp;"|"&amp;B825</f>
        <v>|</v>
      </c>
    </row>
    <row r="826" customFormat="false" ht="15" hidden="false" customHeight="true" outlineLevel="0" collapsed="false">
      <c r="E826" s="3" t="str">
        <f aca="false">A826&amp;"|"&amp;B826</f>
        <v>|</v>
      </c>
    </row>
    <row r="827" customFormat="false" ht="15" hidden="false" customHeight="true" outlineLevel="0" collapsed="false">
      <c r="E827" s="3" t="str">
        <f aca="false">A827&amp;"|"&amp;B827</f>
        <v>|</v>
      </c>
    </row>
    <row r="828" customFormat="false" ht="15" hidden="false" customHeight="true" outlineLevel="0" collapsed="false">
      <c r="E828" s="3" t="str">
        <f aca="false">A828&amp;"|"&amp;B828</f>
        <v>|</v>
      </c>
    </row>
    <row r="829" customFormat="false" ht="15" hidden="false" customHeight="true" outlineLevel="0" collapsed="false">
      <c r="E829" s="3" t="str">
        <f aca="false">A829&amp;"|"&amp;B829</f>
        <v>|</v>
      </c>
    </row>
    <row r="830" customFormat="false" ht="15" hidden="false" customHeight="true" outlineLevel="0" collapsed="false">
      <c r="E830" s="3" t="str">
        <f aca="false">A830&amp;"|"&amp;B830</f>
        <v>|</v>
      </c>
    </row>
    <row r="831" customFormat="false" ht="15" hidden="false" customHeight="true" outlineLevel="0" collapsed="false">
      <c r="E831" s="3" t="str">
        <f aca="false">A831&amp;"|"&amp;B831</f>
        <v>|</v>
      </c>
    </row>
    <row r="832" customFormat="false" ht="15" hidden="false" customHeight="true" outlineLevel="0" collapsed="false">
      <c r="E832" s="3" t="str">
        <f aca="false">A832&amp;"|"&amp;B832</f>
        <v>|</v>
      </c>
    </row>
    <row r="833" customFormat="false" ht="15" hidden="false" customHeight="true" outlineLevel="0" collapsed="false">
      <c r="E833" s="3" t="str">
        <f aca="false">A833&amp;"|"&amp;B833</f>
        <v>|</v>
      </c>
    </row>
    <row r="834" customFormat="false" ht="15" hidden="false" customHeight="true" outlineLevel="0" collapsed="false">
      <c r="E834" s="3" t="str">
        <f aca="false">A834&amp;"|"&amp;B834</f>
        <v>|</v>
      </c>
    </row>
    <row r="835" customFormat="false" ht="15" hidden="false" customHeight="true" outlineLevel="0" collapsed="false">
      <c r="E835" s="3" t="str">
        <f aca="false">A835&amp;"|"&amp;B835</f>
        <v>|</v>
      </c>
    </row>
    <row r="836" customFormat="false" ht="15" hidden="false" customHeight="true" outlineLevel="0" collapsed="false">
      <c r="E836" s="3" t="str">
        <f aca="false">A836&amp;"|"&amp;B836</f>
        <v>|</v>
      </c>
    </row>
    <row r="837" customFormat="false" ht="15" hidden="false" customHeight="true" outlineLevel="0" collapsed="false">
      <c r="E837" s="3" t="str">
        <f aca="false">A837&amp;"|"&amp;B837</f>
        <v>|</v>
      </c>
    </row>
    <row r="838" customFormat="false" ht="15" hidden="false" customHeight="true" outlineLevel="0" collapsed="false">
      <c r="E838" s="3" t="str">
        <f aca="false">A838&amp;"|"&amp;B838</f>
        <v>|</v>
      </c>
    </row>
    <row r="839" customFormat="false" ht="15" hidden="false" customHeight="true" outlineLevel="0" collapsed="false">
      <c r="E839" s="3" t="str">
        <f aca="false">A839&amp;"|"&amp;B839</f>
        <v>|</v>
      </c>
    </row>
    <row r="840" customFormat="false" ht="15" hidden="false" customHeight="true" outlineLevel="0" collapsed="false">
      <c r="E840" s="3" t="str">
        <f aca="false">A840&amp;"|"&amp;B840</f>
        <v>|</v>
      </c>
    </row>
    <row r="841" customFormat="false" ht="15" hidden="false" customHeight="true" outlineLevel="0" collapsed="false">
      <c r="E841" s="3" t="str">
        <f aca="false">A841&amp;"|"&amp;B841</f>
        <v>|</v>
      </c>
    </row>
    <row r="842" customFormat="false" ht="15" hidden="false" customHeight="true" outlineLevel="0" collapsed="false">
      <c r="E842" s="3" t="str">
        <f aca="false">A842&amp;"|"&amp;B842</f>
        <v>|</v>
      </c>
    </row>
    <row r="843" customFormat="false" ht="15" hidden="false" customHeight="true" outlineLevel="0" collapsed="false">
      <c r="E843" s="3" t="str">
        <f aca="false">A843&amp;"|"&amp;B843</f>
        <v>|</v>
      </c>
    </row>
    <row r="844" customFormat="false" ht="15" hidden="false" customHeight="true" outlineLevel="0" collapsed="false">
      <c r="E844" s="3" t="str">
        <f aca="false">A844&amp;"|"&amp;B844</f>
        <v>|</v>
      </c>
    </row>
    <row r="845" customFormat="false" ht="15" hidden="false" customHeight="true" outlineLevel="0" collapsed="false">
      <c r="E845" s="3" t="str">
        <f aca="false">A845&amp;"|"&amp;B845</f>
        <v>|</v>
      </c>
    </row>
    <row r="846" customFormat="false" ht="15" hidden="false" customHeight="true" outlineLevel="0" collapsed="false">
      <c r="E846" s="3" t="str">
        <f aca="false">A846&amp;"|"&amp;B846</f>
        <v>|</v>
      </c>
    </row>
    <row r="847" customFormat="false" ht="15" hidden="false" customHeight="true" outlineLevel="0" collapsed="false">
      <c r="E847" s="3" t="str">
        <f aca="false">A847&amp;"|"&amp;B847</f>
        <v>|</v>
      </c>
    </row>
    <row r="848" customFormat="false" ht="15" hidden="false" customHeight="true" outlineLevel="0" collapsed="false">
      <c r="E848" s="3" t="str">
        <f aca="false">A848&amp;"|"&amp;B848</f>
        <v>|</v>
      </c>
    </row>
    <row r="849" customFormat="false" ht="15" hidden="false" customHeight="true" outlineLevel="0" collapsed="false">
      <c r="E849" s="3" t="str">
        <f aca="false">A849&amp;"|"&amp;B849</f>
        <v>|</v>
      </c>
    </row>
    <row r="850" customFormat="false" ht="15" hidden="false" customHeight="true" outlineLevel="0" collapsed="false">
      <c r="E850" s="3" t="str">
        <f aca="false">A850&amp;"|"&amp;B850</f>
        <v>|</v>
      </c>
    </row>
    <row r="851" customFormat="false" ht="15" hidden="false" customHeight="true" outlineLevel="0" collapsed="false">
      <c r="E851" s="3" t="str">
        <f aca="false">A851&amp;"|"&amp;B851</f>
        <v>|</v>
      </c>
    </row>
    <row r="852" customFormat="false" ht="15" hidden="false" customHeight="true" outlineLevel="0" collapsed="false">
      <c r="E852" s="3" t="str">
        <f aca="false">A852&amp;"|"&amp;B852</f>
        <v>|</v>
      </c>
    </row>
    <row r="853" customFormat="false" ht="15" hidden="false" customHeight="true" outlineLevel="0" collapsed="false">
      <c r="E853" s="3" t="str">
        <f aca="false">A853&amp;"|"&amp;B853</f>
        <v>|</v>
      </c>
    </row>
    <row r="854" customFormat="false" ht="15" hidden="false" customHeight="true" outlineLevel="0" collapsed="false">
      <c r="E854" s="3" t="str">
        <f aca="false">A854&amp;"|"&amp;B854</f>
        <v>|</v>
      </c>
    </row>
    <row r="855" customFormat="false" ht="15" hidden="false" customHeight="true" outlineLevel="0" collapsed="false">
      <c r="E855" s="3" t="str">
        <f aca="false">A855&amp;"|"&amp;B855</f>
        <v>|</v>
      </c>
    </row>
    <row r="856" customFormat="false" ht="15" hidden="false" customHeight="true" outlineLevel="0" collapsed="false">
      <c r="E856" s="3" t="str">
        <f aca="false">A856&amp;"|"&amp;B856</f>
        <v>|</v>
      </c>
    </row>
    <row r="857" customFormat="false" ht="15" hidden="false" customHeight="true" outlineLevel="0" collapsed="false">
      <c r="E857" s="3" t="str">
        <f aca="false">A857&amp;"|"&amp;B857</f>
        <v>|</v>
      </c>
    </row>
    <row r="858" customFormat="false" ht="15" hidden="false" customHeight="true" outlineLevel="0" collapsed="false">
      <c r="E858" s="3" t="str">
        <f aca="false">A858&amp;"|"&amp;B858</f>
        <v>|</v>
      </c>
    </row>
    <row r="859" customFormat="false" ht="15" hidden="false" customHeight="true" outlineLevel="0" collapsed="false">
      <c r="E859" s="3" t="str">
        <f aca="false">A859&amp;"|"&amp;B859</f>
        <v>|</v>
      </c>
    </row>
    <row r="860" customFormat="false" ht="15" hidden="false" customHeight="true" outlineLevel="0" collapsed="false">
      <c r="E860" s="3" t="str">
        <f aca="false">A860&amp;"|"&amp;B860</f>
        <v>|</v>
      </c>
    </row>
    <row r="861" customFormat="false" ht="15" hidden="false" customHeight="true" outlineLevel="0" collapsed="false">
      <c r="E861" s="3" t="str">
        <f aca="false">A861&amp;"|"&amp;B861</f>
        <v>|</v>
      </c>
    </row>
    <row r="862" customFormat="false" ht="15" hidden="false" customHeight="true" outlineLevel="0" collapsed="false">
      <c r="E862" s="3" t="str">
        <f aca="false">A862&amp;"|"&amp;B862</f>
        <v>|</v>
      </c>
    </row>
    <row r="863" customFormat="false" ht="15" hidden="false" customHeight="true" outlineLevel="0" collapsed="false">
      <c r="E863" s="3" t="str">
        <f aca="false">A863&amp;"|"&amp;B863</f>
        <v>|</v>
      </c>
    </row>
    <row r="864" customFormat="false" ht="15" hidden="false" customHeight="true" outlineLevel="0" collapsed="false">
      <c r="E864" s="3" t="str">
        <f aca="false">A864&amp;"|"&amp;B864</f>
        <v>|</v>
      </c>
    </row>
    <row r="865" customFormat="false" ht="15" hidden="false" customHeight="true" outlineLevel="0" collapsed="false">
      <c r="E865" s="3" t="str">
        <f aca="false">A865&amp;"|"&amp;B865</f>
        <v>|</v>
      </c>
    </row>
    <row r="866" customFormat="false" ht="15" hidden="false" customHeight="true" outlineLevel="0" collapsed="false">
      <c r="E866" s="3" t="str">
        <f aca="false">A866&amp;"|"&amp;B866</f>
        <v>|</v>
      </c>
    </row>
    <row r="867" customFormat="false" ht="15" hidden="false" customHeight="true" outlineLevel="0" collapsed="false">
      <c r="E867" s="3" t="str">
        <f aca="false">A867&amp;"|"&amp;B867</f>
        <v>|</v>
      </c>
    </row>
    <row r="868" customFormat="false" ht="15" hidden="false" customHeight="true" outlineLevel="0" collapsed="false">
      <c r="E868" s="3" t="str">
        <f aca="false">A868&amp;"|"&amp;B868</f>
        <v>|</v>
      </c>
    </row>
    <row r="869" customFormat="false" ht="15" hidden="false" customHeight="true" outlineLevel="0" collapsed="false">
      <c r="E869" s="3" t="str">
        <f aca="false">A869&amp;"|"&amp;B869</f>
        <v>|</v>
      </c>
    </row>
    <row r="870" customFormat="false" ht="15" hidden="false" customHeight="true" outlineLevel="0" collapsed="false">
      <c r="E870" s="3" t="str">
        <f aca="false">A870&amp;"|"&amp;B870</f>
        <v>|</v>
      </c>
    </row>
    <row r="871" customFormat="false" ht="15" hidden="false" customHeight="true" outlineLevel="0" collapsed="false">
      <c r="E871" s="3" t="str">
        <f aca="false">A871&amp;"|"&amp;B871</f>
        <v>|</v>
      </c>
    </row>
    <row r="872" customFormat="false" ht="15" hidden="false" customHeight="true" outlineLevel="0" collapsed="false">
      <c r="E872" s="3" t="str">
        <f aca="false">A872&amp;"|"&amp;B872</f>
        <v>|</v>
      </c>
    </row>
    <row r="873" customFormat="false" ht="15" hidden="false" customHeight="true" outlineLevel="0" collapsed="false">
      <c r="E873" s="3" t="str">
        <f aca="false">A873&amp;"|"&amp;B873</f>
        <v>|</v>
      </c>
    </row>
    <row r="874" customFormat="false" ht="15" hidden="false" customHeight="true" outlineLevel="0" collapsed="false">
      <c r="E874" s="3" t="str">
        <f aca="false">A874&amp;"|"&amp;B874</f>
        <v>|</v>
      </c>
    </row>
    <row r="875" customFormat="false" ht="15" hidden="false" customHeight="true" outlineLevel="0" collapsed="false">
      <c r="E875" s="3" t="str">
        <f aca="false">A875&amp;"|"&amp;B875</f>
        <v>|</v>
      </c>
    </row>
    <row r="876" customFormat="false" ht="15" hidden="false" customHeight="true" outlineLevel="0" collapsed="false">
      <c r="E876" s="3" t="str">
        <f aca="false">A876&amp;"|"&amp;B876</f>
        <v>|</v>
      </c>
    </row>
    <row r="877" customFormat="false" ht="15" hidden="false" customHeight="true" outlineLevel="0" collapsed="false">
      <c r="E877" s="3" t="str">
        <f aca="false">A877&amp;"|"&amp;B877</f>
        <v>|</v>
      </c>
    </row>
    <row r="878" customFormat="false" ht="15" hidden="false" customHeight="true" outlineLevel="0" collapsed="false">
      <c r="E878" s="3" t="str">
        <f aca="false">A878&amp;"|"&amp;B878</f>
        <v>|</v>
      </c>
    </row>
    <row r="879" customFormat="false" ht="15" hidden="false" customHeight="true" outlineLevel="0" collapsed="false">
      <c r="E879" s="3" t="str">
        <f aca="false">A879&amp;"|"&amp;B879</f>
        <v>|</v>
      </c>
    </row>
    <row r="880" customFormat="false" ht="15" hidden="false" customHeight="true" outlineLevel="0" collapsed="false">
      <c r="E880" s="3" t="str">
        <f aca="false">A880&amp;"|"&amp;B880</f>
        <v>|</v>
      </c>
    </row>
    <row r="881" customFormat="false" ht="15" hidden="false" customHeight="true" outlineLevel="0" collapsed="false">
      <c r="E881" s="3" t="str">
        <f aca="false">A881&amp;"|"&amp;B881</f>
        <v>|</v>
      </c>
    </row>
    <row r="882" customFormat="false" ht="15" hidden="false" customHeight="true" outlineLevel="0" collapsed="false">
      <c r="E882" s="3" t="str">
        <f aca="false">A882&amp;"|"&amp;B882</f>
        <v>|</v>
      </c>
    </row>
    <row r="883" customFormat="false" ht="15" hidden="false" customHeight="true" outlineLevel="0" collapsed="false">
      <c r="E883" s="3" t="str">
        <f aca="false">A883&amp;"|"&amp;B883</f>
        <v>|</v>
      </c>
    </row>
    <row r="884" customFormat="false" ht="15" hidden="false" customHeight="true" outlineLevel="0" collapsed="false">
      <c r="E884" s="3" t="str">
        <f aca="false">A884&amp;"|"&amp;B884</f>
        <v>|</v>
      </c>
    </row>
    <row r="885" customFormat="false" ht="15" hidden="false" customHeight="true" outlineLevel="0" collapsed="false">
      <c r="E885" s="3" t="str">
        <f aca="false">A885&amp;"|"&amp;B885</f>
        <v>|</v>
      </c>
    </row>
    <row r="886" customFormat="false" ht="15" hidden="false" customHeight="true" outlineLevel="0" collapsed="false">
      <c r="E886" s="3" t="str">
        <f aca="false">A886&amp;"|"&amp;B886</f>
        <v>|</v>
      </c>
    </row>
    <row r="887" customFormat="false" ht="15" hidden="false" customHeight="true" outlineLevel="0" collapsed="false">
      <c r="E887" s="3" t="str">
        <f aca="false">A887&amp;"|"&amp;B887</f>
        <v>|</v>
      </c>
    </row>
    <row r="888" customFormat="false" ht="15" hidden="false" customHeight="true" outlineLevel="0" collapsed="false">
      <c r="E888" s="3" t="str">
        <f aca="false">A888&amp;"|"&amp;B888</f>
        <v>|</v>
      </c>
    </row>
    <row r="889" customFormat="false" ht="15" hidden="false" customHeight="true" outlineLevel="0" collapsed="false">
      <c r="E889" s="3" t="str">
        <f aca="false">A889&amp;"|"&amp;B889</f>
        <v>|</v>
      </c>
    </row>
    <row r="890" customFormat="false" ht="15" hidden="false" customHeight="true" outlineLevel="0" collapsed="false">
      <c r="E890" s="3" t="str">
        <f aca="false">A890&amp;"|"&amp;B890</f>
        <v>|</v>
      </c>
    </row>
    <row r="891" customFormat="false" ht="15" hidden="false" customHeight="true" outlineLevel="0" collapsed="false">
      <c r="E891" s="3" t="str">
        <f aca="false">A891&amp;"|"&amp;B891</f>
        <v>|</v>
      </c>
    </row>
    <row r="892" customFormat="false" ht="15" hidden="false" customHeight="true" outlineLevel="0" collapsed="false">
      <c r="E892" s="3" t="str">
        <f aca="false">A892&amp;"|"&amp;B892</f>
        <v>|</v>
      </c>
    </row>
    <row r="893" customFormat="false" ht="15" hidden="false" customHeight="true" outlineLevel="0" collapsed="false">
      <c r="E893" s="3" t="str">
        <f aca="false">A893&amp;"|"&amp;B893</f>
        <v>|</v>
      </c>
    </row>
    <row r="894" customFormat="false" ht="15" hidden="false" customHeight="true" outlineLevel="0" collapsed="false">
      <c r="E894" s="3" t="str">
        <f aca="false">A894&amp;"|"&amp;B894</f>
        <v>|</v>
      </c>
    </row>
    <row r="895" customFormat="false" ht="15" hidden="false" customHeight="true" outlineLevel="0" collapsed="false">
      <c r="E895" s="3" t="str">
        <f aca="false">A895&amp;"|"&amp;B895</f>
        <v>|</v>
      </c>
    </row>
    <row r="896" customFormat="false" ht="15" hidden="false" customHeight="true" outlineLevel="0" collapsed="false">
      <c r="E896" s="3" t="str">
        <f aca="false">A896&amp;"|"&amp;B896</f>
        <v>|</v>
      </c>
    </row>
    <row r="897" customFormat="false" ht="15" hidden="false" customHeight="true" outlineLevel="0" collapsed="false">
      <c r="E897" s="3" t="str">
        <f aca="false">A897&amp;"|"&amp;B897</f>
        <v>|</v>
      </c>
    </row>
    <row r="898" customFormat="false" ht="15" hidden="false" customHeight="true" outlineLevel="0" collapsed="false">
      <c r="E898" s="3" t="str">
        <f aca="false">A898&amp;"|"&amp;B898</f>
        <v>|</v>
      </c>
    </row>
    <row r="899" customFormat="false" ht="15" hidden="false" customHeight="true" outlineLevel="0" collapsed="false">
      <c r="E899" s="3" t="str">
        <f aca="false">A899&amp;"|"&amp;B899</f>
        <v>|</v>
      </c>
    </row>
    <row r="900" customFormat="false" ht="15" hidden="false" customHeight="true" outlineLevel="0" collapsed="false">
      <c r="E900" s="3" t="str">
        <f aca="false">A900&amp;"|"&amp;B900</f>
        <v>|</v>
      </c>
    </row>
    <row r="901" customFormat="false" ht="15" hidden="false" customHeight="true" outlineLevel="0" collapsed="false">
      <c r="E901" s="3" t="str">
        <f aca="false">A901&amp;"|"&amp;B901</f>
        <v>|</v>
      </c>
    </row>
    <row r="902" customFormat="false" ht="15" hidden="false" customHeight="true" outlineLevel="0" collapsed="false">
      <c r="E902" s="3" t="str">
        <f aca="false">A902&amp;"|"&amp;B902</f>
        <v>|</v>
      </c>
    </row>
    <row r="903" customFormat="false" ht="15" hidden="false" customHeight="true" outlineLevel="0" collapsed="false">
      <c r="E903" s="3" t="str">
        <f aca="false">A903&amp;"|"&amp;B903</f>
        <v>|</v>
      </c>
    </row>
    <row r="904" customFormat="false" ht="15" hidden="false" customHeight="true" outlineLevel="0" collapsed="false">
      <c r="E904" s="3" t="str">
        <f aca="false">A904&amp;"|"&amp;B904</f>
        <v>|</v>
      </c>
    </row>
    <row r="905" customFormat="false" ht="15" hidden="false" customHeight="true" outlineLevel="0" collapsed="false">
      <c r="E905" s="3" t="str">
        <f aca="false">A905&amp;"|"&amp;B905</f>
        <v>|</v>
      </c>
    </row>
    <row r="906" customFormat="false" ht="15" hidden="false" customHeight="true" outlineLevel="0" collapsed="false">
      <c r="E906" s="3" t="str">
        <f aca="false">A906&amp;"|"&amp;B906</f>
        <v>|</v>
      </c>
    </row>
    <row r="907" customFormat="false" ht="15" hidden="false" customHeight="true" outlineLevel="0" collapsed="false">
      <c r="E907" s="3" t="str">
        <f aca="false">A907&amp;"|"&amp;B907</f>
        <v>|</v>
      </c>
    </row>
    <row r="908" customFormat="false" ht="15" hidden="false" customHeight="true" outlineLevel="0" collapsed="false">
      <c r="E908" s="3" t="str">
        <f aca="false">A908&amp;"|"&amp;B908</f>
        <v>|</v>
      </c>
    </row>
    <row r="909" customFormat="false" ht="15" hidden="false" customHeight="true" outlineLevel="0" collapsed="false">
      <c r="E909" s="3" t="str">
        <f aca="false">A909&amp;"|"&amp;B909</f>
        <v>|</v>
      </c>
    </row>
    <row r="910" customFormat="false" ht="15" hidden="false" customHeight="true" outlineLevel="0" collapsed="false">
      <c r="E910" s="3" t="str">
        <f aca="false">A910&amp;"|"&amp;B910</f>
        <v>|</v>
      </c>
    </row>
    <row r="911" customFormat="false" ht="15" hidden="false" customHeight="true" outlineLevel="0" collapsed="false">
      <c r="E911" s="3" t="str">
        <f aca="false">A911&amp;"|"&amp;B911</f>
        <v>|</v>
      </c>
    </row>
    <row r="912" customFormat="false" ht="15" hidden="false" customHeight="true" outlineLevel="0" collapsed="false">
      <c r="E912" s="3" t="str">
        <f aca="false">A912&amp;"|"&amp;B912</f>
        <v>|</v>
      </c>
    </row>
    <row r="913" customFormat="false" ht="15" hidden="false" customHeight="true" outlineLevel="0" collapsed="false">
      <c r="E913" s="3" t="str">
        <f aca="false">A913&amp;"|"&amp;B913</f>
        <v>|</v>
      </c>
    </row>
    <row r="914" customFormat="false" ht="15" hidden="false" customHeight="true" outlineLevel="0" collapsed="false">
      <c r="E914" s="3" t="str">
        <f aca="false">A914&amp;"|"&amp;B914</f>
        <v>|</v>
      </c>
    </row>
    <row r="915" customFormat="false" ht="15" hidden="false" customHeight="true" outlineLevel="0" collapsed="false">
      <c r="E915" s="3" t="str">
        <f aca="false">A915&amp;"|"&amp;B915</f>
        <v>|</v>
      </c>
    </row>
    <row r="916" customFormat="false" ht="15" hidden="false" customHeight="true" outlineLevel="0" collapsed="false">
      <c r="E916" s="3" t="str">
        <f aca="false">A916&amp;"|"&amp;B916</f>
        <v>|</v>
      </c>
    </row>
    <row r="917" customFormat="false" ht="15" hidden="false" customHeight="true" outlineLevel="0" collapsed="false">
      <c r="E917" s="3" t="str">
        <f aca="false">A917&amp;"|"&amp;B917</f>
        <v>|</v>
      </c>
    </row>
    <row r="918" customFormat="false" ht="15" hidden="false" customHeight="true" outlineLevel="0" collapsed="false">
      <c r="E918" s="3" t="str">
        <f aca="false">A918&amp;"|"&amp;B918</f>
        <v>|</v>
      </c>
    </row>
    <row r="919" customFormat="false" ht="15" hidden="false" customHeight="true" outlineLevel="0" collapsed="false">
      <c r="E919" s="3" t="str">
        <f aca="false">A919&amp;"|"&amp;B919</f>
        <v>|</v>
      </c>
    </row>
    <row r="920" customFormat="false" ht="15" hidden="false" customHeight="true" outlineLevel="0" collapsed="false">
      <c r="E920" s="3" t="str">
        <f aca="false">A920&amp;"|"&amp;B920</f>
        <v>|</v>
      </c>
    </row>
    <row r="921" customFormat="false" ht="15" hidden="false" customHeight="true" outlineLevel="0" collapsed="false">
      <c r="E921" s="3" t="str">
        <f aca="false">A921&amp;"|"&amp;B921</f>
        <v>|</v>
      </c>
    </row>
    <row r="922" customFormat="false" ht="15" hidden="false" customHeight="true" outlineLevel="0" collapsed="false">
      <c r="E922" s="3" t="str">
        <f aca="false">A922&amp;"|"&amp;B922</f>
        <v>|</v>
      </c>
    </row>
    <row r="923" customFormat="false" ht="15" hidden="false" customHeight="true" outlineLevel="0" collapsed="false">
      <c r="E923" s="3" t="str">
        <f aca="false">A923&amp;"|"&amp;B923</f>
        <v>|</v>
      </c>
    </row>
    <row r="924" customFormat="false" ht="15" hidden="false" customHeight="true" outlineLevel="0" collapsed="false">
      <c r="E924" s="3" t="str">
        <f aca="false">A924&amp;"|"&amp;B924</f>
        <v>|</v>
      </c>
    </row>
    <row r="925" customFormat="false" ht="15" hidden="false" customHeight="true" outlineLevel="0" collapsed="false">
      <c r="E925" s="3" t="str">
        <f aca="false">A925&amp;"|"&amp;B925</f>
        <v>|</v>
      </c>
    </row>
    <row r="926" customFormat="false" ht="15" hidden="false" customHeight="true" outlineLevel="0" collapsed="false">
      <c r="E926" s="3" t="str">
        <f aca="false">A926&amp;"|"&amp;B926</f>
        <v>|</v>
      </c>
    </row>
    <row r="927" customFormat="false" ht="15" hidden="false" customHeight="true" outlineLevel="0" collapsed="false">
      <c r="E927" s="3" t="str">
        <f aca="false">A927&amp;"|"&amp;B927</f>
        <v>|</v>
      </c>
    </row>
    <row r="928" customFormat="false" ht="15" hidden="false" customHeight="true" outlineLevel="0" collapsed="false">
      <c r="E928" s="3" t="str">
        <f aca="false">A928&amp;"|"&amp;B928</f>
        <v>|</v>
      </c>
    </row>
    <row r="929" customFormat="false" ht="15" hidden="false" customHeight="true" outlineLevel="0" collapsed="false">
      <c r="E929" s="3" t="str">
        <f aca="false">A929&amp;"|"&amp;B929</f>
        <v>|</v>
      </c>
    </row>
    <row r="930" customFormat="false" ht="15" hidden="false" customHeight="true" outlineLevel="0" collapsed="false">
      <c r="E930" s="3" t="str">
        <f aca="false">A930&amp;"|"&amp;B930</f>
        <v>|</v>
      </c>
    </row>
    <row r="931" customFormat="false" ht="15" hidden="false" customHeight="true" outlineLevel="0" collapsed="false">
      <c r="E931" s="3" t="str">
        <f aca="false">A931&amp;"|"&amp;B931</f>
        <v>|</v>
      </c>
    </row>
    <row r="932" customFormat="false" ht="15" hidden="false" customHeight="true" outlineLevel="0" collapsed="false">
      <c r="E932" s="3" t="str">
        <f aca="false">A932&amp;"|"&amp;B932</f>
        <v>|</v>
      </c>
    </row>
    <row r="933" customFormat="false" ht="15" hidden="false" customHeight="true" outlineLevel="0" collapsed="false">
      <c r="E933" s="3" t="str">
        <f aca="false">A933&amp;"|"&amp;B933</f>
        <v>|</v>
      </c>
    </row>
    <row r="934" customFormat="false" ht="15" hidden="false" customHeight="true" outlineLevel="0" collapsed="false">
      <c r="E934" s="3" t="str">
        <f aca="false">A934&amp;"|"&amp;B934</f>
        <v>|</v>
      </c>
    </row>
    <row r="935" customFormat="false" ht="15" hidden="false" customHeight="true" outlineLevel="0" collapsed="false">
      <c r="E935" s="3" t="str">
        <f aca="false">A935&amp;"|"&amp;B935</f>
        <v>|</v>
      </c>
    </row>
    <row r="936" customFormat="false" ht="15" hidden="false" customHeight="true" outlineLevel="0" collapsed="false">
      <c r="E936" s="3" t="str">
        <f aca="false">A936&amp;"|"&amp;B936</f>
        <v>|</v>
      </c>
    </row>
    <row r="937" customFormat="false" ht="15" hidden="false" customHeight="true" outlineLevel="0" collapsed="false">
      <c r="E937" s="3" t="str">
        <f aca="false">A937&amp;"|"&amp;B937</f>
        <v>|</v>
      </c>
    </row>
    <row r="938" customFormat="false" ht="15" hidden="false" customHeight="true" outlineLevel="0" collapsed="false">
      <c r="E938" s="3" t="str">
        <f aca="false">A938&amp;"|"&amp;B938</f>
        <v>|</v>
      </c>
    </row>
    <row r="939" customFormat="false" ht="15" hidden="false" customHeight="true" outlineLevel="0" collapsed="false">
      <c r="E939" s="3" t="str">
        <f aca="false">A939&amp;"|"&amp;B939</f>
        <v>|</v>
      </c>
    </row>
    <row r="940" customFormat="false" ht="15" hidden="false" customHeight="true" outlineLevel="0" collapsed="false">
      <c r="E940" s="3" t="str">
        <f aca="false">A940&amp;"|"&amp;B940</f>
        <v>|</v>
      </c>
    </row>
    <row r="941" customFormat="false" ht="15" hidden="false" customHeight="true" outlineLevel="0" collapsed="false">
      <c r="E941" s="3" t="str">
        <f aca="false">A941&amp;"|"&amp;B941</f>
        <v>|</v>
      </c>
    </row>
    <row r="942" customFormat="false" ht="15" hidden="false" customHeight="true" outlineLevel="0" collapsed="false">
      <c r="E942" s="3" t="str">
        <f aca="false">A942&amp;"|"&amp;B942</f>
        <v>|</v>
      </c>
    </row>
    <row r="943" customFormat="false" ht="15" hidden="false" customHeight="true" outlineLevel="0" collapsed="false">
      <c r="E943" s="3" t="str">
        <f aca="false">A943&amp;"|"&amp;B943</f>
        <v>|</v>
      </c>
    </row>
    <row r="944" customFormat="false" ht="15" hidden="false" customHeight="true" outlineLevel="0" collapsed="false">
      <c r="E944" s="3" t="str">
        <f aca="false">A944&amp;"|"&amp;B944</f>
        <v>|</v>
      </c>
    </row>
    <row r="945" customFormat="false" ht="15" hidden="false" customHeight="true" outlineLevel="0" collapsed="false">
      <c r="E945" s="3" t="str">
        <f aca="false">A945&amp;"|"&amp;B945</f>
        <v>|</v>
      </c>
    </row>
    <row r="946" customFormat="false" ht="15" hidden="false" customHeight="true" outlineLevel="0" collapsed="false">
      <c r="E946" s="3" t="str">
        <f aca="false">A946&amp;"|"&amp;B946</f>
        <v>|</v>
      </c>
    </row>
    <row r="947" customFormat="false" ht="15" hidden="false" customHeight="true" outlineLevel="0" collapsed="false">
      <c r="E947" s="3" t="str">
        <f aca="false">A947&amp;"|"&amp;B947</f>
        <v>|</v>
      </c>
    </row>
    <row r="948" customFormat="false" ht="15" hidden="false" customHeight="true" outlineLevel="0" collapsed="false">
      <c r="E948" s="3" t="str">
        <f aca="false">A948&amp;"|"&amp;B948</f>
        <v>|</v>
      </c>
    </row>
    <row r="949" customFormat="false" ht="15" hidden="false" customHeight="true" outlineLevel="0" collapsed="false">
      <c r="E949" s="3" t="str">
        <f aca="false">A949&amp;"|"&amp;B949</f>
        <v>|</v>
      </c>
    </row>
    <row r="950" customFormat="false" ht="15" hidden="false" customHeight="true" outlineLevel="0" collapsed="false">
      <c r="E950" s="3" t="str">
        <f aca="false">A950&amp;"|"&amp;B950</f>
        <v>|</v>
      </c>
    </row>
    <row r="951" customFormat="false" ht="15" hidden="false" customHeight="true" outlineLevel="0" collapsed="false">
      <c r="E951" s="3" t="str">
        <f aca="false">A951&amp;"|"&amp;B951</f>
        <v>|</v>
      </c>
    </row>
    <row r="952" customFormat="false" ht="15" hidden="false" customHeight="true" outlineLevel="0" collapsed="false">
      <c r="E952" s="3" t="str">
        <f aca="false">A952&amp;"|"&amp;B952</f>
        <v>|</v>
      </c>
    </row>
    <row r="953" customFormat="false" ht="15" hidden="false" customHeight="true" outlineLevel="0" collapsed="false">
      <c r="E953" s="3" t="str">
        <f aca="false">A953&amp;"|"&amp;B953</f>
        <v>|</v>
      </c>
    </row>
    <row r="954" customFormat="false" ht="15" hidden="false" customHeight="true" outlineLevel="0" collapsed="false">
      <c r="E954" s="3" t="str">
        <f aca="false">A954&amp;"|"&amp;B954</f>
        <v>|</v>
      </c>
    </row>
    <row r="955" customFormat="false" ht="15" hidden="false" customHeight="true" outlineLevel="0" collapsed="false">
      <c r="E955" s="3" t="str">
        <f aca="false">A955&amp;"|"&amp;B955</f>
        <v>|</v>
      </c>
    </row>
    <row r="956" customFormat="false" ht="15" hidden="false" customHeight="true" outlineLevel="0" collapsed="false">
      <c r="E956" s="3" t="str">
        <f aca="false">A956&amp;"|"&amp;B956</f>
        <v>|</v>
      </c>
    </row>
    <row r="957" customFormat="false" ht="15" hidden="false" customHeight="true" outlineLevel="0" collapsed="false">
      <c r="E957" s="3" t="str">
        <f aca="false">A957&amp;"|"&amp;B957</f>
        <v>|</v>
      </c>
    </row>
    <row r="958" customFormat="false" ht="15" hidden="false" customHeight="true" outlineLevel="0" collapsed="false">
      <c r="E958" s="3" t="str">
        <f aca="false">A958&amp;"|"&amp;B958</f>
        <v>|</v>
      </c>
    </row>
    <row r="959" customFormat="false" ht="15" hidden="false" customHeight="true" outlineLevel="0" collapsed="false">
      <c r="E959" s="3" t="str">
        <f aca="false">A959&amp;"|"&amp;B959</f>
        <v>|</v>
      </c>
    </row>
    <row r="960" customFormat="false" ht="15" hidden="false" customHeight="true" outlineLevel="0" collapsed="false">
      <c r="E960" s="3" t="str">
        <f aca="false">A960&amp;"|"&amp;B960</f>
        <v>|</v>
      </c>
    </row>
    <row r="961" customFormat="false" ht="15" hidden="false" customHeight="true" outlineLevel="0" collapsed="false">
      <c r="E961" s="3" t="str">
        <f aca="false">A961&amp;"|"&amp;B961</f>
        <v>|</v>
      </c>
    </row>
    <row r="962" customFormat="false" ht="15" hidden="false" customHeight="true" outlineLevel="0" collapsed="false">
      <c r="E962" s="3" t="str">
        <f aca="false">A962&amp;"|"&amp;B962</f>
        <v>|</v>
      </c>
    </row>
    <row r="963" customFormat="false" ht="15" hidden="false" customHeight="true" outlineLevel="0" collapsed="false">
      <c r="E963" s="3" t="str">
        <f aca="false">A963&amp;"|"&amp;B963</f>
        <v>|</v>
      </c>
    </row>
    <row r="964" customFormat="false" ht="15" hidden="false" customHeight="true" outlineLevel="0" collapsed="false">
      <c r="E964" s="3" t="str">
        <f aca="false">A964&amp;"|"&amp;B964</f>
        <v>|</v>
      </c>
    </row>
    <row r="965" customFormat="false" ht="15" hidden="false" customHeight="true" outlineLevel="0" collapsed="false">
      <c r="E965" s="3" t="str">
        <f aca="false">A965&amp;"|"&amp;B965</f>
        <v>|</v>
      </c>
    </row>
    <row r="966" customFormat="false" ht="15" hidden="false" customHeight="true" outlineLevel="0" collapsed="false">
      <c r="E966" s="3" t="str">
        <f aca="false">A966&amp;"|"&amp;B966</f>
        <v>|</v>
      </c>
    </row>
    <row r="967" customFormat="false" ht="15" hidden="false" customHeight="true" outlineLevel="0" collapsed="false">
      <c r="E967" s="3" t="str">
        <f aca="false">A967&amp;"|"&amp;B967</f>
        <v>|</v>
      </c>
    </row>
    <row r="968" customFormat="false" ht="15" hidden="false" customHeight="true" outlineLevel="0" collapsed="false">
      <c r="E968" s="3" t="str">
        <f aca="false">A968&amp;"|"&amp;B968</f>
        <v>|</v>
      </c>
    </row>
    <row r="969" customFormat="false" ht="15" hidden="false" customHeight="true" outlineLevel="0" collapsed="false">
      <c r="E969" s="3" t="str">
        <f aca="false">A969&amp;"|"&amp;B969</f>
        <v>|</v>
      </c>
    </row>
    <row r="970" customFormat="false" ht="15" hidden="false" customHeight="true" outlineLevel="0" collapsed="false">
      <c r="E970" s="3" t="str">
        <f aca="false">A970&amp;"|"&amp;B970</f>
        <v>|</v>
      </c>
    </row>
    <row r="971" customFormat="false" ht="15" hidden="false" customHeight="true" outlineLevel="0" collapsed="false">
      <c r="E971" s="3" t="str">
        <f aca="false">A971&amp;"|"&amp;B971</f>
        <v>|</v>
      </c>
    </row>
    <row r="972" customFormat="false" ht="15" hidden="false" customHeight="true" outlineLevel="0" collapsed="false">
      <c r="E972" s="3" t="str">
        <f aca="false">A972&amp;"|"&amp;B972</f>
        <v>|</v>
      </c>
    </row>
    <row r="973" customFormat="false" ht="15" hidden="false" customHeight="true" outlineLevel="0" collapsed="false">
      <c r="E973" s="3" t="str">
        <f aca="false">A973&amp;"|"&amp;B973</f>
        <v>|</v>
      </c>
    </row>
    <row r="974" customFormat="false" ht="15" hidden="false" customHeight="true" outlineLevel="0" collapsed="false">
      <c r="E974" s="3" t="str">
        <f aca="false">A974&amp;"|"&amp;B974</f>
        <v>|</v>
      </c>
    </row>
    <row r="975" customFormat="false" ht="15" hidden="false" customHeight="true" outlineLevel="0" collapsed="false">
      <c r="E975" s="3" t="str">
        <f aca="false">A975&amp;"|"&amp;B975</f>
        <v>|</v>
      </c>
    </row>
    <row r="976" customFormat="false" ht="15" hidden="false" customHeight="true" outlineLevel="0" collapsed="false">
      <c r="E976" s="3" t="str">
        <f aca="false">A976&amp;"|"&amp;B976</f>
        <v>|</v>
      </c>
    </row>
    <row r="977" customFormat="false" ht="15" hidden="false" customHeight="true" outlineLevel="0" collapsed="false">
      <c r="E977" s="3" t="str">
        <f aca="false">A977&amp;"|"&amp;B977</f>
        <v>|</v>
      </c>
    </row>
    <row r="978" customFormat="false" ht="15" hidden="false" customHeight="true" outlineLevel="0" collapsed="false">
      <c r="E978" s="3" t="str">
        <f aca="false">A978&amp;"|"&amp;B978</f>
        <v>|</v>
      </c>
    </row>
    <row r="979" customFormat="false" ht="15" hidden="false" customHeight="true" outlineLevel="0" collapsed="false">
      <c r="E979" s="3" t="str">
        <f aca="false">A979&amp;"|"&amp;B979</f>
        <v>|</v>
      </c>
    </row>
    <row r="980" customFormat="false" ht="15" hidden="false" customHeight="true" outlineLevel="0" collapsed="false">
      <c r="E980" s="3" t="str">
        <f aca="false">A980&amp;"|"&amp;B980</f>
        <v>|</v>
      </c>
    </row>
    <row r="981" customFormat="false" ht="15" hidden="false" customHeight="true" outlineLevel="0" collapsed="false">
      <c r="E981" s="3" t="str">
        <f aca="false">A981&amp;"|"&amp;B981</f>
        <v>|</v>
      </c>
    </row>
    <row r="982" customFormat="false" ht="15" hidden="false" customHeight="true" outlineLevel="0" collapsed="false">
      <c r="E982" s="3" t="str">
        <f aca="false">A982&amp;"|"&amp;B982</f>
        <v>|</v>
      </c>
    </row>
    <row r="983" customFormat="false" ht="15" hidden="false" customHeight="true" outlineLevel="0" collapsed="false">
      <c r="E983" s="3" t="str">
        <f aca="false">A983&amp;"|"&amp;B983</f>
        <v>|</v>
      </c>
    </row>
    <row r="984" customFormat="false" ht="15" hidden="false" customHeight="true" outlineLevel="0" collapsed="false">
      <c r="E984" s="3" t="str">
        <f aca="false">A984&amp;"|"&amp;B984</f>
        <v>|</v>
      </c>
    </row>
    <row r="985" customFormat="false" ht="15" hidden="false" customHeight="true" outlineLevel="0" collapsed="false">
      <c r="E985" s="3" t="str">
        <f aca="false">A985&amp;"|"&amp;B985</f>
        <v>|</v>
      </c>
    </row>
    <row r="986" customFormat="false" ht="15" hidden="false" customHeight="true" outlineLevel="0" collapsed="false">
      <c r="E986" s="3" t="str">
        <f aca="false">A986&amp;"|"&amp;B986</f>
        <v>|</v>
      </c>
    </row>
    <row r="987" customFormat="false" ht="15" hidden="false" customHeight="true" outlineLevel="0" collapsed="false">
      <c r="E987" s="3" t="str">
        <f aca="false">A987&amp;"|"&amp;B987</f>
        <v>|</v>
      </c>
    </row>
    <row r="988" customFormat="false" ht="15" hidden="false" customHeight="true" outlineLevel="0" collapsed="false">
      <c r="E988" s="3" t="str">
        <f aca="false">A988&amp;"|"&amp;B988</f>
        <v>|</v>
      </c>
    </row>
    <row r="989" customFormat="false" ht="15" hidden="false" customHeight="true" outlineLevel="0" collapsed="false">
      <c r="E989" s="3" t="str">
        <f aca="false">A989&amp;"|"&amp;B989</f>
        <v>|</v>
      </c>
    </row>
    <row r="990" customFormat="false" ht="15" hidden="false" customHeight="true" outlineLevel="0" collapsed="false">
      <c r="E990" s="3" t="str">
        <f aca="false">A990&amp;"|"&amp;B990</f>
        <v>|</v>
      </c>
    </row>
    <row r="991" customFormat="false" ht="15" hidden="false" customHeight="true" outlineLevel="0" collapsed="false">
      <c r="E991" s="3" t="str">
        <f aca="false">A991&amp;"|"&amp;B991</f>
        <v>|</v>
      </c>
    </row>
    <row r="992" customFormat="false" ht="15" hidden="false" customHeight="true" outlineLevel="0" collapsed="false">
      <c r="E992" s="3" t="str">
        <f aca="false">A992&amp;"|"&amp;B992</f>
        <v>|</v>
      </c>
    </row>
    <row r="993" customFormat="false" ht="15" hidden="false" customHeight="true" outlineLevel="0" collapsed="false">
      <c r="E993" s="3" t="str">
        <f aca="false">A993&amp;"|"&amp;B993</f>
        <v>|</v>
      </c>
    </row>
    <row r="994" customFormat="false" ht="15" hidden="false" customHeight="true" outlineLevel="0" collapsed="false">
      <c r="E994" s="3" t="str">
        <f aca="false">A994&amp;"|"&amp;B994</f>
        <v>|</v>
      </c>
    </row>
    <row r="995" customFormat="false" ht="15" hidden="false" customHeight="true" outlineLevel="0" collapsed="false">
      <c r="E995" s="3" t="str">
        <f aca="false">A995&amp;"|"&amp;B995</f>
        <v>|</v>
      </c>
    </row>
    <row r="996" customFormat="false" ht="15" hidden="false" customHeight="true" outlineLevel="0" collapsed="false">
      <c r="E996" s="3" t="str">
        <f aca="false">A996&amp;"|"&amp;B996</f>
        <v>|</v>
      </c>
    </row>
    <row r="997" customFormat="false" ht="15" hidden="false" customHeight="true" outlineLevel="0" collapsed="false">
      <c r="E997" s="3" t="str">
        <f aca="false">A997&amp;"|"&amp;B997</f>
        <v>|</v>
      </c>
    </row>
    <row r="998" customFormat="false" ht="15" hidden="false" customHeight="true" outlineLevel="0" collapsed="false">
      <c r="E998" s="3" t="str">
        <f aca="false">A998&amp;"|"&amp;B998</f>
        <v>|</v>
      </c>
    </row>
    <row r="999" customFormat="false" ht="15" hidden="false" customHeight="true" outlineLevel="0" collapsed="false">
      <c r="E999" s="3" t="str">
        <f aca="false">A999&amp;"|"&amp;B999</f>
        <v>|</v>
      </c>
    </row>
    <row r="1000" customFormat="false" ht="15" hidden="false" customHeight="true" outlineLevel="0" collapsed="false">
      <c r="E1000" s="3" t="str">
        <f aca="false">A1000&amp;"|"&amp;B1000</f>
        <v>|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0"/>
  </cols>
  <sheetData>
    <row r="1" customFormat="false" ht="15" hidden="false" customHeight="false" outlineLevel="0" collapsed="false">
      <c r="B1" s="4" t="s">
        <v>345</v>
      </c>
    </row>
    <row r="2" customFormat="false" ht="15" hidden="false" customHeight="true" outlineLevel="0" collapsed="false">
      <c r="B2" s="2" t="s">
        <v>346</v>
      </c>
      <c r="C2" s="2" t="s">
        <v>342</v>
      </c>
    </row>
    <row r="3" customFormat="false" ht="15" hidden="false" customHeight="true" outlineLevel="0" collapsed="false">
      <c r="B3" s="1" t="str">
        <f aca="false">IFERROR(INDEX(LookupCalc!$A$2:$A$134,MATCH(LARGE(LookupCalc!$T$2:$T$134,ROW()-2),LookupCalc!$T$2:$T$134,0)),"")</f>
        <v>Miya</v>
      </c>
      <c r="C3" s="1" t="n">
        <f aca="false">IFERROR(ROUND(LARGE(LookupCalc!$T$2:$T$134,ROW()-2),2),"")</f>
        <v>-1000000000000000</v>
      </c>
    </row>
    <row r="4" customFormat="false" ht="15" hidden="false" customHeight="true" outlineLevel="0" collapsed="false">
      <c r="B4" s="1" t="str">
        <f aca="false">IFERROR(INDEX(LookupCalc!$A$2:$A$134,MATCH(LARGE(LookupCalc!$T$2:$T$134,ROW()-2),LookupCalc!$T$2:$T$134,0)),"")</f>
        <v>Miya</v>
      </c>
      <c r="C4" s="1" t="n">
        <f aca="false">IFERROR(ROUND(LARGE(LookupCalc!$T$2:$T$134,ROW()-2),2),"")</f>
        <v>-1000000000000000</v>
      </c>
    </row>
    <row r="5" customFormat="false" ht="15" hidden="false" customHeight="true" outlineLevel="0" collapsed="false">
      <c r="B5" s="1" t="str">
        <f aca="false">IFERROR(INDEX(LookupCalc!$A$2:$A$134,MATCH(LARGE(LookupCalc!$T$2:$T$134,ROW()-2),LookupCalc!$T$2:$T$134,0)),"")</f>
        <v>Miya</v>
      </c>
      <c r="C5" s="1" t="n">
        <f aca="false">IFERROR(ROUND(LARGE(LookupCalc!$T$2:$T$134,ROW()-2),2),"")</f>
        <v>-1000000000000000</v>
      </c>
    </row>
    <row r="6" customFormat="false" ht="15" hidden="false" customHeight="true" outlineLevel="0" collapsed="false">
      <c r="B6" s="1" t="str">
        <f aca="false">IFERROR(INDEX(LookupCalc!$A$2:$A$134,MATCH(LARGE(LookupCalc!$T$2:$T$134,ROW()-2),LookupCalc!$T$2:$T$134,0)),"")</f>
        <v>Miya</v>
      </c>
      <c r="C6" s="1" t="n">
        <f aca="false">IFERROR(ROUND(LARGE(LookupCalc!$T$2:$T$134,ROW()-2),2),"")</f>
        <v>-1000000000000000</v>
      </c>
    </row>
    <row r="7" customFormat="false" ht="15" hidden="false" customHeight="true" outlineLevel="0" collapsed="false">
      <c r="B7" s="1" t="str">
        <f aca="false">IFERROR(INDEX(LookupCalc!$A$2:$A$134,MATCH(LARGE(LookupCalc!$T$2:$T$134,ROW()-2),LookupCalc!$T$2:$T$134,0)),"")</f>
        <v>Miya</v>
      </c>
      <c r="C7" s="1" t="n">
        <f aca="false">IFERROR(ROUND(LARGE(LookupCalc!$T$2:$T$134,ROW()-2),2),"")</f>
        <v>-1000000000000000</v>
      </c>
    </row>
    <row r="9" customFormat="false" ht="15" hidden="false" customHeight="false" outlineLevel="0" collapsed="false">
      <c r="B9" s="4" t="str">
        <f aca="false">IF($A$1="","Top 5 — Same Lane","Top 5 — Same Lane ("&amp;IFERROR(INDEX(Heroes!$M$2:$M$134,MATCH($A$1,Heroes!$B$2:$B$134,0)),"?")&amp;")")</f>
        <v>Top 5 — Same Lane</v>
      </c>
    </row>
    <row r="10" customFormat="false" ht="15" hidden="false" customHeight="false" outlineLevel="0" collapsed="false">
      <c r="B10" s="4" t="s">
        <v>346</v>
      </c>
      <c r="C10" s="4" t="s">
        <v>342</v>
      </c>
    </row>
    <row r="11" customFormat="false" ht="15" hidden="false" customHeight="false" outlineLevel="0" collapsed="false">
      <c r="B11" s="1" t="str">
        <f aca="false">IFERROR(INDEX(LookupCalc!$A$2:$A$134,MATCH(LARGE(LookupCalc!$V$2:$V$134,ROW()-10),LookupCalc!$V$2:$V$134,0)),"")</f>
        <v>Miya</v>
      </c>
      <c r="C11" s="1" t="n">
        <f aca="false">IFERROR(ROUND(LARGE(LookupCalc!$V$2:$V$134,ROW()-10),2),"")</f>
        <v>-1000000000000000</v>
      </c>
    </row>
    <row r="12" customFormat="false" ht="15" hidden="false" customHeight="false" outlineLevel="0" collapsed="false">
      <c r="B12" s="1" t="str">
        <f aca="false">IFERROR(INDEX(LookupCalc!$A$2:$A$134,MATCH(LARGE(LookupCalc!$V$2:$V$134,ROW()-10),LookupCalc!$V$2:$V$134,0)),"")</f>
        <v>Miya</v>
      </c>
      <c r="C12" s="1" t="n">
        <f aca="false">IFERROR(ROUND(LARGE(LookupCalc!$V$2:$V$134,ROW()-10),2),"")</f>
        <v>-1000000000000000</v>
      </c>
    </row>
    <row r="13" customFormat="false" ht="15" hidden="false" customHeight="false" outlineLevel="0" collapsed="false">
      <c r="B13" s="1" t="str">
        <f aca="false">IFERROR(INDEX(LookupCalc!$A$2:$A$134,MATCH(LARGE(LookupCalc!$V$2:$V$134,ROW()-10),LookupCalc!$V$2:$V$134,0)),"")</f>
        <v>Miya</v>
      </c>
      <c r="C13" s="1" t="n">
        <f aca="false">IFERROR(ROUND(LARGE(LookupCalc!$V$2:$V$134,ROW()-10),2),"")</f>
        <v>-1000000000000000</v>
      </c>
    </row>
    <row r="14" customFormat="false" ht="15" hidden="false" customHeight="false" outlineLevel="0" collapsed="false">
      <c r="B14" s="1" t="str">
        <f aca="false">IFERROR(INDEX(LookupCalc!$A$2:$A$134,MATCH(LARGE(LookupCalc!$V$2:$V$134,ROW()-10),LookupCalc!$V$2:$V$134,0)),"")</f>
        <v>Miya</v>
      </c>
      <c r="C14" s="1" t="n">
        <f aca="false">IFERROR(ROUND(LARGE(LookupCalc!$V$2:$V$134,ROW()-10),2),"")</f>
        <v>-1000000000000000</v>
      </c>
    </row>
    <row r="15" customFormat="false" ht="15" hidden="false" customHeight="false" outlineLevel="0" collapsed="false">
      <c r="B15" s="1" t="str">
        <f aca="false">IFERROR(INDEX(LookupCalc!$A$2:$A$134,MATCH(LARGE(LookupCalc!$V$2:$V$134,ROW()-10),LookupCalc!$V$2:$V$134,0)),"")</f>
        <v>Miya</v>
      </c>
      <c r="C15" s="1" t="n">
        <f aca="false">IFERROR(ROUND(LARGE(LookupCalc!$V$2:$V$134,ROW()-10),2),"")</f>
        <v>-1000000000000000</v>
      </c>
    </row>
  </sheetData>
  <dataValidations count="1">
    <dataValidation allowBlank="true" error="Select a hero from the list" errorStyle="stop" errorTitle="Invalid hero" operator="between" showDropDown="false" showErrorMessage="false" showInputMessage="false" sqref="A1" type="list">
      <formula1>Heroes!$B$2:$B$134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60"/>
    <col collapsed="false" customWidth="true" hidden="false" outlineLevel="0" max="4" min="4" style="1" width="35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347</v>
      </c>
      <c r="B1" s="2" t="s">
        <v>348</v>
      </c>
      <c r="C1" s="2" t="s">
        <v>333</v>
      </c>
      <c r="D1" s="2" t="s">
        <v>349</v>
      </c>
      <c r="E1" s="2" t="s">
        <v>350</v>
      </c>
    </row>
    <row r="2" customFormat="false" ht="15" hidden="false" customHeight="true" outlineLevel="0" collapsed="false">
      <c r="A2" s="1" t="s">
        <v>351</v>
      </c>
      <c r="B2" s="1" t="s">
        <v>40</v>
      </c>
      <c r="C2" s="5" t="s">
        <v>352</v>
      </c>
      <c r="D2" s="1" t="s">
        <v>353</v>
      </c>
      <c r="E2" s="1" t="s">
        <v>354</v>
      </c>
    </row>
    <row r="3" customFormat="false" ht="15" hidden="false" customHeight="true" outlineLevel="0" collapsed="false">
      <c r="A3" s="1" t="s">
        <v>351</v>
      </c>
      <c r="B3" s="1" t="s">
        <v>20</v>
      </c>
      <c r="C3" s="5" t="s">
        <v>355</v>
      </c>
      <c r="D3" s="1" t="s">
        <v>356</v>
      </c>
      <c r="E3" s="1" t="s">
        <v>354</v>
      </c>
    </row>
    <row r="4" customFormat="false" ht="15" hidden="false" customHeight="true" outlineLevel="0" collapsed="false">
      <c r="A4" s="1" t="s">
        <v>351</v>
      </c>
      <c r="B4" s="1" t="s">
        <v>50</v>
      </c>
      <c r="C4" s="5" t="s">
        <v>357</v>
      </c>
      <c r="D4" s="1" t="s">
        <v>358</v>
      </c>
      <c r="E4" s="1" t="s">
        <v>354</v>
      </c>
    </row>
    <row r="5" customFormat="false" ht="15" hidden="false" customHeight="true" outlineLevel="0" collapsed="false">
      <c r="A5" s="1" t="s">
        <v>351</v>
      </c>
      <c r="B5" s="1" t="s">
        <v>21</v>
      </c>
      <c r="C5" s="5" t="s">
        <v>359</v>
      </c>
      <c r="D5" s="1" t="s">
        <v>360</v>
      </c>
      <c r="E5" s="1" t="s">
        <v>354</v>
      </c>
    </row>
    <row r="6" customFormat="false" ht="15" hidden="false" customHeight="true" outlineLevel="0" collapsed="false">
      <c r="A6" s="1" t="s">
        <v>351</v>
      </c>
      <c r="B6" s="1" t="s">
        <v>115</v>
      </c>
      <c r="C6" s="5" t="s">
        <v>361</v>
      </c>
      <c r="D6" s="1" t="s">
        <v>362</v>
      </c>
      <c r="E6" s="1" t="s">
        <v>354</v>
      </c>
    </row>
    <row r="7" customFormat="false" ht="15" hidden="false" customHeight="true" outlineLevel="0" collapsed="false">
      <c r="A7" s="1" t="s">
        <v>351</v>
      </c>
      <c r="B7" s="1" t="s">
        <v>31</v>
      </c>
      <c r="C7" s="5" t="s">
        <v>363</v>
      </c>
      <c r="D7" s="1" t="s">
        <v>364</v>
      </c>
      <c r="E7" s="1" t="s">
        <v>354</v>
      </c>
    </row>
    <row r="8" customFormat="false" ht="15" hidden="false" customHeight="true" outlineLevel="0" collapsed="false">
      <c r="A8" s="1" t="s">
        <v>365</v>
      </c>
      <c r="B8" s="1" t="s">
        <v>57</v>
      </c>
      <c r="C8" s="5" t="s">
        <v>366</v>
      </c>
      <c r="D8" s="1" t="s">
        <v>367</v>
      </c>
      <c r="E8" s="1" t="s">
        <v>354</v>
      </c>
    </row>
    <row r="9" customFormat="false" ht="27.75" hidden="false" customHeight="true" outlineLevel="0" collapsed="false">
      <c r="A9" s="1" t="s">
        <v>365</v>
      </c>
      <c r="B9" s="1" t="s">
        <v>51</v>
      </c>
      <c r="C9" s="5" t="s">
        <v>368</v>
      </c>
      <c r="D9" s="1" t="s">
        <v>369</v>
      </c>
      <c r="E9" s="1" t="s">
        <v>354</v>
      </c>
    </row>
    <row r="10" customFormat="false" ht="15" hidden="false" customHeight="true" outlineLevel="0" collapsed="false">
      <c r="A10" s="1" t="s">
        <v>365</v>
      </c>
      <c r="B10" s="1" t="s">
        <v>56</v>
      </c>
      <c r="C10" s="5" t="s">
        <v>370</v>
      </c>
      <c r="D10" s="1" t="s">
        <v>371</v>
      </c>
      <c r="E10" s="1" t="s">
        <v>354</v>
      </c>
    </row>
    <row r="11" customFormat="false" ht="15" hidden="false" customHeight="true" outlineLevel="0" collapsed="false">
      <c r="A11" s="1" t="s">
        <v>365</v>
      </c>
      <c r="B11" s="1" t="s">
        <v>41</v>
      </c>
      <c r="C11" s="5" t="s">
        <v>372</v>
      </c>
      <c r="D11" s="1" t="s">
        <v>373</v>
      </c>
      <c r="E11" s="1" t="s">
        <v>354</v>
      </c>
    </row>
    <row r="12" customFormat="false" ht="15" hidden="false" customHeight="true" outlineLevel="0" collapsed="false">
      <c r="A12" s="1" t="s">
        <v>83</v>
      </c>
      <c r="B12" s="1" t="s">
        <v>109</v>
      </c>
      <c r="C12" s="5" t="s">
        <v>374</v>
      </c>
      <c r="D12" s="1" t="s">
        <v>375</v>
      </c>
      <c r="E12" s="1" t="s">
        <v>354</v>
      </c>
    </row>
    <row r="13" customFormat="false" ht="15" hidden="false" customHeight="true" outlineLevel="0" collapsed="false">
      <c r="A13" s="1" t="s">
        <v>83</v>
      </c>
      <c r="B13" s="1" t="s">
        <v>86</v>
      </c>
      <c r="C13" s="5" t="s">
        <v>376</v>
      </c>
      <c r="D13" s="1" t="s">
        <v>377</v>
      </c>
      <c r="E13" s="1" t="s">
        <v>354</v>
      </c>
    </row>
    <row r="14" customFormat="false" ht="15" hidden="false" customHeight="true" outlineLevel="0" collapsed="false">
      <c r="A14" s="1" t="s">
        <v>83</v>
      </c>
      <c r="B14" s="1" t="s">
        <v>125</v>
      </c>
      <c r="C14" s="5" t="s">
        <v>378</v>
      </c>
      <c r="D14" s="1" t="s">
        <v>379</v>
      </c>
      <c r="E14" s="1" t="s">
        <v>354</v>
      </c>
    </row>
    <row r="15" customFormat="false" ht="15" hidden="false" customHeight="true" outlineLevel="0" collapsed="false">
      <c r="A15" s="1" t="s">
        <v>83</v>
      </c>
      <c r="B15" s="1" t="s">
        <v>83</v>
      </c>
      <c r="C15" s="5" t="s">
        <v>380</v>
      </c>
      <c r="D15" s="1" t="s">
        <v>236</v>
      </c>
      <c r="E15" s="1" t="s">
        <v>381</v>
      </c>
    </row>
    <row r="16" customFormat="false" ht="15" hidden="false" customHeight="true" outlineLevel="0" collapsed="false">
      <c r="A16" s="1" t="s">
        <v>382</v>
      </c>
      <c r="B16" s="1" t="s">
        <v>30</v>
      </c>
      <c r="C16" s="5" t="s">
        <v>383</v>
      </c>
      <c r="D16" s="1" t="s">
        <v>384</v>
      </c>
      <c r="E16" s="1" t="s">
        <v>354</v>
      </c>
    </row>
    <row r="17" customFormat="false" ht="15" hidden="false" customHeight="true" outlineLevel="0" collapsed="false">
      <c r="A17" s="1" t="s">
        <v>382</v>
      </c>
      <c r="B17" s="1" t="s">
        <v>64</v>
      </c>
      <c r="C17" s="5" t="s">
        <v>385</v>
      </c>
      <c r="D17" s="1" t="s">
        <v>386</v>
      </c>
      <c r="E17" s="1" t="s">
        <v>354</v>
      </c>
    </row>
    <row r="18" customFormat="false" ht="15" hidden="false" customHeight="true" outlineLevel="0" collapsed="false">
      <c r="A18" s="1" t="s">
        <v>382</v>
      </c>
      <c r="B18" s="1" t="s">
        <v>97</v>
      </c>
      <c r="C18" s="5" t="s">
        <v>387</v>
      </c>
      <c r="D18" s="1" t="s">
        <v>388</v>
      </c>
      <c r="E18" s="1" t="s">
        <v>354</v>
      </c>
    </row>
    <row r="19" customFormat="false" ht="15" hidden="false" customHeight="true" outlineLevel="0" collapsed="false">
      <c r="A19" s="1" t="s">
        <v>382</v>
      </c>
      <c r="B19" s="1" t="s">
        <v>144</v>
      </c>
      <c r="C19" s="5" t="s">
        <v>389</v>
      </c>
      <c r="D19" s="1" t="s">
        <v>390</v>
      </c>
      <c r="E19" s="1" t="s">
        <v>354</v>
      </c>
    </row>
    <row r="20" customFormat="false" ht="15" hidden="false" customHeight="true" outlineLevel="0" collapsed="false">
      <c r="A20" s="1" t="s">
        <v>391</v>
      </c>
      <c r="B20" s="1" t="s">
        <v>78</v>
      </c>
      <c r="C20" s="5" t="s">
        <v>392</v>
      </c>
      <c r="D20" s="1" t="s">
        <v>393</v>
      </c>
      <c r="E20" s="1" t="s">
        <v>354</v>
      </c>
    </row>
    <row r="21" customFormat="false" ht="15" hidden="false" customHeight="true" outlineLevel="0" collapsed="false">
      <c r="A21" s="1" t="s">
        <v>391</v>
      </c>
      <c r="B21" s="1" t="s">
        <v>237</v>
      </c>
      <c r="C21" s="5" t="s">
        <v>394</v>
      </c>
      <c r="D21" s="1" t="s">
        <v>236</v>
      </c>
      <c r="E21" s="1" t="s">
        <v>354</v>
      </c>
    </row>
    <row r="22" customFormat="false" ht="15" hidden="false" customHeight="true" outlineLevel="0" collapsed="false">
      <c r="A22" s="1" t="s">
        <v>391</v>
      </c>
      <c r="B22" s="1" t="s">
        <v>104</v>
      </c>
      <c r="C22" s="5" t="s">
        <v>395</v>
      </c>
      <c r="D22" s="1" t="s">
        <v>396</v>
      </c>
      <c r="E22" s="1" t="s">
        <v>354</v>
      </c>
    </row>
    <row r="23" customFormat="false" ht="15" hidden="false" customHeight="true" outlineLevel="0" collapsed="false">
      <c r="A23" s="1" t="s">
        <v>391</v>
      </c>
      <c r="B23" s="1" t="s">
        <v>112</v>
      </c>
      <c r="C23" s="5" t="s">
        <v>397</v>
      </c>
      <c r="D23" s="1" t="s">
        <v>398</v>
      </c>
      <c r="E23" s="1" t="s">
        <v>354</v>
      </c>
    </row>
    <row r="24" customFormat="false" ht="15" hidden="false" customHeight="true" outlineLevel="0" collapsed="false">
      <c r="A24" s="1" t="s">
        <v>391</v>
      </c>
      <c r="B24" s="1" t="s">
        <v>399</v>
      </c>
      <c r="C24" s="5" t="s">
        <v>400</v>
      </c>
      <c r="D24" s="1" t="s">
        <v>401</v>
      </c>
      <c r="E24" s="1" t="s">
        <v>402</v>
      </c>
    </row>
    <row r="25" customFormat="false" ht="15" hidden="false" customHeight="true" outlineLevel="0" collapsed="false">
      <c r="A25" s="1" t="s">
        <v>351</v>
      </c>
      <c r="B25" s="1" t="s">
        <v>403</v>
      </c>
      <c r="C25" s="5" t="s">
        <v>404</v>
      </c>
      <c r="D25" s="1" t="s">
        <v>405</v>
      </c>
      <c r="E25" s="1" t="s">
        <v>402</v>
      </c>
    </row>
    <row r="26" customFormat="false" ht="15" hidden="false" customHeight="true" outlineLevel="0" collapsed="false">
      <c r="A26" s="1" t="s">
        <v>391</v>
      </c>
      <c r="B26" s="1" t="s">
        <v>406</v>
      </c>
      <c r="C26" s="5" t="s">
        <v>407</v>
      </c>
      <c r="D26" s="1" t="s">
        <v>408</v>
      </c>
      <c r="E26" s="1" t="s">
        <v>402</v>
      </c>
    </row>
    <row r="27" customFormat="false" ht="15" hidden="false" customHeight="true" outlineLevel="0" collapsed="false">
      <c r="A27" s="1" t="s">
        <v>391</v>
      </c>
      <c r="B27" s="1" t="s">
        <v>409</v>
      </c>
      <c r="C27" s="5" t="s">
        <v>410</v>
      </c>
      <c r="D27" s="1" t="s">
        <v>158</v>
      </c>
      <c r="E27" s="1" t="s">
        <v>402</v>
      </c>
    </row>
    <row r="28" customFormat="false" ht="15" hidden="false" customHeight="true" outlineLevel="0" collapsed="false">
      <c r="A28" s="1" t="s">
        <v>382</v>
      </c>
      <c r="B28" s="1" t="s">
        <v>411</v>
      </c>
      <c r="C28" s="5" t="s">
        <v>412</v>
      </c>
      <c r="D28" s="1" t="s">
        <v>178</v>
      </c>
      <c r="E28" s="1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3" min="2" style="1" width="5"/>
  </cols>
  <sheetData>
    <row r="1" customFormat="false" ht="75.75" hidden="false" customHeight="true" outlineLevel="0" collapsed="false">
      <c r="A1" s="2" t="s">
        <v>330</v>
      </c>
      <c r="B1" s="6" t="s">
        <v>40</v>
      </c>
      <c r="C1" s="6" t="s">
        <v>20</v>
      </c>
      <c r="D1" s="6" t="s">
        <v>50</v>
      </c>
      <c r="E1" s="6" t="s">
        <v>21</v>
      </c>
      <c r="F1" s="6" t="s">
        <v>115</v>
      </c>
      <c r="G1" s="6" t="s">
        <v>31</v>
      </c>
      <c r="H1" s="6" t="s">
        <v>57</v>
      </c>
      <c r="I1" s="6" t="s">
        <v>51</v>
      </c>
      <c r="J1" s="6" t="s">
        <v>56</v>
      </c>
      <c r="K1" s="6" t="s">
        <v>41</v>
      </c>
      <c r="L1" s="6" t="s">
        <v>109</v>
      </c>
      <c r="M1" s="6" t="s">
        <v>86</v>
      </c>
      <c r="N1" s="6" t="s">
        <v>125</v>
      </c>
      <c r="O1" s="6" t="s">
        <v>83</v>
      </c>
      <c r="P1" s="6" t="s">
        <v>30</v>
      </c>
      <c r="Q1" s="6" t="s">
        <v>64</v>
      </c>
      <c r="R1" s="6" t="s">
        <v>97</v>
      </c>
      <c r="S1" s="6" t="s">
        <v>144</v>
      </c>
      <c r="T1" s="6" t="s">
        <v>78</v>
      </c>
      <c r="U1" s="6" t="s">
        <v>237</v>
      </c>
      <c r="V1" s="6" t="s">
        <v>104</v>
      </c>
      <c r="W1" s="6" t="s">
        <v>112</v>
      </c>
    </row>
    <row r="2" customFormat="false" ht="15" hidden="false" customHeight="true" outlineLevel="0" collapsed="false">
      <c r="A2" s="2" t="s">
        <v>40</v>
      </c>
      <c r="B2" s="1" t="n">
        <v>0</v>
      </c>
      <c r="C2" s="1" t="n">
        <v>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-1</v>
      </c>
      <c r="N2" s="1" t="n">
        <v>0</v>
      </c>
      <c r="O2" s="1" t="n">
        <v>0</v>
      </c>
      <c r="P2" s="1" t="n">
        <v>-1</v>
      </c>
      <c r="Q2" s="1" t="n">
        <v>-1</v>
      </c>
      <c r="R2" s="1" t="n">
        <v>-2</v>
      </c>
      <c r="S2" s="1" t="n">
        <v>-1</v>
      </c>
      <c r="T2" s="1" t="n">
        <v>-1</v>
      </c>
      <c r="U2" s="1" t="n">
        <v>0</v>
      </c>
      <c r="V2" s="1" t="n">
        <v>0</v>
      </c>
      <c r="W2" s="1" t="n">
        <v>1</v>
      </c>
    </row>
    <row r="3" customFormat="false" ht="15" hidden="false" customHeight="true" outlineLevel="0" collapsed="false">
      <c r="A3" s="2" t="s">
        <v>20</v>
      </c>
      <c r="B3" s="1" t="n">
        <v>-2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-1</v>
      </c>
      <c r="M3" s="1" t="n">
        <v>-1</v>
      </c>
      <c r="N3" s="1" t="n">
        <v>0</v>
      </c>
      <c r="O3" s="1" t="n">
        <v>0</v>
      </c>
      <c r="P3" s="1" t="n">
        <v>-1</v>
      </c>
      <c r="Q3" s="1" t="n">
        <v>0</v>
      </c>
      <c r="R3" s="1" t="n">
        <v>0</v>
      </c>
      <c r="S3" s="1" t="n">
        <v>0</v>
      </c>
      <c r="T3" s="1" t="n">
        <v>-1</v>
      </c>
      <c r="U3" s="1" t="n">
        <v>1</v>
      </c>
      <c r="V3" s="1" t="n">
        <v>0</v>
      </c>
      <c r="W3" s="1" t="n">
        <v>1</v>
      </c>
    </row>
    <row r="4" customFormat="false" ht="15" hidden="false" customHeight="true" outlineLevel="0" collapsed="false">
      <c r="A4" s="2" t="s">
        <v>50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</v>
      </c>
      <c r="N4" s="1" t="n">
        <v>-1</v>
      </c>
      <c r="O4" s="1" t="n">
        <v>0</v>
      </c>
      <c r="P4" s="1" t="n">
        <v>-2</v>
      </c>
      <c r="Q4" s="1" t="n">
        <v>-1</v>
      </c>
      <c r="R4" s="1" t="n">
        <v>0</v>
      </c>
      <c r="S4" s="1" t="n">
        <v>0</v>
      </c>
      <c r="T4" s="1" t="n">
        <v>-1</v>
      </c>
      <c r="U4" s="1" t="n">
        <v>1</v>
      </c>
      <c r="V4" s="1" t="n">
        <v>0</v>
      </c>
      <c r="W4" s="1" t="n">
        <v>0</v>
      </c>
    </row>
    <row r="5" customFormat="false" ht="15" hidden="false" customHeight="true" outlineLevel="0" collapsed="false">
      <c r="A5" s="2" t="s">
        <v>21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-1</v>
      </c>
      <c r="M5" s="1" t="n">
        <v>-1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-1</v>
      </c>
      <c r="U5" s="1" t="n">
        <v>1</v>
      </c>
      <c r="V5" s="1" t="n">
        <v>0</v>
      </c>
      <c r="W5" s="1" t="n">
        <v>2</v>
      </c>
    </row>
    <row r="6" customFormat="false" ht="15" hidden="false" customHeight="true" outlineLevel="0" collapsed="false">
      <c r="A6" s="2" t="s">
        <v>115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</v>
      </c>
      <c r="Q6" s="1" t="n">
        <v>2</v>
      </c>
      <c r="R6" s="1" t="n">
        <v>0</v>
      </c>
      <c r="S6" s="1" t="n">
        <v>2</v>
      </c>
      <c r="T6" s="1" t="n">
        <v>0</v>
      </c>
      <c r="U6" s="1" t="n">
        <v>0</v>
      </c>
      <c r="V6" s="1" t="n">
        <v>0</v>
      </c>
      <c r="W6" s="1" t="n">
        <v>0</v>
      </c>
    </row>
    <row r="7" customFormat="false" ht="15" hidden="false" customHeight="true" outlineLevel="0" collapsed="false">
      <c r="A7" s="2" t="s">
        <v>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</v>
      </c>
      <c r="Q7" s="1" t="n">
        <v>0</v>
      </c>
      <c r="R7" s="1" t="n">
        <v>-2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</row>
    <row r="8" customFormat="false" ht="15" hidden="false" customHeight="true" outlineLevel="0" collapsed="false">
      <c r="A8" s="2" t="s">
        <v>57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2</v>
      </c>
      <c r="N8" s="1" t="n">
        <v>1</v>
      </c>
      <c r="O8" s="1" t="n">
        <v>2</v>
      </c>
      <c r="P8" s="1" t="n">
        <v>0</v>
      </c>
      <c r="Q8" s="1" t="n">
        <v>0</v>
      </c>
      <c r="R8" s="1" t="n">
        <v>-2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</row>
    <row r="9" customFormat="false" ht="15" hidden="false" customHeight="true" outlineLevel="0" collapsed="false">
      <c r="A9" s="2" t="s">
        <v>51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1</v>
      </c>
      <c r="P9" s="1" t="n">
        <v>0</v>
      </c>
      <c r="Q9" s="1" t="n">
        <v>0</v>
      </c>
      <c r="R9" s="1" t="n">
        <v>-1</v>
      </c>
      <c r="S9" s="1" t="n">
        <v>0</v>
      </c>
      <c r="T9" s="1" t="n">
        <v>-1</v>
      </c>
      <c r="U9" s="1" t="n">
        <v>0</v>
      </c>
      <c r="V9" s="1" t="n">
        <v>0</v>
      </c>
      <c r="W9" s="1" t="n">
        <v>0</v>
      </c>
    </row>
    <row r="10" customFormat="false" ht="15" hidden="false" customHeight="true" outlineLevel="0" collapsed="false">
      <c r="A10" s="2" t="s">
        <v>56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-1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-1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2</v>
      </c>
    </row>
    <row r="11" customFormat="false" ht="15" hidden="false" customHeight="true" outlineLevel="0" collapsed="false">
      <c r="A11" s="2" t="s">
        <v>41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2</v>
      </c>
      <c r="N11" s="1" t="n">
        <v>0</v>
      </c>
      <c r="O11" s="1" t="n">
        <v>2</v>
      </c>
      <c r="P11" s="1" t="n">
        <v>0</v>
      </c>
      <c r="Q11" s="1" t="n">
        <v>0</v>
      </c>
      <c r="R11" s="1" t="n">
        <v>-1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</row>
    <row r="12" customFormat="false" ht="15" hidden="false" customHeight="true" outlineLevel="0" collapsed="false">
      <c r="A12" s="2" t="s">
        <v>109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0</v>
      </c>
      <c r="G12" s="1" t="n">
        <v>0</v>
      </c>
      <c r="H12" s="1" t="n">
        <v>-1</v>
      </c>
      <c r="I12" s="1" t="n">
        <v>0</v>
      </c>
      <c r="J12" s="1" t="n">
        <v>0</v>
      </c>
      <c r="K12" s="1" t="n">
        <v>-1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</row>
    <row r="13" customFormat="false" ht="15" hidden="false" customHeight="true" outlineLevel="0" collapsed="false">
      <c r="A13" s="2" t="s">
        <v>86</v>
      </c>
      <c r="B13" s="1" t="n">
        <v>0</v>
      </c>
      <c r="C13" s="1" t="n">
        <v>0</v>
      </c>
      <c r="D13" s="1" t="n">
        <v>-1</v>
      </c>
      <c r="E13" s="1" t="n">
        <v>1</v>
      </c>
      <c r="F13" s="1" t="n">
        <v>0</v>
      </c>
      <c r="G13" s="1" t="n">
        <v>0</v>
      </c>
      <c r="H13" s="1" t="n">
        <v>-2</v>
      </c>
      <c r="I13" s="1" t="n">
        <v>-1</v>
      </c>
      <c r="J13" s="1" t="n">
        <v>1</v>
      </c>
      <c r="K13" s="1" t="n">
        <v>-2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</row>
    <row r="14" customFormat="false" ht="15" hidden="false" customHeight="true" outlineLevel="0" collapsed="false">
      <c r="A14" s="2" t="s">
        <v>125</v>
      </c>
      <c r="B14" s="1" t="n">
        <v>0</v>
      </c>
      <c r="C14" s="1" t="n">
        <v>0</v>
      </c>
      <c r="D14" s="1" t="n">
        <v>2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-1</v>
      </c>
      <c r="U14" s="1" t="n">
        <v>0</v>
      </c>
      <c r="V14" s="1" t="n">
        <v>0</v>
      </c>
      <c r="W14" s="1" t="n">
        <v>0</v>
      </c>
    </row>
    <row r="15" customFormat="false" ht="15" hidden="false" customHeight="true" outlineLevel="0" collapsed="false">
      <c r="A15" s="2" t="s">
        <v>83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-1</v>
      </c>
      <c r="I15" s="1" t="n">
        <v>0</v>
      </c>
      <c r="J15" s="1" t="n">
        <v>0</v>
      </c>
      <c r="K15" s="1" t="n">
        <v>-1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</row>
    <row r="16" customFormat="false" ht="15" hidden="false" customHeight="true" outlineLevel="0" collapsed="false">
      <c r="A16" s="2" t="s">
        <v>30</v>
      </c>
      <c r="B16" s="1" t="n">
        <v>-1</v>
      </c>
      <c r="C16" s="1" t="n">
        <v>1</v>
      </c>
      <c r="D16" s="1" t="n">
        <v>2</v>
      </c>
      <c r="E16" s="1" t="n">
        <v>0</v>
      </c>
      <c r="F16" s="1" t="n">
        <v>-1</v>
      </c>
      <c r="G16" s="1" t="n">
        <v>-2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-2</v>
      </c>
      <c r="V16" s="1" t="n">
        <v>0</v>
      </c>
      <c r="W16" s="1" t="n">
        <v>1</v>
      </c>
    </row>
    <row r="17" customFormat="false" ht="15" hidden="false" customHeight="true" outlineLevel="0" collapsed="false">
      <c r="A17" s="2" t="s">
        <v>64</v>
      </c>
      <c r="B17" s="1" t="n">
        <v>1</v>
      </c>
      <c r="C17" s="1" t="n">
        <v>0</v>
      </c>
      <c r="D17" s="1" t="n">
        <v>1</v>
      </c>
      <c r="E17" s="1" t="n">
        <v>0</v>
      </c>
      <c r="F17" s="1" t="n">
        <v>-2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</row>
    <row r="18" customFormat="false" ht="15" hidden="false" customHeight="true" outlineLevel="0" collapsed="false">
      <c r="A18" s="2" t="s">
        <v>97</v>
      </c>
      <c r="B18" s="1" t="n">
        <v>2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2</v>
      </c>
      <c r="H18" s="1" t="n">
        <v>2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</row>
    <row r="19" customFormat="false" ht="15" hidden="false" customHeight="true" outlineLevel="0" collapsed="false">
      <c r="A19" s="2" t="s">
        <v>144</v>
      </c>
      <c r="B19" s="1" t="n">
        <v>1</v>
      </c>
      <c r="C19" s="1" t="n">
        <v>1</v>
      </c>
      <c r="D19" s="1" t="n">
        <v>1</v>
      </c>
      <c r="E19" s="1" t="n">
        <v>0</v>
      </c>
      <c r="F19" s="1" t="n">
        <v>-2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</row>
    <row r="20" customFormat="false" ht="15" hidden="false" customHeight="true" outlineLevel="0" collapsed="false">
      <c r="A20" s="2" t="s">
        <v>78</v>
      </c>
      <c r="B20" s="1" t="n">
        <v>-1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-1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-2</v>
      </c>
      <c r="V20" s="1" t="n">
        <v>0</v>
      </c>
      <c r="W20" s="1" t="n">
        <v>0</v>
      </c>
    </row>
    <row r="21" customFormat="false" ht="15" hidden="false" customHeight="true" outlineLevel="0" collapsed="false">
      <c r="A21" s="2" t="s">
        <v>237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2</v>
      </c>
      <c r="Q21" s="1" t="n">
        <v>0</v>
      </c>
      <c r="R21" s="1" t="n">
        <v>0</v>
      </c>
      <c r="S21" s="1" t="n">
        <v>0</v>
      </c>
      <c r="T21" s="1" t="n">
        <v>2</v>
      </c>
      <c r="U21" s="1" t="n">
        <v>0</v>
      </c>
      <c r="V21" s="1" t="n">
        <v>0</v>
      </c>
      <c r="W21" s="1" t="n">
        <v>0</v>
      </c>
    </row>
    <row r="22" customFormat="false" ht="15" hidden="false" customHeight="true" outlineLevel="0" collapsed="false">
      <c r="A22" s="2" t="s">
        <v>104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1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</row>
    <row r="23" customFormat="false" ht="15" hidden="false" customHeight="true" outlineLevel="0" collapsed="false">
      <c r="A23" s="2" t="s">
        <v>112</v>
      </c>
      <c r="B23" s="1" t="n">
        <v>0</v>
      </c>
      <c r="C23" s="1" t="n">
        <v>0</v>
      </c>
      <c r="D23" s="1" t="n">
        <v>0</v>
      </c>
      <c r="E23" s="1" t="n">
        <v>-2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-2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14" min="7" style="1" width="15"/>
  </cols>
  <sheetData>
    <row r="1" customFormat="false" ht="17.25" hidden="false" customHeight="true" outlineLevel="0" collapsed="false">
      <c r="A1" s="7" t="s">
        <v>413</v>
      </c>
      <c r="B1" s="7"/>
      <c r="C1" s="7"/>
      <c r="D1" s="7"/>
      <c r="E1" s="7"/>
    </row>
    <row r="2" customFormat="false" ht="15" hidden="false" customHeight="true" outlineLevel="0" collapsed="false">
      <c r="G2" s="8" t="s">
        <v>414</v>
      </c>
      <c r="J2" s="8" t="s">
        <v>415</v>
      </c>
      <c r="M2" s="8" t="s">
        <v>416</v>
      </c>
    </row>
    <row r="3" customFormat="false" ht="15" hidden="false" customHeight="true" outlineLevel="0" collapsed="false">
      <c r="A3" s="2" t="s">
        <v>417</v>
      </c>
      <c r="C3" s="2" t="s">
        <v>418</v>
      </c>
      <c r="G3" s="3" t="s">
        <v>419</v>
      </c>
      <c r="H3" s="3" t="str">
        <f aca="false">IFERROR(INDEX(Heroes!$C$2:$C$134,MATCH($B$3,Heroes!$B$2:$B$134,0)),"")</f>
        <v/>
      </c>
      <c r="J3" s="3" t="s">
        <v>419</v>
      </c>
      <c r="K3" s="3" t="str">
        <f aca="false">IFERROR(INDEX(Heroes!$C$2:$C$134,MATCH($D$3,Heroes!$B$2:$B$134,0)),"")</f>
        <v/>
      </c>
      <c r="M3" s="3" t="s">
        <v>334</v>
      </c>
      <c r="N3" s="3" t="n">
        <f aca="false">IFERROR(INDEX(Weights!$B$2:$B$4,MATCH("role_mult",Weights!$A$2:$A$4,0)),5)</f>
        <v>5</v>
      </c>
    </row>
    <row r="4" customFormat="false" ht="15" hidden="false" customHeight="true" outlineLevel="0" collapsed="false">
      <c r="G4" s="3" t="s">
        <v>420</v>
      </c>
      <c r="H4" s="3" t="str">
        <f aca="false">IFERROR(INDEX(Heroes!$D$2:$D$134,MATCH($B$3,Heroes!$B$2:$B$134,0)),"")</f>
        <v/>
      </c>
      <c r="J4" s="3" t="s">
        <v>420</v>
      </c>
      <c r="K4" s="3" t="str">
        <f aca="false">IFERROR(INDEX(Heroes!$D$2:$D$134,MATCH($D$3,Heroes!$B$2:$B$134,0)),"")</f>
        <v/>
      </c>
      <c r="M4" s="3" t="s">
        <v>336</v>
      </c>
      <c r="N4" s="3" t="n">
        <f aca="false">IFERROR(INDEX(Weights!$B$2:$B$4,MATCH("burst_mult",Weights!$A$2:$A$4,0)),0.1)</f>
        <v>0.1</v>
      </c>
    </row>
    <row r="5" customFormat="false" ht="15" hidden="false" customHeight="true" outlineLevel="0" collapsed="false">
      <c r="A5" s="9" t="s">
        <v>421</v>
      </c>
      <c r="G5" s="3" t="s">
        <v>422</v>
      </c>
      <c r="H5" s="3" t="str">
        <f aca="false">IFERROR(INDEX(Heroes!$E$2:$E$134,MATCH($B$3,Heroes!$B$2:$B$134,0)),"")</f>
        <v/>
      </c>
      <c r="J5" s="3" t="s">
        <v>423</v>
      </c>
      <c r="K5" s="3" t="str">
        <f aca="false">IFERROR(INDEX(Heroes!$G$2:$G$134,MATCH($D$3,Heroes!$B$2:$B$134,0)),"")</f>
        <v/>
      </c>
      <c r="M5" s="3" t="s">
        <v>338</v>
      </c>
      <c r="N5" s="3" t="n">
        <f aca="false">IFERROR(INDEX(Weights!$B$2:$B$4,MATCH("diff_mult",Weights!$A$2:$A$4,0)),0.3)</f>
        <v>0.3</v>
      </c>
    </row>
    <row r="6" customFormat="false" ht="15" hidden="false" customHeight="true" outlineLevel="0" collapsed="false">
      <c r="B6" s="2" t="s">
        <v>424</v>
      </c>
      <c r="C6" s="2" t="s">
        <v>332</v>
      </c>
      <c r="G6" s="3" t="s">
        <v>425</v>
      </c>
      <c r="H6" s="3" t="str">
        <f aca="false">IFERROR(INDEX(Heroes!$F$2:$F$134,MATCH($B$3,Heroes!$B$2:$B$134,0)),"")</f>
        <v/>
      </c>
      <c r="J6" s="3" t="s">
        <v>426</v>
      </c>
      <c r="K6" s="3" t="str">
        <f aca="false">IFERROR(INDEX(Heroes!$H$2:$H$134,MATCH($D$3,Heroes!$B$2:$B$134,0)),"")</f>
        <v/>
      </c>
    </row>
    <row r="7" customFormat="false" ht="15" hidden="false" customHeight="true" outlineLevel="0" collapsed="false">
      <c r="B7" s="10" t="s">
        <v>427</v>
      </c>
      <c r="C7" s="11" t="n">
        <f aca="false">IF(OR($B$3="",$D$3=""),0,MAX(IFERROR(INDEX(RoleMatrix!$B$2:$G$7,MATCH($H$3,RoleMatrix!$A$2:$A$7,0),MATCH($K$3,RoleMatrix!$B$1:$G$1,0)),0),IF($H$4&lt;&gt;"",IFERROR(INDEX(RoleMatrix!$B$2:$G$7,MATCH($H$4,RoleMatrix!$A$2:$A$7,0),MATCH($K$3,RoleMatrix!$B$1:$G$1,0)),0),IFERROR(INDEX(RoleMatrix!$B$2:$G$7,MATCH($H$3,RoleMatrix!$A$2:$A$7,0),MATCH($K$3,RoleMatrix!$B$1:$G$1,0)),0)))*$N$3)</f>
        <v>0</v>
      </c>
      <c r="G7" s="3" t="s">
        <v>426</v>
      </c>
      <c r="H7" s="3" t="str">
        <f aca="false">IFERROR(INDEX(Heroes!$H$2:$H$134,MATCH($B$3,Heroes!$B$2:$B$134,0)),"")</f>
        <v/>
      </c>
      <c r="J7" s="3" t="s">
        <v>428</v>
      </c>
      <c r="K7" s="3" t="str">
        <f aca="false">IFERROR(INDEX(Heroes!$I$2:$I$134,MATCH($D$3,Heroes!$B$2:$B$134,0)),"")</f>
        <v/>
      </c>
    </row>
    <row r="8" customFormat="false" ht="15" hidden="false" customHeight="true" outlineLevel="0" collapsed="false">
      <c r="B8" s="10" t="s">
        <v>429</v>
      </c>
      <c r="C8" s="11" t="n">
        <f aca="false">IF(OR($B$3="",$D$3=""),0,(($H$5+$H$6)/2-$K$5)*$N$4)</f>
        <v>0</v>
      </c>
      <c r="G8" s="3" t="s">
        <v>428</v>
      </c>
      <c r="H8" s="3" t="str">
        <f aca="false">IFERROR(INDEX(Heroes!$I$2:$I$134,MATCH($B$3,Heroes!$B$2:$B$134,0)),"")</f>
        <v/>
      </c>
      <c r="J8" s="3" t="s">
        <v>430</v>
      </c>
      <c r="K8" s="3" t="str">
        <f aca="false">IFERROR(INDEX(Heroes!$J$2:$J$134,MATCH($D$3,Heroes!$B$2:$B$134,0)),"")</f>
        <v/>
      </c>
    </row>
    <row r="9" customFormat="false" ht="15" hidden="false" customHeight="true" outlineLevel="0" collapsed="false">
      <c r="B9" s="10" t="s">
        <v>431</v>
      </c>
      <c r="C9" s="11" t="n">
        <f aca="false">IF(OR($B$3="",$D$3=""),0,IF(($H$7-$K$6)&gt;20,($H$7-$K$6)*$N$5,0))</f>
        <v>0</v>
      </c>
      <c r="G9" s="3" t="s">
        <v>430</v>
      </c>
      <c r="H9" s="3" t="str">
        <f aca="false">IFERROR(INDEX(Heroes!$J$2:$J$134,MATCH($B$3,Heroes!$B$2:$B$134,0)),"")</f>
        <v/>
      </c>
      <c r="J9" s="3" t="s">
        <v>432</v>
      </c>
      <c r="K9" s="3" t="str">
        <f aca="false">IFERROR(INDEX(Heroes!$K$2:$K$134,MATCH($D$3,Heroes!$B$2:$B$134,0)),"")</f>
        <v/>
      </c>
    </row>
    <row r="10" customFormat="false" ht="15" hidden="false" customHeight="true" outlineLevel="0" collapsed="false">
      <c r="B10" s="10" t="s">
        <v>433</v>
      </c>
      <c r="C10" s="11" t="n">
        <f aca="false">IF(OR($B$3="",$D$3=""),0,IF($H$10="Mixed",5,IF($H$10=$K$9,-2,3)))</f>
        <v>0</v>
      </c>
      <c r="G10" s="3" t="s">
        <v>432</v>
      </c>
      <c r="H10" s="3" t="str">
        <f aca="false">IFERROR(INDEX(Heroes!$K$2:$K$134,MATCH($B$3,Heroes!$B$2:$B$134,0)),"")</f>
        <v/>
      </c>
      <c r="J10" s="3" t="s">
        <v>434</v>
      </c>
      <c r="K10" s="3" t="str">
        <f aca="false">IFERROR(INDEX(Heroes!$Q$2:$Q$134,MATCH($D$3,Heroes!$B$2:$B$134,0)),"")</f>
        <v/>
      </c>
    </row>
    <row r="11" customFormat="false" ht="15" hidden="false" customHeight="true" outlineLevel="0" collapsed="false">
      <c r="B11" s="10" t="s">
        <v>435</v>
      </c>
      <c r="C11" s="11" t="n">
        <f aca="false">IF(OR($B$3="",$D$3=""),0,($H$11-$K$10)*3)</f>
        <v>0</v>
      </c>
      <c r="G11" s="3" t="s">
        <v>434</v>
      </c>
      <c r="H11" s="3" t="str">
        <f aca="false">IFERROR(INDEX(Heroes!$Q$2:$Q$134,MATCH($B$3,Heroes!$B$2:$B$134,0)),"")</f>
        <v/>
      </c>
    </row>
    <row r="12" customFormat="false" ht="15" hidden="false" customHeight="true" outlineLevel="0" collapsed="false">
      <c r="B12" s="10" t="s">
        <v>436</v>
      </c>
      <c r="C12" s="11" t="n">
        <f aca="false">IF(OR($B$3="",$D$3=""),0,MAX(IF($H$8&lt;&gt;"",IFERROR(INDEX(StyleMatrix!$B$2:$W$23,MATCH($H$8,StyleMatrix!$A$2:$A$23,0),MATCH($K$7,StyleMatrix!$B$1:$W$1,0)),0),0),IF(AND($H$8&lt;&gt;"",$K$8&lt;&gt;""),IFERROR(INDEX(StyleMatrix!$B$2:$W$23,MATCH($H$8,StyleMatrix!$A$2:$A$23,0),MATCH($K$8,StyleMatrix!$B$1:$W$1,0)),0),0),IF($H$9&lt;&gt;"",IFERROR(INDEX(StyleMatrix!$B$2:$W$23,MATCH($H$9,StyleMatrix!$A$2:$A$23,0),MATCH($K$7,StyleMatrix!$B$1:$W$1,0)),0),0),IF(AND($H$9&lt;&gt;"",$K$8&lt;&gt;""),IFERROR(INDEX(StyleMatrix!$B$2:$W$23,MATCH($H$9,StyleMatrix!$A$2:$A$23,0),MATCH($K$8,StyleMatrix!$B$1:$W$1,0)),0),0))*5)</f>
        <v>0</v>
      </c>
    </row>
    <row r="14" customFormat="false" ht="15" hidden="false" customHeight="true" outlineLevel="0" collapsed="false">
      <c r="B14" s="4" t="s">
        <v>437</v>
      </c>
      <c r="C14" s="12" t="n">
        <f aca="false">SUM(C7:C12)</f>
        <v>0</v>
      </c>
    </row>
    <row r="15" customFormat="false" ht="15" hidden="false" customHeight="true" outlineLevel="0" collapsed="false">
      <c r="B15" s="10" t="s">
        <v>438</v>
      </c>
      <c r="C15" s="10" t="n">
        <f aca="false">IFERROR(INDEX(ManualOverrides!$C$2:$C$1000,MATCH($B$3&amp;"|"&amp;$D$3,ManualOverrides!$E$2:$E$1000,0)),"None")</f>
        <v>0</v>
      </c>
    </row>
    <row r="17" customFormat="false" ht="15.75" hidden="false" customHeight="true" outlineLevel="0" collapsed="false">
      <c r="B17" s="13" t="s">
        <v>439</v>
      </c>
      <c r="C17" s="14" t="str">
        <f aca="false">IF(OR($B$3="",$D$3=""),"",IF(C15="None",C14,C15))</f>
        <v/>
      </c>
    </row>
    <row r="19" customFormat="false" ht="15" hidden="false" customHeight="true" outlineLevel="0" collapsed="false">
      <c r="A19" s="3" t="s">
        <v>440</v>
      </c>
    </row>
  </sheetData>
  <mergeCells count="1">
    <mergeCell ref="A1:E1"/>
  </mergeCells>
  <dataValidations count="2">
    <dataValidation allowBlank="true" errorStyle="stop" operator="between" showDropDown="false" showErrorMessage="false" showInputMessage="false" sqref="B3" type="list">
      <formula1>Heroes!$B$2:$B$134</formula1>
      <formula2>0</formula2>
    </dataValidation>
    <dataValidation allowBlank="true" errorStyle="stop" operator="between" showDropDown="false" showErrorMessage="false" showInputMessage="false" sqref="D3" type="list">
      <formula1>Heroes!$B$2:$B$134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n">
        <f aca="false">Lookup!$A$1</f>
        <v>0</v>
      </c>
      <c r="B1" s="1" t="str">
        <f aca="false">IFERROR(INDEX(Heroes!$C$2:$C$134,MATCH($A$1,Heroes!$B$2:$B$134,0)),"")</f>
        <v/>
      </c>
      <c r="C1" s="1" t="n">
        <f aca="false">IFERROR(INDEX(Heroes!$G$2:$G$134,MATCH($A$1,Heroes!$B$2:$B$134,0)),0)</f>
        <v>0</v>
      </c>
      <c r="D1" s="1" t="n">
        <f aca="false">IFERROR(INDEX(Heroes!$H$2:$H$134,MATCH($A$1,Heroes!$B$2:$B$134,0)),0)</f>
        <v>0</v>
      </c>
      <c r="E1" s="1" t="str">
        <f aca="false">IFERROR(INDEX(Heroes!$K$2:$K$134,MATCH($A$1,Heroes!$B$2:$B$134,0)),"")</f>
        <v/>
      </c>
      <c r="F1" s="1" t="n">
        <f aca="false">IFERROR(INDEX(Heroes!$Q$2:$Q$134,MATCH($A$1,Heroes!$B$2:$B$134,0)),0)</f>
        <v>0</v>
      </c>
      <c r="G1" s="1" t="n">
        <f aca="false">IFERROR(INDEX(Weights!$B$2:$B$4,MATCH("role_mult",Weights!$A$2:$A$4,0)),5)</f>
        <v>5</v>
      </c>
      <c r="H1" s="1" t="n">
        <f aca="false">IFERROR(INDEX(Weights!$B$2:$B$4,MATCH("burst_mult",Weights!$A$2:$A$4,0)),0.1)</f>
        <v>0.1</v>
      </c>
      <c r="I1" s="1" t="n">
        <f aca="false">IFERROR(INDEX(Weights!$B$2:$B$4,MATCH("diff_mult",Weights!$A$2:$A$4,0)),0.3)</f>
        <v>0.3</v>
      </c>
      <c r="J1" s="1" t="str">
        <f aca="false">IFERROR(INDEX(Heroes!$M$2:$M$134,MATCH($A$1,Heroes!$B$2:$B$134,0)),"")</f>
        <v/>
      </c>
      <c r="U1" s="3" t="s">
        <v>441</v>
      </c>
      <c r="V1" s="3" t="s">
        <v>442</v>
      </c>
    </row>
    <row r="2" customFormat="false" ht="15" hidden="false" customHeight="true" outlineLevel="0" collapsed="false">
      <c r="A2" s="1" t="str">
        <f aca="false">Heroes!$B2</f>
        <v>Miya</v>
      </c>
      <c r="B2" s="1" t="str">
        <f aca="false">Heroes!$C2</f>
        <v>Marksman</v>
      </c>
      <c r="C2" s="1" t="n">
        <f aca="false">Heroes!$D2</f>
        <v>0</v>
      </c>
      <c r="D2" s="1" t="n">
        <f aca="false">Heroes!$E2</f>
        <v>70</v>
      </c>
      <c r="E2" s="1" t="n">
        <f aca="false">Heroes!$F2</f>
        <v>40</v>
      </c>
      <c r="F2" s="1" t="n">
        <f aca="false">Heroes!$H2</f>
        <v>10</v>
      </c>
      <c r="G2" s="1" t="str">
        <f aca="false">Heroes!$K2</f>
        <v>Physical</v>
      </c>
      <c r="H2" s="1" t="n">
        <f aca="false">Heroes!$Q2</f>
        <v>5</v>
      </c>
      <c r="I2" s="1" t="n">
        <f aca="false">IFERROR(INDEX(RoleMatrix!$B$2:$G$7,MATCH(B2,RoleMatrix!$A$2:$A$7,0),MATCH($B$1,RoleMatrix!$B$1:$G$1,0)),0)</f>
        <v>0</v>
      </c>
      <c r="J2" s="1" t="n">
        <f aca="false">IF(C2&lt;&gt;"",IFERROR(INDEX(RoleMatrix!$B$2:$G$7,MATCH(C2,RoleMatrix!$A$2:$A$7,0),MATCH($B$1,RoleMatrix!$B$1:$G$1,0)),0),I2)</f>
        <v>0</v>
      </c>
      <c r="K2" s="1" t="n">
        <f aca="false">MAX(I2,J2)</f>
        <v>0</v>
      </c>
      <c r="L2" s="1" t="n">
        <f aca="false">((D2+E2)/2-$C$1)*$H$1</f>
        <v>5.5</v>
      </c>
      <c r="M2" s="1" t="n">
        <f aca="false">F2-$D$1</f>
        <v>10</v>
      </c>
      <c r="N2" s="1" t="n">
        <f aca="false">IF(M2&gt;20,M2*$I$1,0)</f>
        <v>0</v>
      </c>
      <c r="O2" s="1" t="n">
        <f aca="false">IF(G2="Mixed",5,IF(G2=$E$1,-2,3))</f>
        <v>3</v>
      </c>
      <c r="P2" s="1" t="n">
        <f aca="false">(H2-$F$1)*3</f>
        <v>15</v>
      </c>
      <c r="Q2" s="1" t="n">
        <f aca="false">K2*$G$1+L2+N2+O2+P2</f>
        <v>23.5</v>
      </c>
      <c r="R2" s="1" t="n">
        <f aca="false">IFERROR(INDEX(ManualOverrides!$C$2:$C$1000,MATCH(A2&amp;"|"&amp;$A$1,ManualOverrides!$E$2:$E$1000,0)),Q2)</f>
        <v>23.5</v>
      </c>
      <c r="S2" s="1" t="n">
        <f aca="false">IF(OR($A$1="",A2=$A$1),-1000000000000000,R2)</f>
        <v>-1000000000000000</v>
      </c>
      <c r="T2" s="1" t="n">
        <f aca="false">S2+ROW()*0.0000001</f>
        <v>-1000000000000000</v>
      </c>
      <c r="U2" s="1" t="str">
        <f aca="false">Heroes!$M2</f>
        <v>Gold Lane</v>
      </c>
      <c r="V2" s="1" t="n">
        <f aca="false">IF(OR($A$1="",A2=$A$1,U2="",U2&lt;&gt;$J$1),-1000000000000000,R2)+ROW()*0.0000001</f>
        <v>-1000000000000000</v>
      </c>
    </row>
    <row r="3" customFormat="false" ht="15" hidden="false" customHeight="true" outlineLevel="0" collapsed="false">
      <c r="A3" s="1" t="str">
        <f aca="false">Heroes!$B3</f>
        <v>Balmond</v>
      </c>
      <c r="B3" s="1" t="str">
        <f aca="false">Heroes!$C3</f>
        <v>Fighter</v>
      </c>
      <c r="C3" s="1" t="n">
        <f aca="false">Heroes!$D3</f>
        <v>0</v>
      </c>
      <c r="D3" s="1" t="n">
        <f aca="false">Heroes!$E3</f>
        <v>30</v>
      </c>
      <c r="E3" s="1" t="n">
        <f aca="false">Heroes!$F3</f>
        <v>20</v>
      </c>
      <c r="F3" s="1" t="n">
        <f aca="false">Heroes!$H3</f>
        <v>10</v>
      </c>
      <c r="G3" s="1" t="str">
        <f aca="false">Heroes!$K3</f>
        <v>Physical</v>
      </c>
      <c r="H3" s="1" t="n">
        <f aca="false">Heroes!$Q3</f>
        <v>3</v>
      </c>
      <c r="I3" s="1" t="n">
        <f aca="false">IFERROR(INDEX(RoleMatrix!$B$2:$G$7,MATCH(B3,RoleMatrix!$A$2:$A$7,0),MATCH($B$1,RoleMatrix!$B$1:$G$1,0)),0)</f>
        <v>0</v>
      </c>
      <c r="J3" s="1" t="n">
        <f aca="false">IF(C3&lt;&gt;"",IFERROR(INDEX(RoleMatrix!$B$2:$G$7,MATCH(C3,RoleMatrix!$A$2:$A$7,0),MATCH($B$1,RoleMatrix!$B$1:$G$1,0)),0),I3)</f>
        <v>0</v>
      </c>
      <c r="K3" s="1" t="n">
        <f aca="false">MAX(I3,J3)</f>
        <v>0</v>
      </c>
      <c r="L3" s="1" t="n">
        <f aca="false">((D3+E3)/2-$C$1)*$H$1</f>
        <v>2.5</v>
      </c>
      <c r="M3" s="1" t="n">
        <f aca="false">F3-$D$1</f>
        <v>10</v>
      </c>
      <c r="N3" s="1" t="n">
        <f aca="false">IF(M3&gt;20,M3*$I$1,0)</f>
        <v>0</v>
      </c>
      <c r="O3" s="1" t="n">
        <f aca="false">IF(G3="Mixed",5,IF(G3=$E$1,-2,3))</f>
        <v>3</v>
      </c>
      <c r="P3" s="1" t="n">
        <f aca="false">(H3-$F$1)*3</f>
        <v>9</v>
      </c>
      <c r="Q3" s="1" t="n">
        <f aca="false">K3*$G$1+L3+N3+O3+P3</f>
        <v>14.5</v>
      </c>
      <c r="R3" s="1" t="n">
        <f aca="false">IFERROR(INDEX(ManualOverrides!$C$2:$C$1000,MATCH(A3&amp;"|"&amp;$A$1,ManualOverrides!$E$2:$E$1000,0)),Q3)</f>
        <v>14.5</v>
      </c>
      <c r="S3" s="1" t="n">
        <f aca="false">IF(OR($A$1="",A3=$A$1),-1000000000000000,R3)</f>
        <v>-1000000000000000</v>
      </c>
      <c r="T3" s="1" t="n">
        <f aca="false">S3+ROW()*0.0000001</f>
        <v>-1000000000000000</v>
      </c>
      <c r="U3" s="1" t="str">
        <f aca="false">Heroes!$M3</f>
        <v>Jungle</v>
      </c>
      <c r="V3" s="1" t="n">
        <f aca="false">IF(OR($A$1="",A3=$A$1,U3="",U3&lt;&gt;$J$1),-1000000000000000,R3)+ROW()*0.0000001</f>
        <v>-1000000000000000</v>
      </c>
    </row>
    <row r="4" customFormat="false" ht="15" hidden="false" customHeight="true" outlineLevel="0" collapsed="false">
      <c r="A4" s="1" t="str">
        <f aca="false">Heroes!$B4</f>
        <v>Saber</v>
      </c>
      <c r="B4" s="1" t="str">
        <f aca="false">Heroes!$C4</f>
        <v>Assassin</v>
      </c>
      <c r="C4" s="1" t="n">
        <f aca="false">Heroes!$D4</f>
        <v>0</v>
      </c>
      <c r="D4" s="1" t="n">
        <f aca="false">Heroes!$E4</f>
        <v>60</v>
      </c>
      <c r="E4" s="1" t="n">
        <f aca="false">Heroes!$F4</f>
        <v>60</v>
      </c>
      <c r="F4" s="1" t="n">
        <f aca="false">Heroes!$H4</f>
        <v>10</v>
      </c>
      <c r="G4" s="1" t="str">
        <f aca="false">Heroes!$K4</f>
        <v>Physical</v>
      </c>
      <c r="H4" s="1" t="n">
        <f aca="false">Heroes!$Q4</f>
        <v>2</v>
      </c>
      <c r="I4" s="1" t="n">
        <f aca="false">IFERROR(INDEX(RoleMatrix!$B$2:$G$7,MATCH(B4,RoleMatrix!$A$2:$A$7,0),MATCH($B$1,RoleMatrix!$B$1:$G$1,0)),0)</f>
        <v>0</v>
      </c>
      <c r="J4" s="1" t="n">
        <f aca="false">IF(C4&lt;&gt;"",IFERROR(INDEX(RoleMatrix!$B$2:$G$7,MATCH(C4,RoleMatrix!$A$2:$A$7,0),MATCH($B$1,RoleMatrix!$B$1:$G$1,0)),0),I4)</f>
        <v>0</v>
      </c>
      <c r="K4" s="1" t="n">
        <f aca="false">MAX(I4,J4)</f>
        <v>0</v>
      </c>
      <c r="L4" s="1" t="n">
        <f aca="false">((D4+E4)/2-$C$1)*$H$1</f>
        <v>6</v>
      </c>
      <c r="M4" s="1" t="n">
        <f aca="false">F4-$D$1</f>
        <v>10</v>
      </c>
      <c r="N4" s="1" t="n">
        <f aca="false">IF(M4&gt;20,M4*$I$1,0)</f>
        <v>0</v>
      </c>
      <c r="O4" s="1" t="n">
        <f aca="false">IF(G4="Mixed",5,IF(G4=$E$1,-2,3))</f>
        <v>3</v>
      </c>
      <c r="P4" s="1" t="n">
        <f aca="false">(H4-$F$1)*3</f>
        <v>6</v>
      </c>
      <c r="Q4" s="1" t="n">
        <f aca="false">K4*$G$1+L4+N4+O4+P4</f>
        <v>15</v>
      </c>
      <c r="R4" s="1" t="n">
        <f aca="false">IFERROR(INDEX(ManualOverrides!$C$2:$C$1000,MATCH(A4&amp;"|"&amp;$A$1,ManualOverrides!$E$2:$E$1000,0)),Q4)</f>
        <v>15</v>
      </c>
      <c r="S4" s="1" t="n">
        <f aca="false">IF(OR($A$1="",A4=$A$1),-1000000000000000,R4)</f>
        <v>-1000000000000000</v>
      </c>
      <c r="T4" s="1" t="n">
        <f aca="false">S4+ROW()*0.0000001</f>
        <v>-1000000000000000</v>
      </c>
      <c r="U4" s="1" t="str">
        <f aca="false">Heroes!$M4</f>
        <v>Jungle</v>
      </c>
      <c r="V4" s="1" t="n">
        <f aca="false">IF(OR($A$1="",A4=$A$1,U4="",U4&lt;&gt;$J$1),-1000000000000000,R4)+ROW()*0.0000001</f>
        <v>-1000000000000000</v>
      </c>
    </row>
    <row r="5" customFormat="false" ht="15" hidden="false" customHeight="true" outlineLevel="0" collapsed="false">
      <c r="A5" s="1" t="str">
        <f aca="false">Heroes!$B5</f>
        <v>Alice</v>
      </c>
      <c r="B5" s="1" t="str">
        <f aca="false">Heroes!$C5</f>
        <v>Mage</v>
      </c>
      <c r="C5" s="1" t="n">
        <f aca="false">Heroes!$D5</f>
        <v>0</v>
      </c>
      <c r="D5" s="1" t="n">
        <f aca="false">Heroes!$E5</f>
        <v>50</v>
      </c>
      <c r="E5" s="1" t="n">
        <f aca="false">Heroes!$F5</f>
        <v>70</v>
      </c>
      <c r="F5" s="1" t="n">
        <f aca="false">Heroes!$H5</f>
        <v>70</v>
      </c>
      <c r="G5" s="1" t="str">
        <f aca="false">Heroes!$K5</f>
        <v>Magic</v>
      </c>
      <c r="H5" s="1" t="n">
        <f aca="false">Heroes!$Q5</f>
        <v>5</v>
      </c>
      <c r="I5" s="1" t="n">
        <f aca="false">IFERROR(INDEX(RoleMatrix!$B$2:$G$7,MATCH(B5,RoleMatrix!$A$2:$A$7,0),MATCH($B$1,RoleMatrix!$B$1:$G$1,0)),0)</f>
        <v>0</v>
      </c>
      <c r="J5" s="1" t="n">
        <f aca="false">IF(C5&lt;&gt;"",IFERROR(INDEX(RoleMatrix!$B$2:$G$7,MATCH(C5,RoleMatrix!$A$2:$A$7,0),MATCH($B$1,RoleMatrix!$B$1:$G$1,0)),0),I5)</f>
        <v>0</v>
      </c>
      <c r="K5" s="1" t="n">
        <f aca="false">MAX(I5,J5)</f>
        <v>0</v>
      </c>
      <c r="L5" s="1" t="n">
        <f aca="false">((D5+E5)/2-$C$1)*$H$1</f>
        <v>6</v>
      </c>
      <c r="M5" s="1" t="n">
        <f aca="false">F5-$D$1</f>
        <v>70</v>
      </c>
      <c r="N5" s="1" t="n">
        <f aca="false">IF(M5&gt;20,M5*$I$1,0)</f>
        <v>21</v>
      </c>
      <c r="O5" s="1" t="n">
        <f aca="false">IF(G5="Mixed",5,IF(G5=$E$1,-2,3))</f>
        <v>3</v>
      </c>
      <c r="P5" s="1" t="n">
        <f aca="false">(H5-$F$1)*3</f>
        <v>15</v>
      </c>
      <c r="Q5" s="1" t="n">
        <f aca="false">K5*$G$1+L5+N5+O5+P5</f>
        <v>45</v>
      </c>
      <c r="R5" s="1" t="n">
        <f aca="false">IFERROR(INDEX(ManualOverrides!$C$2:$C$1000,MATCH(A5&amp;"|"&amp;$A$1,ManualOverrides!$E$2:$E$1000,0)),Q5)</f>
        <v>45</v>
      </c>
      <c r="S5" s="1" t="n">
        <f aca="false">IF(OR($A$1="",A5=$A$1),-1000000000000000,R5)</f>
        <v>-1000000000000000</v>
      </c>
      <c r="T5" s="1" t="n">
        <f aca="false">S5+ROW()*0.0000001</f>
        <v>-1000000000000000</v>
      </c>
      <c r="U5" s="1" t="str">
        <f aca="false">Heroes!$M5</f>
        <v>EXP Lane</v>
      </c>
      <c r="V5" s="1" t="n">
        <f aca="false">IF(OR($A$1="",A5=$A$1,U5="",U5&lt;&gt;$J$1),-1000000000000000,R5)+ROW()*0.0000001</f>
        <v>-1000000000000000</v>
      </c>
    </row>
    <row r="6" customFormat="false" ht="15" hidden="false" customHeight="true" outlineLevel="0" collapsed="false">
      <c r="A6" s="1" t="str">
        <f aca="false">Heroes!$B6</f>
        <v>Nana</v>
      </c>
      <c r="B6" s="1" t="str">
        <f aca="false">Heroes!$C6</f>
        <v>Mage</v>
      </c>
      <c r="C6" s="1" t="n">
        <f aca="false">Heroes!$D6</f>
        <v>0</v>
      </c>
      <c r="D6" s="1" t="n">
        <f aca="false">Heroes!$E6</f>
        <v>60</v>
      </c>
      <c r="E6" s="1" t="n">
        <f aca="false">Heroes!$F6</f>
        <v>100</v>
      </c>
      <c r="F6" s="1" t="n">
        <f aca="false">Heroes!$H6</f>
        <v>10</v>
      </c>
      <c r="G6" s="1" t="str">
        <f aca="false">Heroes!$K6</f>
        <v>Magic</v>
      </c>
      <c r="H6" s="1" t="n">
        <f aca="false">Heroes!$Q6</f>
        <v>3</v>
      </c>
      <c r="I6" s="1" t="n">
        <f aca="false">IFERROR(INDEX(RoleMatrix!$B$2:$G$7,MATCH(B6,RoleMatrix!$A$2:$A$7,0),MATCH($B$1,RoleMatrix!$B$1:$G$1,0)),0)</f>
        <v>0</v>
      </c>
      <c r="J6" s="1" t="n">
        <f aca="false">IF(C6&lt;&gt;"",IFERROR(INDEX(RoleMatrix!$B$2:$G$7,MATCH(C6,RoleMatrix!$A$2:$A$7,0),MATCH($B$1,RoleMatrix!$B$1:$G$1,0)),0),I6)</f>
        <v>0</v>
      </c>
      <c r="K6" s="1" t="n">
        <f aca="false">MAX(I6,J6)</f>
        <v>0</v>
      </c>
      <c r="L6" s="1" t="n">
        <f aca="false">((D6+E6)/2-$C$1)*$H$1</f>
        <v>8</v>
      </c>
      <c r="M6" s="1" t="n">
        <f aca="false">F6-$D$1</f>
        <v>10</v>
      </c>
      <c r="N6" s="1" t="n">
        <f aca="false">IF(M6&gt;20,M6*$I$1,0)</f>
        <v>0</v>
      </c>
      <c r="O6" s="1" t="n">
        <f aca="false">IF(G6="Mixed",5,IF(G6=$E$1,-2,3))</f>
        <v>3</v>
      </c>
      <c r="P6" s="1" t="n">
        <f aca="false">(H6-$F$1)*3</f>
        <v>9</v>
      </c>
      <c r="Q6" s="1" t="n">
        <f aca="false">K6*$G$1+L6+N6+O6+P6</f>
        <v>20</v>
      </c>
      <c r="R6" s="1" t="n">
        <f aca="false">IFERROR(INDEX(ManualOverrides!$C$2:$C$1000,MATCH(A6&amp;"|"&amp;$A$1,ManualOverrides!$E$2:$E$1000,0)),Q6)</f>
        <v>20</v>
      </c>
      <c r="S6" s="1" t="n">
        <f aca="false">IF(OR($A$1="",A6=$A$1),-1000000000000000,R6)</f>
        <v>-1000000000000000</v>
      </c>
      <c r="T6" s="1" t="n">
        <f aca="false">S6+ROW()*0.0000001</f>
        <v>-1000000000000000</v>
      </c>
      <c r="U6" s="1" t="str">
        <f aca="false">Heroes!$M6</f>
        <v>Mid Lane</v>
      </c>
      <c r="V6" s="1" t="n">
        <f aca="false">IF(OR($A$1="",A6=$A$1,U6="",U6&lt;&gt;$J$1),-1000000000000000,R6)+ROW()*0.0000001</f>
        <v>-1000000000000000</v>
      </c>
    </row>
    <row r="7" customFormat="false" ht="15" hidden="false" customHeight="true" outlineLevel="0" collapsed="false">
      <c r="A7" s="1" t="str">
        <f aca="false">Heroes!$B7</f>
        <v>Tigreal</v>
      </c>
      <c r="B7" s="1" t="str">
        <f aca="false">Heroes!$C7</f>
        <v>Tank</v>
      </c>
      <c r="C7" s="1" t="n">
        <f aca="false">Heroes!$D7</f>
        <v>0</v>
      </c>
      <c r="D7" s="1" t="n">
        <f aca="false">Heroes!$E7</f>
        <v>10</v>
      </c>
      <c r="E7" s="1" t="n">
        <f aca="false">Heroes!$F7</f>
        <v>100</v>
      </c>
      <c r="F7" s="1" t="n">
        <f aca="false">Heroes!$H7</f>
        <v>10</v>
      </c>
      <c r="G7" s="1" t="str">
        <f aca="false">Heroes!$K7</f>
        <v>Physical</v>
      </c>
      <c r="H7" s="1" t="n">
        <f aca="false">Heroes!$Q7</f>
        <v>2</v>
      </c>
      <c r="I7" s="1" t="n">
        <f aca="false">IFERROR(INDEX(RoleMatrix!$B$2:$G$7,MATCH(B7,RoleMatrix!$A$2:$A$7,0),MATCH($B$1,RoleMatrix!$B$1:$G$1,0)),0)</f>
        <v>0</v>
      </c>
      <c r="J7" s="1" t="n">
        <f aca="false">IF(C7&lt;&gt;"",IFERROR(INDEX(RoleMatrix!$B$2:$G$7,MATCH(C7,RoleMatrix!$A$2:$A$7,0),MATCH($B$1,RoleMatrix!$B$1:$G$1,0)),0),I7)</f>
        <v>0</v>
      </c>
      <c r="K7" s="1" t="n">
        <f aca="false">MAX(I7,J7)</f>
        <v>0</v>
      </c>
      <c r="L7" s="1" t="n">
        <f aca="false">((D7+E7)/2-$C$1)*$H$1</f>
        <v>5.5</v>
      </c>
      <c r="M7" s="1" t="n">
        <f aca="false">F7-$D$1</f>
        <v>10</v>
      </c>
      <c r="N7" s="1" t="n">
        <f aca="false">IF(M7&gt;20,M7*$I$1,0)</f>
        <v>0</v>
      </c>
      <c r="O7" s="1" t="n">
        <f aca="false">IF(G7="Mixed",5,IF(G7=$E$1,-2,3))</f>
        <v>3</v>
      </c>
      <c r="P7" s="1" t="n">
        <f aca="false">(H7-$F$1)*3</f>
        <v>6</v>
      </c>
      <c r="Q7" s="1" t="n">
        <f aca="false">K7*$G$1+L7+N7+O7+P7</f>
        <v>14.5</v>
      </c>
      <c r="R7" s="1" t="n">
        <f aca="false">IFERROR(INDEX(ManualOverrides!$C$2:$C$1000,MATCH(A7&amp;"|"&amp;$A$1,ManualOverrides!$E$2:$E$1000,0)),Q7)</f>
        <v>14.5</v>
      </c>
      <c r="S7" s="1" t="n">
        <f aca="false">IF(OR($A$1="",A7=$A$1),-1000000000000000,R7)</f>
        <v>-1000000000000000</v>
      </c>
      <c r="T7" s="1" t="n">
        <f aca="false">S7+ROW()*0.0000001</f>
        <v>-1000000000000000</v>
      </c>
      <c r="U7" s="1" t="str">
        <f aca="false">Heroes!$M7</f>
        <v>Roaming</v>
      </c>
      <c r="V7" s="1" t="n">
        <f aca="false">IF(OR($A$1="",A7=$A$1,U7="",U7&lt;&gt;$J$1),-1000000000000000,R7)+ROW()*0.0000001</f>
        <v>-1000000000000000</v>
      </c>
    </row>
    <row r="8" customFormat="false" ht="15" hidden="false" customHeight="true" outlineLevel="0" collapsed="false">
      <c r="A8" s="1" t="str">
        <f aca="false">Heroes!$B8</f>
        <v>Alucard</v>
      </c>
      <c r="B8" s="1" t="str">
        <f aca="false">Heroes!$C8</f>
        <v>Fighter</v>
      </c>
      <c r="C8" s="1" t="str">
        <f aca="false">Heroes!$D8</f>
        <v>Assassin</v>
      </c>
      <c r="D8" s="1" t="n">
        <f aca="false">Heroes!$E8</f>
        <v>50</v>
      </c>
      <c r="E8" s="1" t="n">
        <f aca="false">Heroes!$F8</f>
        <v>10</v>
      </c>
      <c r="F8" s="1" t="n">
        <f aca="false">Heroes!$H8</f>
        <v>40</v>
      </c>
      <c r="G8" s="1" t="str">
        <f aca="false">Heroes!$K8</f>
        <v>Physical</v>
      </c>
      <c r="H8" s="1" t="n">
        <f aca="false">Heroes!$Q8</f>
        <v>3</v>
      </c>
      <c r="I8" s="1" t="n">
        <f aca="false">IFERROR(INDEX(RoleMatrix!$B$2:$G$7,MATCH(B8,RoleMatrix!$A$2:$A$7,0),MATCH($B$1,RoleMatrix!$B$1:$G$1,0)),0)</f>
        <v>0</v>
      </c>
      <c r="J8" s="1" t="n">
        <f aca="false">IF(C8&lt;&gt;"",IFERROR(INDEX(RoleMatrix!$B$2:$G$7,MATCH(C8,RoleMatrix!$A$2:$A$7,0),MATCH($B$1,RoleMatrix!$B$1:$G$1,0)),0),I8)</f>
        <v>0</v>
      </c>
      <c r="K8" s="1" t="n">
        <f aca="false">MAX(I8,J8)</f>
        <v>0</v>
      </c>
      <c r="L8" s="1" t="n">
        <f aca="false">((D8+E8)/2-$C$1)*$H$1</f>
        <v>3</v>
      </c>
      <c r="M8" s="1" t="n">
        <f aca="false">F8-$D$1</f>
        <v>40</v>
      </c>
      <c r="N8" s="1" t="n">
        <f aca="false">IF(M8&gt;20,M8*$I$1,0)</f>
        <v>12</v>
      </c>
      <c r="O8" s="1" t="n">
        <f aca="false">IF(G8="Mixed",5,IF(G8=$E$1,-2,3))</f>
        <v>3</v>
      </c>
      <c r="P8" s="1" t="n">
        <f aca="false">(H8-$F$1)*3</f>
        <v>9</v>
      </c>
      <c r="Q8" s="1" t="n">
        <f aca="false">K8*$G$1+L8+N8+O8+P8</f>
        <v>27</v>
      </c>
      <c r="R8" s="1" t="n">
        <f aca="false">IFERROR(INDEX(ManualOverrides!$C$2:$C$1000,MATCH(A8&amp;"|"&amp;$A$1,ManualOverrides!$E$2:$E$1000,0)),Q8)</f>
        <v>27</v>
      </c>
      <c r="S8" s="1" t="n">
        <f aca="false">IF(OR($A$1="",A8=$A$1),-1000000000000000,R8)</f>
        <v>-1000000000000000</v>
      </c>
      <c r="T8" s="1" t="n">
        <f aca="false">S8+ROW()*0.0000001</f>
        <v>-1000000000000000</v>
      </c>
      <c r="U8" s="1" t="str">
        <f aca="false">Heroes!$M8</f>
        <v>Jungle</v>
      </c>
      <c r="V8" s="1" t="n">
        <f aca="false">IF(OR($A$1="",A8=$A$1,U8="",U8&lt;&gt;$J$1),-1000000000000000,R8)+ROW()*0.0000001</f>
        <v>-1000000000000000</v>
      </c>
    </row>
    <row r="9" customFormat="false" ht="15" hidden="false" customHeight="true" outlineLevel="0" collapsed="false">
      <c r="A9" s="1" t="str">
        <f aca="false">Heroes!$B9</f>
        <v>Karina</v>
      </c>
      <c r="B9" s="1" t="str">
        <f aca="false">Heroes!$C9</f>
        <v>Assassin</v>
      </c>
      <c r="C9" s="1" t="n">
        <f aca="false">Heroes!$D9</f>
        <v>0</v>
      </c>
      <c r="D9" s="1" t="n">
        <f aca="false">Heroes!$E9</f>
        <v>70</v>
      </c>
      <c r="E9" s="1" t="n">
        <f aca="false">Heroes!$F9</f>
        <v>10</v>
      </c>
      <c r="F9" s="1" t="n">
        <f aca="false">Heroes!$H9</f>
        <v>40</v>
      </c>
      <c r="G9" s="1" t="str">
        <f aca="false">Heroes!$K9</f>
        <v>Magic</v>
      </c>
      <c r="H9" s="1" t="n">
        <f aca="false">Heroes!$Q9</f>
        <v>2</v>
      </c>
      <c r="I9" s="1" t="n">
        <f aca="false">IFERROR(INDEX(RoleMatrix!$B$2:$G$7,MATCH(B9,RoleMatrix!$A$2:$A$7,0),MATCH($B$1,RoleMatrix!$B$1:$G$1,0)),0)</f>
        <v>0</v>
      </c>
      <c r="J9" s="1" t="n">
        <f aca="false">IF(C9&lt;&gt;"",IFERROR(INDEX(RoleMatrix!$B$2:$G$7,MATCH(C9,RoleMatrix!$A$2:$A$7,0),MATCH($B$1,RoleMatrix!$B$1:$G$1,0)),0),I9)</f>
        <v>0</v>
      </c>
      <c r="K9" s="1" t="n">
        <f aca="false">MAX(I9,J9)</f>
        <v>0</v>
      </c>
      <c r="L9" s="1" t="n">
        <f aca="false">((D9+E9)/2-$C$1)*$H$1</f>
        <v>4</v>
      </c>
      <c r="M9" s="1" t="n">
        <f aca="false">F9-$D$1</f>
        <v>40</v>
      </c>
      <c r="N9" s="1" t="n">
        <f aca="false">IF(M9&gt;20,M9*$I$1,0)</f>
        <v>12</v>
      </c>
      <c r="O9" s="1" t="n">
        <f aca="false">IF(G9="Mixed",5,IF(G9=$E$1,-2,3))</f>
        <v>3</v>
      </c>
      <c r="P9" s="1" t="n">
        <f aca="false">(H9-$F$1)*3</f>
        <v>6</v>
      </c>
      <c r="Q9" s="1" t="n">
        <f aca="false">K9*$G$1+L9+N9+O9+P9</f>
        <v>25</v>
      </c>
      <c r="R9" s="1" t="n">
        <f aca="false">IFERROR(INDEX(ManualOverrides!$C$2:$C$1000,MATCH(A9&amp;"|"&amp;$A$1,ManualOverrides!$E$2:$E$1000,0)),Q9)</f>
        <v>25</v>
      </c>
      <c r="S9" s="1" t="n">
        <f aca="false">IF(OR($A$1="",A9=$A$1),-1000000000000000,R9)</f>
        <v>-1000000000000000</v>
      </c>
      <c r="T9" s="1" t="n">
        <f aca="false">S9+ROW()*0.0000001</f>
        <v>-1000000000000000</v>
      </c>
      <c r="U9" s="1" t="str">
        <f aca="false">Heroes!$M9</f>
        <v>Jungle</v>
      </c>
      <c r="V9" s="1" t="n">
        <f aca="false">IF(OR($A$1="",A9=$A$1,U9="",U9&lt;&gt;$J$1),-1000000000000000,R9)+ROW()*0.0000001</f>
        <v>-1000000000000000</v>
      </c>
    </row>
    <row r="10" customFormat="false" ht="15" hidden="false" customHeight="true" outlineLevel="0" collapsed="false">
      <c r="A10" s="1" t="str">
        <f aca="false">Heroes!$B10</f>
        <v>Akai</v>
      </c>
      <c r="B10" s="1" t="str">
        <f aca="false">Heroes!$C10</f>
        <v>Tank</v>
      </c>
      <c r="C10" s="1" t="n">
        <f aca="false">Heroes!$D10</f>
        <v>0</v>
      </c>
      <c r="D10" s="1" t="n">
        <f aca="false">Heroes!$E10</f>
        <v>30</v>
      </c>
      <c r="E10" s="1" t="n">
        <f aca="false">Heroes!$F10</f>
        <v>90</v>
      </c>
      <c r="F10" s="1" t="n">
        <f aca="false">Heroes!$H10</f>
        <v>30</v>
      </c>
      <c r="G10" s="1" t="str">
        <f aca="false">Heroes!$K10</f>
        <v>Physical</v>
      </c>
      <c r="H10" s="1" t="n">
        <f aca="false">Heroes!$Q10</f>
        <v>2</v>
      </c>
      <c r="I10" s="1" t="n">
        <f aca="false">IFERROR(INDEX(RoleMatrix!$B$2:$G$7,MATCH(B10,RoleMatrix!$A$2:$A$7,0),MATCH($B$1,RoleMatrix!$B$1:$G$1,0)),0)</f>
        <v>0</v>
      </c>
      <c r="J10" s="1" t="n">
        <f aca="false">IF(C10&lt;&gt;"",IFERROR(INDEX(RoleMatrix!$B$2:$G$7,MATCH(C10,RoleMatrix!$A$2:$A$7,0),MATCH($B$1,RoleMatrix!$B$1:$G$1,0)),0),I10)</f>
        <v>0</v>
      </c>
      <c r="K10" s="1" t="n">
        <f aca="false">MAX(I10,J10)</f>
        <v>0</v>
      </c>
      <c r="L10" s="1" t="n">
        <f aca="false">((D10+E10)/2-$C$1)*$H$1</f>
        <v>6</v>
      </c>
      <c r="M10" s="1" t="n">
        <f aca="false">F10-$D$1</f>
        <v>30</v>
      </c>
      <c r="N10" s="1" t="n">
        <f aca="false">IF(M10&gt;20,M10*$I$1,0)</f>
        <v>9</v>
      </c>
      <c r="O10" s="1" t="n">
        <f aca="false">IF(G10="Mixed",5,IF(G10=$E$1,-2,3))</f>
        <v>3</v>
      </c>
      <c r="P10" s="1" t="n">
        <f aca="false">(H10-$F$1)*3</f>
        <v>6</v>
      </c>
      <c r="Q10" s="1" t="n">
        <f aca="false">K10*$G$1+L10+N10+O10+P10</f>
        <v>24</v>
      </c>
      <c r="R10" s="1" t="n">
        <f aca="false">IFERROR(INDEX(ManualOverrides!$C$2:$C$1000,MATCH(A10&amp;"|"&amp;$A$1,ManualOverrides!$E$2:$E$1000,0)),Q10)</f>
        <v>24</v>
      </c>
      <c r="S10" s="1" t="n">
        <f aca="false">IF(OR($A$1="",A10=$A$1),-1000000000000000,R10)</f>
        <v>-1000000000000000</v>
      </c>
      <c r="T10" s="1" t="n">
        <f aca="false">S10+ROW()*0.0000001</f>
        <v>-1000000000000000</v>
      </c>
      <c r="U10" s="1" t="str">
        <f aca="false">Heroes!$M10</f>
        <v>Roaming</v>
      </c>
      <c r="V10" s="1" t="n">
        <f aca="false">IF(OR($A$1="",A10=$A$1,U10="",U10&lt;&gt;$J$1),-1000000000000000,R10)+ROW()*0.0000001</f>
        <v>-1000000000000000</v>
      </c>
    </row>
    <row r="11" customFormat="false" ht="15" hidden="false" customHeight="true" outlineLevel="0" collapsed="false">
      <c r="A11" s="1" t="str">
        <f aca="false">Heroes!$B11</f>
        <v>Franco</v>
      </c>
      <c r="B11" s="1" t="str">
        <f aca="false">Heroes!$C11</f>
        <v>Tank</v>
      </c>
      <c r="C11" s="1" t="n">
        <f aca="false">Heroes!$D11</f>
        <v>0</v>
      </c>
      <c r="D11" s="1" t="n">
        <f aca="false">Heroes!$E11</f>
        <v>10</v>
      </c>
      <c r="E11" s="1" t="n">
        <f aca="false">Heroes!$F11</f>
        <v>100</v>
      </c>
      <c r="F11" s="1" t="n">
        <f aca="false">Heroes!$H11</f>
        <v>20</v>
      </c>
      <c r="G11" s="1" t="str">
        <f aca="false">Heroes!$K11</f>
        <v>Physical</v>
      </c>
      <c r="H11" s="1" t="n">
        <f aca="false">Heroes!$Q11</f>
        <v>2</v>
      </c>
      <c r="I11" s="1" t="n">
        <f aca="false">IFERROR(INDEX(RoleMatrix!$B$2:$G$7,MATCH(B11,RoleMatrix!$A$2:$A$7,0),MATCH($B$1,RoleMatrix!$B$1:$G$1,0)),0)</f>
        <v>0</v>
      </c>
      <c r="J11" s="1" t="n">
        <f aca="false">IF(C11&lt;&gt;"",IFERROR(INDEX(RoleMatrix!$B$2:$G$7,MATCH(C11,RoleMatrix!$A$2:$A$7,0),MATCH($B$1,RoleMatrix!$B$1:$G$1,0)),0),I11)</f>
        <v>0</v>
      </c>
      <c r="K11" s="1" t="n">
        <f aca="false">MAX(I11,J11)</f>
        <v>0</v>
      </c>
      <c r="L11" s="1" t="n">
        <f aca="false">((D11+E11)/2-$C$1)*$H$1</f>
        <v>5.5</v>
      </c>
      <c r="M11" s="1" t="n">
        <f aca="false">F11-$D$1</f>
        <v>20</v>
      </c>
      <c r="N11" s="1" t="n">
        <f aca="false">IF(M11&gt;20,M11*$I$1,0)</f>
        <v>0</v>
      </c>
      <c r="O11" s="1" t="n">
        <f aca="false">IF(G11="Mixed",5,IF(G11=$E$1,-2,3))</f>
        <v>3</v>
      </c>
      <c r="P11" s="1" t="n">
        <f aca="false">(H11-$F$1)*3</f>
        <v>6</v>
      </c>
      <c r="Q11" s="1" t="n">
        <f aca="false">K11*$G$1+L11+N11+O11+P11</f>
        <v>14.5</v>
      </c>
      <c r="R11" s="1" t="n">
        <f aca="false">IFERROR(INDEX(ManualOverrides!$C$2:$C$1000,MATCH(A11&amp;"|"&amp;$A$1,ManualOverrides!$E$2:$E$1000,0)),Q11)</f>
        <v>14.5</v>
      </c>
      <c r="S11" s="1" t="n">
        <f aca="false">IF(OR($A$1="",A11=$A$1),-1000000000000000,R11)</f>
        <v>-1000000000000000</v>
      </c>
      <c r="T11" s="1" t="n">
        <f aca="false">S11+ROW()*0.0000001</f>
        <v>-1000000000000000</v>
      </c>
      <c r="U11" s="1" t="str">
        <f aca="false">Heroes!$M11</f>
        <v>Roaming</v>
      </c>
      <c r="V11" s="1" t="n">
        <f aca="false">IF(OR($A$1="",A11=$A$1,U11="",U11&lt;&gt;$J$1),-1000000000000000,R11)+ROW()*0.0000001</f>
        <v>-1000000000000000</v>
      </c>
    </row>
    <row r="12" customFormat="false" ht="15" hidden="false" customHeight="true" outlineLevel="0" collapsed="false">
      <c r="A12" s="1" t="str">
        <f aca="false">Heroes!$B12</f>
        <v>Bane</v>
      </c>
      <c r="B12" s="1" t="str">
        <f aca="false">Heroes!$C12</f>
        <v>Fighter</v>
      </c>
      <c r="C12" s="1" t="str">
        <f aca="false">Heroes!$D12</f>
        <v>Mage</v>
      </c>
      <c r="D12" s="1" t="n">
        <f aca="false">Heroes!$E12</f>
        <v>60</v>
      </c>
      <c r="E12" s="1" t="n">
        <f aca="false">Heroes!$F12</f>
        <v>40</v>
      </c>
      <c r="F12" s="1" t="n">
        <f aca="false">Heroes!$H12</f>
        <v>30</v>
      </c>
      <c r="G12" s="1" t="str">
        <f aca="false">Heroes!$K12</f>
        <v>Mixed</v>
      </c>
      <c r="H12" s="1" t="n">
        <f aca="false">Heroes!$Q12</f>
        <v>3</v>
      </c>
      <c r="I12" s="1" t="n">
        <f aca="false">IFERROR(INDEX(RoleMatrix!$B$2:$G$7,MATCH(B12,RoleMatrix!$A$2:$A$7,0),MATCH($B$1,RoleMatrix!$B$1:$G$1,0)),0)</f>
        <v>0</v>
      </c>
      <c r="J12" s="1" t="n">
        <f aca="false">IF(C12&lt;&gt;"",IFERROR(INDEX(RoleMatrix!$B$2:$G$7,MATCH(C12,RoleMatrix!$A$2:$A$7,0),MATCH($B$1,RoleMatrix!$B$1:$G$1,0)),0),I12)</f>
        <v>0</v>
      </c>
      <c r="K12" s="1" t="n">
        <f aca="false">MAX(I12,J12)</f>
        <v>0</v>
      </c>
      <c r="L12" s="1" t="n">
        <f aca="false">((D12+E12)/2-$C$1)*$H$1</f>
        <v>5</v>
      </c>
      <c r="M12" s="1" t="n">
        <f aca="false">F12-$D$1</f>
        <v>30</v>
      </c>
      <c r="N12" s="1" t="n">
        <f aca="false">IF(M12&gt;20,M12*$I$1,0)</f>
        <v>9</v>
      </c>
      <c r="O12" s="1" t="n">
        <f aca="false">IF(G12="Mixed",5,IF(G12=$E$1,-2,3))</f>
        <v>5</v>
      </c>
      <c r="P12" s="1" t="n">
        <f aca="false">(H12-$F$1)*3</f>
        <v>9</v>
      </c>
      <c r="Q12" s="1" t="n">
        <f aca="false">K12*$G$1+L12+N12+O12+P12</f>
        <v>28</v>
      </c>
      <c r="R12" s="1" t="n">
        <f aca="false">IFERROR(INDEX(ManualOverrides!$C$2:$C$1000,MATCH(A12&amp;"|"&amp;$A$1,ManualOverrides!$E$2:$E$1000,0)),Q12)</f>
        <v>28</v>
      </c>
      <c r="S12" s="1" t="n">
        <f aca="false">IF(OR($A$1="",A12=$A$1),-1000000000000000,R12)</f>
        <v>-1000000000000000</v>
      </c>
      <c r="T12" s="1" t="n">
        <f aca="false">S12+ROW()*0.0000001</f>
        <v>-1000000000000000</v>
      </c>
      <c r="U12" s="1" t="str">
        <f aca="false">Heroes!$M12</f>
        <v>Jungle</v>
      </c>
      <c r="V12" s="1" t="n">
        <f aca="false">IF(OR($A$1="",A12=$A$1,U12="",U12&lt;&gt;$J$1),-1000000000000000,R12)+ROW()*0.0000001</f>
        <v>-1000000000000000</v>
      </c>
    </row>
    <row r="13" customFormat="false" ht="15" hidden="false" customHeight="true" outlineLevel="0" collapsed="false">
      <c r="A13" s="1" t="str">
        <f aca="false">Heroes!$B13</f>
        <v>Bruno</v>
      </c>
      <c r="B13" s="1" t="str">
        <f aca="false">Heroes!$C13</f>
        <v>Marksman</v>
      </c>
      <c r="C13" s="1" t="n">
        <f aca="false">Heroes!$D13</f>
        <v>0</v>
      </c>
      <c r="D13" s="1" t="n">
        <f aca="false">Heroes!$E13</f>
        <v>60</v>
      </c>
      <c r="E13" s="1" t="n">
        <f aca="false">Heroes!$F13</f>
        <v>20</v>
      </c>
      <c r="F13" s="1" t="n">
        <f aca="false">Heroes!$H13</f>
        <v>50</v>
      </c>
      <c r="G13" s="1" t="str">
        <f aca="false">Heroes!$K13</f>
        <v>Physical</v>
      </c>
      <c r="H13" s="1" t="n">
        <f aca="false">Heroes!$Q13</f>
        <v>5</v>
      </c>
      <c r="I13" s="1" t="n">
        <f aca="false">IFERROR(INDEX(RoleMatrix!$B$2:$G$7,MATCH(B13,RoleMatrix!$A$2:$A$7,0),MATCH($B$1,RoleMatrix!$B$1:$G$1,0)),0)</f>
        <v>0</v>
      </c>
      <c r="J13" s="1" t="n">
        <f aca="false">IF(C13&lt;&gt;"",IFERROR(INDEX(RoleMatrix!$B$2:$G$7,MATCH(C13,RoleMatrix!$A$2:$A$7,0),MATCH($B$1,RoleMatrix!$B$1:$G$1,0)),0),I13)</f>
        <v>0</v>
      </c>
      <c r="K13" s="1" t="n">
        <f aca="false">MAX(I13,J13)</f>
        <v>0</v>
      </c>
      <c r="L13" s="1" t="n">
        <f aca="false">((D13+E13)/2-$C$1)*$H$1</f>
        <v>4</v>
      </c>
      <c r="M13" s="1" t="n">
        <f aca="false">F13-$D$1</f>
        <v>50</v>
      </c>
      <c r="N13" s="1" t="n">
        <f aca="false">IF(M13&gt;20,M13*$I$1,0)</f>
        <v>15</v>
      </c>
      <c r="O13" s="1" t="n">
        <f aca="false">IF(G13="Mixed",5,IF(G13=$E$1,-2,3))</f>
        <v>3</v>
      </c>
      <c r="P13" s="1" t="n">
        <f aca="false">(H13-$F$1)*3</f>
        <v>15</v>
      </c>
      <c r="Q13" s="1" t="n">
        <f aca="false">K13*$G$1+L13+N13+O13+P13</f>
        <v>37</v>
      </c>
      <c r="R13" s="1" t="n">
        <f aca="false">IFERROR(INDEX(ManualOverrides!$C$2:$C$1000,MATCH(A13&amp;"|"&amp;$A$1,ManualOverrides!$E$2:$E$1000,0)),Q13)</f>
        <v>37</v>
      </c>
      <c r="S13" s="1" t="n">
        <f aca="false">IF(OR($A$1="",A13=$A$1),-1000000000000000,R13)</f>
        <v>-1000000000000000</v>
      </c>
      <c r="T13" s="1" t="n">
        <f aca="false">S13+ROW()*0.0000001</f>
        <v>-1000000000000000</v>
      </c>
      <c r="U13" s="1" t="str">
        <f aca="false">Heroes!$M13</f>
        <v>Gold Lane</v>
      </c>
      <c r="V13" s="1" t="n">
        <f aca="false">IF(OR($A$1="",A13=$A$1,U13="",U13&lt;&gt;$J$1),-1000000000000000,R13)+ROW()*0.0000001</f>
        <v>-1000000000000000</v>
      </c>
    </row>
    <row r="14" customFormat="false" ht="15" hidden="false" customHeight="true" outlineLevel="0" collapsed="false">
      <c r="A14" s="1" t="str">
        <f aca="false">Heroes!$B14</f>
        <v>Clint</v>
      </c>
      <c r="B14" s="1" t="str">
        <f aca="false">Heroes!$C14</f>
        <v>Marksman</v>
      </c>
      <c r="C14" s="1" t="n">
        <f aca="false">Heroes!$D14</f>
        <v>0</v>
      </c>
      <c r="D14" s="1" t="n">
        <f aca="false">Heroes!$E14</f>
        <v>70</v>
      </c>
      <c r="E14" s="1" t="n">
        <f aca="false">Heroes!$F14</f>
        <v>40</v>
      </c>
      <c r="F14" s="1" t="n">
        <f aca="false">Heroes!$H14</f>
        <v>70</v>
      </c>
      <c r="G14" s="1" t="str">
        <f aca="false">Heroes!$K14</f>
        <v>Physical</v>
      </c>
      <c r="H14" s="1" t="n">
        <f aca="false">Heroes!$Q14</f>
        <v>4</v>
      </c>
      <c r="I14" s="1" t="n">
        <f aca="false">IFERROR(INDEX(RoleMatrix!$B$2:$G$7,MATCH(B14,RoleMatrix!$A$2:$A$7,0),MATCH($B$1,RoleMatrix!$B$1:$G$1,0)),0)</f>
        <v>0</v>
      </c>
      <c r="J14" s="1" t="n">
        <f aca="false">IF(C14&lt;&gt;"",IFERROR(INDEX(RoleMatrix!$B$2:$G$7,MATCH(C14,RoleMatrix!$A$2:$A$7,0),MATCH($B$1,RoleMatrix!$B$1:$G$1,0)),0),I14)</f>
        <v>0</v>
      </c>
      <c r="K14" s="1" t="n">
        <f aca="false">MAX(I14,J14)</f>
        <v>0</v>
      </c>
      <c r="L14" s="1" t="n">
        <f aca="false">((D14+E14)/2-$C$1)*$H$1</f>
        <v>5.5</v>
      </c>
      <c r="M14" s="1" t="n">
        <f aca="false">F14-$D$1</f>
        <v>70</v>
      </c>
      <c r="N14" s="1" t="n">
        <f aca="false">IF(M14&gt;20,M14*$I$1,0)</f>
        <v>21</v>
      </c>
      <c r="O14" s="1" t="n">
        <f aca="false">IF(G14="Mixed",5,IF(G14=$E$1,-2,3))</f>
        <v>3</v>
      </c>
      <c r="P14" s="1" t="n">
        <f aca="false">(H14-$F$1)*3</f>
        <v>12</v>
      </c>
      <c r="Q14" s="1" t="n">
        <f aca="false">K14*$G$1+L14+N14+O14+P14</f>
        <v>41.5</v>
      </c>
      <c r="R14" s="1" t="n">
        <f aca="false">IFERROR(INDEX(ManualOverrides!$C$2:$C$1000,MATCH(A14&amp;"|"&amp;$A$1,ManualOverrides!$E$2:$E$1000,0)),Q14)</f>
        <v>41.5</v>
      </c>
      <c r="S14" s="1" t="n">
        <f aca="false">IF(OR($A$1="",A14=$A$1),-1000000000000000,R14)</f>
        <v>-1000000000000000</v>
      </c>
      <c r="T14" s="1" t="n">
        <f aca="false">S14+ROW()*0.0000001</f>
        <v>-1000000000000000</v>
      </c>
      <c r="U14" s="1" t="str">
        <f aca="false">Heroes!$M14</f>
        <v>Gold Lane</v>
      </c>
      <c r="V14" s="1" t="n">
        <f aca="false">IF(OR($A$1="",A14=$A$1,U14="",U14&lt;&gt;$J$1),-1000000000000000,R14)+ROW()*0.0000001</f>
        <v>-1000000000000000</v>
      </c>
    </row>
    <row r="15" customFormat="false" ht="15" hidden="false" customHeight="true" outlineLevel="0" collapsed="false">
      <c r="A15" s="1" t="str">
        <f aca="false">Heroes!$B15</f>
        <v>Rafaela</v>
      </c>
      <c r="B15" s="1" t="str">
        <f aca="false">Heroes!$C15</f>
        <v>Support</v>
      </c>
      <c r="C15" s="1" t="n">
        <f aca="false">Heroes!$D15</f>
        <v>0</v>
      </c>
      <c r="D15" s="1" t="n">
        <f aca="false">Heroes!$E15</f>
        <v>20</v>
      </c>
      <c r="E15" s="1" t="n">
        <f aca="false">Heroes!$F15</f>
        <v>70</v>
      </c>
      <c r="F15" s="1" t="n">
        <f aca="false">Heroes!$H15</f>
        <v>20</v>
      </c>
      <c r="G15" s="1" t="str">
        <f aca="false">Heroes!$K15</f>
        <v>Magic</v>
      </c>
      <c r="H15" s="1" t="n">
        <f aca="false">Heroes!$Q15</f>
        <v>2</v>
      </c>
      <c r="I15" s="1" t="n">
        <f aca="false">IFERROR(INDEX(RoleMatrix!$B$2:$G$7,MATCH(B15,RoleMatrix!$A$2:$A$7,0),MATCH($B$1,RoleMatrix!$B$1:$G$1,0)),0)</f>
        <v>0</v>
      </c>
      <c r="J15" s="1" t="n">
        <f aca="false">IF(C15&lt;&gt;"",IFERROR(INDEX(RoleMatrix!$B$2:$G$7,MATCH(C15,RoleMatrix!$A$2:$A$7,0),MATCH($B$1,RoleMatrix!$B$1:$G$1,0)),0),I15)</f>
        <v>0</v>
      </c>
      <c r="K15" s="1" t="n">
        <f aca="false">MAX(I15,J15)</f>
        <v>0</v>
      </c>
      <c r="L15" s="1" t="n">
        <f aca="false">((D15+E15)/2-$C$1)*$H$1</f>
        <v>4.5</v>
      </c>
      <c r="M15" s="1" t="n">
        <f aca="false">F15-$D$1</f>
        <v>20</v>
      </c>
      <c r="N15" s="1" t="n">
        <f aca="false">IF(M15&gt;20,M15*$I$1,0)</f>
        <v>0</v>
      </c>
      <c r="O15" s="1" t="n">
        <f aca="false">IF(G15="Mixed",5,IF(G15=$E$1,-2,3))</f>
        <v>3</v>
      </c>
      <c r="P15" s="1" t="n">
        <f aca="false">(H15-$F$1)*3</f>
        <v>6</v>
      </c>
      <c r="Q15" s="1" t="n">
        <f aca="false">K15*$G$1+L15+N15+O15+P15</f>
        <v>13.5</v>
      </c>
      <c r="R15" s="1" t="n">
        <f aca="false">IFERROR(INDEX(ManualOverrides!$C$2:$C$1000,MATCH(A15&amp;"|"&amp;$A$1,ManualOverrides!$E$2:$E$1000,0)),Q15)</f>
        <v>13.5</v>
      </c>
      <c r="S15" s="1" t="n">
        <f aca="false">IF(OR($A$1="",A15=$A$1),-1000000000000000,R15)</f>
        <v>-1000000000000000</v>
      </c>
      <c r="T15" s="1" t="n">
        <f aca="false">S15+ROW()*0.0000001</f>
        <v>-1000000000000000</v>
      </c>
      <c r="U15" s="1" t="str">
        <f aca="false">Heroes!$M15</f>
        <v>Roaming</v>
      </c>
      <c r="V15" s="1" t="n">
        <f aca="false">IF(OR($A$1="",A15=$A$1,U15="",U15&lt;&gt;$J$1),-1000000000000000,R15)+ROW()*0.0000001</f>
        <v>-1000000000000000</v>
      </c>
    </row>
    <row r="16" customFormat="false" ht="15" hidden="false" customHeight="true" outlineLevel="0" collapsed="false">
      <c r="A16" s="1" t="str">
        <f aca="false">Heroes!$B16</f>
        <v>Eudora</v>
      </c>
      <c r="B16" s="1" t="str">
        <f aca="false">Heroes!$C16</f>
        <v>Mage</v>
      </c>
      <c r="C16" s="1" t="n">
        <f aca="false">Heroes!$D16</f>
        <v>0</v>
      </c>
      <c r="D16" s="1" t="n">
        <f aca="false">Heroes!$E16</f>
        <v>80</v>
      </c>
      <c r="E16" s="1" t="n">
        <f aca="false">Heroes!$F16</f>
        <v>80</v>
      </c>
      <c r="F16" s="1" t="n">
        <f aca="false">Heroes!$H16</f>
        <v>10</v>
      </c>
      <c r="G16" s="1" t="str">
        <f aca="false">Heroes!$K16</f>
        <v>Magic</v>
      </c>
      <c r="H16" s="1" t="n">
        <f aca="false">Heroes!$Q16</f>
        <v>3</v>
      </c>
      <c r="I16" s="1" t="n">
        <f aca="false">IFERROR(INDEX(RoleMatrix!$B$2:$G$7,MATCH(B16,RoleMatrix!$A$2:$A$7,0),MATCH($B$1,RoleMatrix!$B$1:$G$1,0)),0)</f>
        <v>0</v>
      </c>
      <c r="J16" s="1" t="n">
        <f aca="false">IF(C16&lt;&gt;"",IFERROR(INDEX(RoleMatrix!$B$2:$G$7,MATCH(C16,RoleMatrix!$A$2:$A$7,0),MATCH($B$1,RoleMatrix!$B$1:$G$1,0)),0),I16)</f>
        <v>0</v>
      </c>
      <c r="K16" s="1" t="n">
        <f aca="false">MAX(I16,J16)</f>
        <v>0</v>
      </c>
      <c r="L16" s="1" t="n">
        <f aca="false">((D16+E16)/2-$C$1)*$H$1</f>
        <v>8</v>
      </c>
      <c r="M16" s="1" t="n">
        <f aca="false">F16-$D$1</f>
        <v>10</v>
      </c>
      <c r="N16" s="1" t="n">
        <f aca="false">IF(M16&gt;20,M16*$I$1,0)</f>
        <v>0</v>
      </c>
      <c r="O16" s="1" t="n">
        <f aca="false">IF(G16="Mixed",5,IF(G16=$E$1,-2,3))</f>
        <v>3</v>
      </c>
      <c r="P16" s="1" t="n">
        <f aca="false">(H16-$F$1)*3</f>
        <v>9</v>
      </c>
      <c r="Q16" s="1" t="n">
        <f aca="false">K16*$G$1+L16+N16+O16+P16</f>
        <v>20</v>
      </c>
      <c r="R16" s="1" t="n">
        <f aca="false">IFERROR(INDEX(ManualOverrides!$C$2:$C$1000,MATCH(A16&amp;"|"&amp;$A$1,ManualOverrides!$E$2:$E$1000,0)),Q16)</f>
        <v>20</v>
      </c>
      <c r="S16" s="1" t="n">
        <f aca="false">IF(OR($A$1="",A16=$A$1),-1000000000000000,R16)</f>
        <v>-1000000000000000</v>
      </c>
      <c r="T16" s="1" t="n">
        <f aca="false">S16+ROW()*0.0000001</f>
        <v>-1000000000000000</v>
      </c>
      <c r="U16" s="1" t="str">
        <f aca="false">Heroes!$M16</f>
        <v>Mid Lane</v>
      </c>
      <c r="V16" s="1" t="n">
        <f aca="false">IF(OR($A$1="",A16=$A$1,U16="",U16&lt;&gt;$J$1),-1000000000000000,R16)+ROW()*0.0000001</f>
        <v>-1000000000000000</v>
      </c>
    </row>
    <row r="17" customFormat="false" ht="15" hidden="false" customHeight="true" outlineLevel="0" collapsed="false">
      <c r="A17" s="1" t="str">
        <f aca="false">Heroes!$B17</f>
        <v>Zilong</v>
      </c>
      <c r="B17" s="1" t="str">
        <f aca="false">Heroes!$C17</f>
        <v>Fighter</v>
      </c>
      <c r="C17" s="1" t="str">
        <f aca="false">Heroes!$D17</f>
        <v>Assassin</v>
      </c>
      <c r="D17" s="1" t="n">
        <f aca="false">Heroes!$E17</f>
        <v>50</v>
      </c>
      <c r="E17" s="1" t="n">
        <f aca="false">Heroes!$F17</f>
        <v>60</v>
      </c>
      <c r="F17" s="1" t="n">
        <f aca="false">Heroes!$H17</f>
        <v>10</v>
      </c>
      <c r="G17" s="1" t="str">
        <f aca="false">Heroes!$K17</f>
        <v>Physical</v>
      </c>
      <c r="H17" s="1" t="n">
        <f aca="false">Heroes!$Q17</f>
        <v>3</v>
      </c>
      <c r="I17" s="1" t="n">
        <f aca="false">IFERROR(INDEX(RoleMatrix!$B$2:$G$7,MATCH(B17,RoleMatrix!$A$2:$A$7,0),MATCH($B$1,RoleMatrix!$B$1:$G$1,0)),0)</f>
        <v>0</v>
      </c>
      <c r="J17" s="1" t="n">
        <f aca="false">IF(C17&lt;&gt;"",IFERROR(INDEX(RoleMatrix!$B$2:$G$7,MATCH(C17,RoleMatrix!$A$2:$A$7,0),MATCH($B$1,RoleMatrix!$B$1:$G$1,0)),0),I17)</f>
        <v>0</v>
      </c>
      <c r="K17" s="1" t="n">
        <f aca="false">MAX(I17,J17)</f>
        <v>0</v>
      </c>
      <c r="L17" s="1" t="n">
        <f aca="false">((D17+E17)/2-$C$1)*$H$1</f>
        <v>5.5</v>
      </c>
      <c r="M17" s="1" t="n">
        <f aca="false">F17-$D$1</f>
        <v>10</v>
      </c>
      <c r="N17" s="1" t="n">
        <f aca="false">IF(M17&gt;20,M17*$I$1,0)</f>
        <v>0</v>
      </c>
      <c r="O17" s="1" t="n">
        <f aca="false">IF(G17="Mixed",5,IF(G17=$E$1,-2,3))</f>
        <v>3</v>
      </c>
      <c r="P17" s="1" t="n">
        <f aca="false">(H17-$F$1)*3</f>
        <v>9</v>
      </c>
      <c r="Q17" s="1" t="n">
        <f aca="false">K17*$G$1+L17+N17+O17+P17</f>
        <v>17.5</v>
      </c>
      <c r="R17" s="1" t="n">
        <f aca="false">IFERROR(INDEX(ManualOverrides!$C$2:$C$1000,MATCH(A17&amp;"|"&amp;$A$1,ManualOverrides!$E$2:$E$1000,0)),Q17)</f>
        <v>17.5</v>
      </c>
      <c r="S17" s="1" t="n">
        <f aca="false">IF(OR($A$1="",A17=$A$1),-1000000000000000,R17)</f>
        <v>-1000000000000000</v>
      </c>
      <c r="T17" s="1" t="n">
        <f aca="false">S17+ROW()*0.0000001</f>
        <v>-1000000000000000</v>
      </c>
      <c r="U17" s="1" t="str">
        <f aca="false">Heroes!$M17</f>
        <v>EXP Lane</v>
      </c>
      <c r="V17" s="1" t="n">
        <f aca="false">IF(OR($A$1="",A17=$A$1,U17="",U17&lt;&gt;$J$1),-1000000000000000,R17)+ROW()*0.0000001</f>
        <v>-1000000000000000</v>
      </c>
    </row>
    <row r="18" customFormat="false" ht="15" hidden="false" customHeight="true" outlineLevel="0" collapsed="false">
      <c r="A18" s="1" t="str">
        <f aca="false">Heroes!$B18</f>
        <v>Fanny</v>
      </c>
      <c r="B18" s="1" t="str">
        <f aca="false">Heroes!$C18</f>
        <v>Assassin</v>
      </c>
      <c r="C18" s="1" t="n">
        <f aca="false">Heroes!$D18</f>
        <v>0</v>
      </c>
      <c r="D18" s="1" t="n">
        <f aca="false">Heroes!$E18</f>
        <v>70</v>
      </c>
      <c r="E18" s="1" t="n">
        <f aca="false">Heroes!$F18</f>
        <v>10</v>
      </c>
      <c r="F18" s="1" t="n">
        <f aca="false">Heroes!$H18</f>
        <v>100</v>
      </c>
      <c r="G18" s="1" t="str">
        <f aca="false">Heroes!$K18</f>
        <v>Physical</v>
      </c>
      <c r="H18" s="1" t="n">
        <f aca="false">Heroes!$Q18</f>
        <v>1</v>
      </c>
      <c r="I18" s="1" t="n">
        <f aca="false">IFERROR(INDEX(RoleMatrix!$B$2:$G$7,MATCH(B18,RoleMatrix!$A$2:$A$7,0),MATCH($B$1,RoleMatrix!$B$1:$G$1,0)),0)</f>
        <v>0</v>
      </c>
      <c r="J18" s="1" t="n">
        <f aca="false">IF(C18&lt;&gt;"",IFERROR(INDEX(RoleMatrix!$B$2:$G$7,MATCH(C18,RoleMatrix!$A$2:$A$7,0),MATCH($B$1,RoleMatrix!$B$1:$G$1,0)),0),I18)</f>
        <v>0</v>
      </c>
      <c r="K18" s="1" t="n">
        <f aca="false">MAX(I18,J18)</f>
        <v>0</v>
      </c>
      <c r="L18" s="1" t="n">
        <f aca="false">((D18+E18)/2-$C$1)*$H$1</f>
        <v>4</v>
      </c>
      <c r="M18" s="1" t="n">
        <f aca="false">F18-$D$1</f>
        <v>100</v>
      </c>
      <c r="N18" s="1" t="n">
        <f aca="false">IF(M18&gt;20,M18*$I$1,0)</f>
        <v>30</v>
      </c>
      <c r="O18" s="1" t="n">
        <f aca="false">IF(G18="Mixed",5,IF(G18=$E$1,-2,3))</f>
        <v>3</v>
      </c>
      <c r="P18" s="1" t="n">
        <f aca="false">(H18-$F$1)*3</f>
        <v>3</v>
      </c>
      <c r="Q18" s="1" t="n">
        <f aca="false">K18*$G$1+L18+N18+O18+P18</f>
        <v>40</v>
      </c>
      <c r="R18" s="1" t="n">
        <f aca="false">IFERROR(INDEX(ManualOverrides!$C$2:$C$1000,MATCH(A18&amp;"|"&amp;$A$1,ManualOverrides!$E$2:$E$1000,0)),Q18)</f>
        <v>40</v>
      </c>
      <c r="S18" s="1" t="n">
        <f aca="false">IF(OR($A$1="",A18=$A$1),-1000000000000000,R18)</f>
        <v>-1000000000000000</v>
      </c>
      <c r="T18" s="1" t="n">
        <f aca="false">S18+ROW()*0.0000001</f>
        <v>-1000000000000000</v>
      </c>
      <c r="U18" s="1" t="str">
        <f aca="false">Heroes!$M18</f>
        <v>Jungle</v>
      </c>
      <c r="V18" s="1" t="n">
        <f aca="false">IF(OR($A$1="",A18=$A$1,U18="",U18&lt;&gt;$J$1),-1000000000000000,R18)+ROW()*0.0000001</f>
        <v>-1000000000000000</v>
      </c>
    </row>
    <row r="19" customFormat="false" ht="15" hidden="false" customHeight="true" outlineLevel="0" collapsed="false">
      <c r="A19" s="1" t="str">
        <f aca="false">Heroes!$B19</f>
        <v>Layla</v>
      </c>
      <c r="B19" s="1" t="str">
        <f aca="false">Heroes!$C19</f>
        <v>Marksman</v>
      </c>
      <c r="C19" s="1" t="n">
        <f aca="false">Heroes!$D19</f>
        <v>0</v>
      </c>
      <c r="D19" s="1" t="n">
        <f aca="false">Heroes!$E19</f>
        <v>80</v>
      </c>
      <c r="E19" s="1" t="n">
        <f aca="false">Heroes!$F19</f>
        <v>10</v>
      </c>
      <c r="F19" s="1" t="n">
        <f aca="false">Heroes!$H19</f>
        <v>10</v>
      </c>
      <c r="G19" s="1" t="str">
        <f aca="false">Heroes!$K19</f>
        <v>Physical</v>
      </c>
      <c r="H19" s="1" t="n">
        <f aca="false">Heroes!$Q19</f>
        <v>5</v>
      </c>
      <c r="I19" s="1" t="n">
        <f aca="false">IFERROR(INDEX(RoleMatrix!$B$2:$G$7,MATCH(B19,RoleMatrix!$A$2:$A$7,0),MATCH($B$1,RoleMatrix!$B$1:$G$1,0)),0)</f>
        <v>0</v>
      </c>
      <c r="J19" s="1" t="n">
        <f aca="false">IF(C19&lt;&gt;"",IFERROR(INDEX(RoleMatrix!$B$2:$G$7,MATCH(C19,RoleMatrix!$A$2:$A$7,0),MATCH($B$1,RoleMatrix!$B$1:$G$1,0)),0),I19)</f>
        <v>0</v>
      </c>
      <c r="K19" s="1" t="n">
        <f aca="false">MAX(I19,J19)</f>
        <v>0</v>
      </c>
      <c r="L19" s="1" t="n">
        <f aca="false">((D19+E19)/2-$C$1)*$H$1</f>
        <v>4.5</v>
      </c>
      <c r="M19" s="1" t="n">
        <f aca="false">F19-$D$1</f>
        <v>10</v>
      </c>
      <c r="N19" s="1" t="n">
        <f aca="false">IF(M19&gt;20,M19*$I$1,0)</f>
        <v>0</v>
      </c>
      <c r="O19" s="1" t="n">
        <f aca="false">IF(G19="Mixed",5,IF(G19=$E$1,-2,3))</f>
        <v>3</v>
      </c>
      <c r="P19" s="1" t="n">
        <f aca="false">(H19-$F$1)*3</f>
        <v>15</v>
      </c>
      <c r="Q19" s="1" t="n">
        <f aca="false">K19*$G$1+L19+N19+O19+P19</f>
        <v>22.5</v>
      </c>
      <c r="R19" s="1" t="n">
        <f aca="false">IFERROR(INDEX(ManualOverrides!$C$2:$C$1000,MATCH(A19&amp;"|"&amp;$A$1,ManualOverrides!$E$2:$E$1000,0)),Q19)</f>
        <v>22.5</v>
      </c>
      <c r="S19" s="1" t="n">
        <f aca="false">IF(OR($A$1="",A19=$A$1),-1000000000000000,R19)</f>
        <v>-1000000000000000</v>
      </c>
      <c r="T19" s="1" t="n">
        <f aca="false">S19+ROW()*0.0000001</f>
        <v>-1000000000000000</v>
      </c>
      <c r="U19" s="1" t="str">
        <f aca="false">Heroes!$M19</f>
        <v>Gold Lane</v>
      </c>
      <c r="V19" s="1" t="n">
        <f aca="false">IF(OR($A$1="",A19=$A$1,U19="",U19&lt;&gt;$J$1),-1000000000000000,R19)+ROW()*0.0000001</f>
        <v>-1000000000000000</v>
      </c>
    </row>
    <row r="20" customFormat="false" ht="15" hidden="false" customHeight="true" outlineLevel="0" collapsed="false">
      <c r="A20" s="1" t="str">
        <f aca="false">Heroes!$B20</f>
        <v>Minotaur</v>
      </c>
      <c r="B20" s="1" t="str">
        <f aca="false">Heroes!$C20</f>
        <v>Tank</v>
      </c>
      <c r="C20" s="1" t="str">
        <f aca="false">Heroes!$D20</f>
        <v>Support</v>
      </c>
      <c r="D20" s="1" t="n">
        <f aca="false">Heroes!$E20</f>
        <v>10</v>
      </c>
      <c r="E20" s="1" t="n">
        <f aca="false">Heroes!$F20</f>
        <v>80</v>
      </c>
      <c r="F20" s="1" t="n">
        <f aca="false">Heroes!$H20</f>
        <v>40</v>
      </c>
      <c r="G20" s="1" t="str">
        <f aca="false">Heroes!$K20</f>
        <v>Physical</v>
      </c>
      <c r="H20" s="1" t="n">
        <f aca="false">Heroes!$Q20</f>
        <v>3</v>
      </c>
      <c r="I20" s="1" t="n">
        <f aca="false">IFERROR(INDEX(RoleMatrix!$B$2:$G$7,MATCH(B20,RoleMatrix!$A$2:$A$7,0),MATCH($B$1,RoleMatrix!$B$1:$G$1,0)),0)</f>
        <v>0</v>
      </c>
      <c r="J20" s="1" t="n">
        <f aca="false">IF(C20&lt;&gt;"",IFERROR(INDEX(RoleMatrix!$B$2:$G$7,MATCH(C20,RoleMatrix!$A$2:$A$7,0),MATCH($B$1,RoleMatrix!$B$1:$G$1,0)),0),I20)</f>
        <v>0</v>
      </c>
      <c r="K20" s="1" t="n">
        <f aca="false">MAX(I20,J20)</f>
        <v>0</v>
      </c>
      <c r="L20" s="1" t="n">
        <f aca="false">((D20+E20)/2-$C$1)*$H$1</f>
        <v>4.5</v>
      </c>
      <c r="M20" s="1" t="n">
        <f aca="false">F20-$D$1</f>
        <v>40</v>
      </c>
      <c r="N20" s="1" t="n">
        <f aca="false">IF(M20&gt;20,M20*$I$1,0)</f>
        <v>12</v>
      </c>
      <c r="O20" s="1" t="n">
        <f aca="false">IF(G20="Mixed",5,IF(G20=$E$1,-2,3))</f>
        <v>3</v>
      </c>
      <c r="P20" s="1" t="n">
        <f aca="false">(H20-$F$1)*3</f>
        <v>9</v>
      </c>
      <c r="Q20" s="1" t="n">
        <f aca="false">K20*$G$1+L20+N20+O20+P20</f>
        <v>28.5</v>
      </c>
      <c r="R20" s="1" t="n">
        <f aca="false">IFERROR(INDEX(ManualOverrides!$C$2:$C$1000,MATCH(A20&amp;"|"&amp;$A$1,ManualOverrides!$E$2:$E$1000,0)),Q20)</f>
        <v>28.5</v>
      </c>
      <c r="S20" s="1" t="n">
        <f aca="false">IF(OR($A$1="",A20=$A$1),-1000000000000000,R20)</f>
        <v>-1000000000000000</v>
      </c>
      <c r="T20" s="1" t="n">
        <f aca="false">S20+ROW()*0.0000001</f>
        <v>-1000000000000000</v>
      </c>
      <c r="U20" s="1" t="str">
        <f aca="false">Heroes!$M20</f>
        <v>Roaming</v>
      </c>
      <c r="V20" s="1" t="n">
        <f aca="false">IF(OR($A$1="",A20=$A$1,U20="",U20&lt;&gt;$J$1),-1000000000000000,R20)+ROW()*0.0000001</f>
        <v>-1000000000000000</v>
      </c>
    </row>
    <row r="21" customFormat="false" ht="15" hidden="false" customHeight="true" outlineLevel="0" collapsed="false">
      <c r="A21" s="1" t="str">
        <f aca="false">Heroes!$B21</f>
        <v>Lolita</v>
      </c>
      <c r="B21" s="1" t="str">
        <f aca="false">Heroes!$C21</f>
        <v>Support</v>
      </c>
      <c r="C21" s="1" t="str">
        <f aca="false">Heroes!$D21</f>
        <v>Tank</v>
      </c>
      <c r="D21" s="1" t="n">
        <f aca="false">Heroes!$E21</f>
        <v>10</v>
      </c>
      <c r="E21" s="1" t="n">
        <f aca="false">Heroes!$F21</f>
        <v>90</v>
      </c>
      <c r="F21" s="1" t="n">
        <f aca="false">Heroes!$H21</f>
        <v>40</v>
      </c>
      <c r="G21" s="1" t="str">
        <f aca="false">Heroes!$K21</f>
        <v>Physical</v>
      </c>
      <c r="H21" s="1" t="n">
        <f aca="false">Heroes!$Q21</f>
        <v>3</v>
      </c>
      <c r="I21" s="1" t="n">
        <f aca="false">IFERROR(INDEX(RoleMatrix!$B$2:$G$7,MATCH(B21,RoleMatrix!$A$2:$A$7,0),MATCH($B$1,RoleMatrix!$B$1:$G$1,0)),0)</f>
        <v>0</v>
      </c>
      <c r="J21" s="1" t="n">
        <f aca="false">IF(C21&lt;&gt;"",IFERROR(INDEX(RoleMatrix!$B$2:$G$7,MATCH(C21,RoleMatrix!$A$2:$A$7,0),MATCH($B$1,RoleMatrix!$B$1:$G$1,0)),0),I21)</f>
        <v>0</v>
      </c>
      <c r="K21" s="1" t="n">
        <f aca="false">MAX(I21,J21)</f>
        <v>0</v>
      </c>
      <c r="L21" s="1" t="n">
        <f aca="false">((D21+E21)/2-$C$1)*$H$1</f>
        <v>5</v>
      </c>
      <c r="M21" s="1" t="n">
        <f aca="false">F21-$D$1</f>
        <v>40</v>
      </c>
      <c r="N21" s="1" t="n">
        <f aca="false">IF(M21&gt;20,M21*$I$1,0)</f>
        <v>12</v>
      </c>
      <c r="O21" s="1" t="n">
        <f aca="false">IF(G21="Mixed",5,IF(G21=$E$1,-2,3))</f>
        <v>3</v>
      </c>
      <c r="P21" s="1" t="n">
        <f aca="false">(H21-$F$1)*3</f>
        <v>9</v>
      </c>
      <c r="Q21" s="1" t="n">
        <f aca="false">K21*$G$1+L21+N21+O21+P21</f>
        <v>29</v>
      </c>
      <c r="R21" s="1" t="n">
        <f aca="false">IFERROR(INDEX(ManualOverrides!$C$2:$C$1000,MATCH(A21&amp;"|"&amp;$A$1,ManualOverrides!$E$2:$E$1000,0)),Q21)</f>
        <v>29</v>
      </c>
      <c r="S21" s="1" t="n">
        <f aca="false">IF(OR($A$1="",A21=$A$1),-1000000000000000,R21)</f>
        <v>-1000000000000000</v>
      </c>
      <c r="T21" s="1" t="n">
        <f aca="false">S21+ROW()*0.0000001</f>
        <v>-1000000000000000</v>
      </c>
      <c r="U21" s="1" t="str">
        <f aca="false">Heroes!$M21</f>
        <v>Roaming</v>
      </c>
      <c r="V21" s="1" t="n">
        <f aca="false">IF(OR($A$1="",A21=$A$1,U21="",U21&lt;&gt;$J$1),-1000000000000000,R21)+ROW()*0.0000001</f>
        <v>-1000000000000000</v>
      </c>
    </row>
    <row r="22" customFormat="false" ht="15" hidden="false" customHeight="true" outlineLevel="0" collapsed="false">
      <c r="A22" s="1" t="str">
        <f aca="false">Heroes!$B22</f>
        <v>Hayabusa</v>
      </c>
      <c r="B22" s="1" t="str">
        <f aca="false">Heroes!$C22</f>
        <v>Assassin</v>
      </c>
      <c r="C22" s="1" t="n">
        <f aca="false">Heroes!$D22</f>
        <v>0</v>
      </c>
      <c r="D22" s="1" t="n">
        <f aca="false">Heroes!$E22</f>
        <v>50</v>
      </c>
      <c r="E22" s="1" t="n">
        <f aca="false">Heroes!$F22</f>
        <v>10</v>
      </c>
      <c r="F22" s="1" t="n">
        <f aca="false">Heroes!$H22</f>
        <v>50</v>
      </c>
      <c r="G22" s="1" t="str">
        <f aca="false">Heroes!$K22</f>
        <v>Physical</v>
      </c>
      <c r="H22" s="1" t="n">
        <f aca="false">Heroes!$Q22</f>
        <v>2</v>
      </c>
      <c r="I22" s="1" t="n">
        <f aca="false">IFERROR(INDEX(RoleMatrix!$B$2:$G$7,MATCH(B22,RoleMatrix!$A$2:$A$7,0),MATCH($B$1,RoleMatrix!$B$1:$G$1,0)),0)</f>
        <v>0</v>
      </c>
      <c r="J22" s="1" t="n">
        <f aca="false">IF(C22&lt;&gt;"",IFERROR(INDEX(RoleMatrix!$B$2:$G$7,MATCH(C22,RoleMatrix!$A$2:$A$7,0),MATCH($B$1,RoleMatrix!$B$1:$G$1,0)),0),I22)</f>
        <v>0</v>
      </c>
      <c r="K22" s="1" t="n">
        <f aca="false">MAX(I22,J22)</f>
        <v>0</v>
      </c>
      <c r="L22" s="1" t="n">
        <f aca="false">((D22+E22)/2-$C$1)*$H$1</f>
        <v>3</v>
      </c>
      <c r="M22" s="1" t="n">
        <f aca="false">F22-$D$1</f>
        <v>50</v>
      </c>
      <c r="N22" s="1" t="n">
        <f aca="false">IF(M22&gt;20,M22*$I$1,0)</f>
        <v>15</v>
      </c>
      <c r="O22" s="1" t="n">
        <f aca="false">IF(G22="Mixed",5,IF(G22=$E$1,-2,3))</f>
        <v>3</v>
      </c>
      <c r="P22" s="1" t="n">
        <f aca="false">(H22-$F$1)*3</f>
        <v>6</v>
      </c>
      <c r="Q22" s="1" t="n">
        <f aca="false">K22*$G$1+L22+N22+O22+P22</f>
        <v>27</v>
      </c>
      <c r="R22" s="1" t="n">
        <f aca="false">IFERROR(INDEX(ManualOverrides!$C$2:$C$1000,MATCH(A22&amp;"|"&amp;$A$1,ManualOverrides!$E$2:$E$1000,0)),Q22)</f>
        <v>27</v>
      </c>
      <c r="S22" s="1" t="n">
        <f aca="false">IF(OR($A$1="",A22=$A$1),-1000000000000000,R22)</f>
        <v>-1000000000000000</v>
      </c>
      <c r="T22" s="1" t="n">
        <f aca="false">S22+ROW()*0.0000001</f>
        <v>-1000000000000000</v>
      </c>
      <c r="U22" s="1" t="str">
        <f aca="false">Heroes!$M22</f>
        <v>Jungle</v>
      </c>
      <c r="V22" s="1" t="n">
        <f aca="false">IF(OR($A$1="",A22=$A$1,U22="",U22&lt;&gt;$J$1),-1000000000000000,R22)+ROW()*0.0000001</f>
        <v>-1000000000000000</v>
      </c>
    </row>
    <row r="23" customFormat="false" ht="15" hidden="false" customHeight="true" outlineLevel="0" collapsed="false">
      <c r="A23" s="1" t="str">
        <f aca="false">Heroes!$B23</f>
        <v>Freya</v>
      </c>
      <c r="B23" s="1" t="str">
        <f aca="false">Heroes!$C23</f>
        <v>Fighter</v>
      </c>
      <c r="C23" s="1" t="n">
        <f aca="false">Heroes!$D23</f>
        <v>0</v>
      </c>
      <c r="D23" s="1" t="n">
        <f aca="false">Heroes!$E23</f>
        <v>50</v>
      </c>
      <c r="E23" s="1" t="n">
        <f aca="false">Heroes!$F23</f>
        <v>50</v>
      </c>
      <c r="F23" s="1" t="n">
        <f aca="false">Heroes!$H23</f>
        <v>50</v>
      </c>
      <c r="G23" s="1" t="str">
        <f aca="false">Heroes!$K23</f>
        <v>Physical</v>
      </c>
      <c r="H23" s="1" t="n">
        <f aca="false">Heroes!$Q23</f>
        <v>3</v>
      </c>
      <c r="I23" s="1" t="n">
        <f aca="false">IFERROR(INDEX(RoleMatrix!$B$2:$G$7,MATCH(B23,RoleMatrix!$A$2:$A$7,0),MATCH($B$1,RoleMatrix!$B$1:$G$1,0)),0)</f>
        <v>0</v>
      </c>
      <c r="J23" s="1" t="n">
        <f aca="false">IF(C23&lt;&gt;"",IFERROR(INDEX(RoleMatrix!$B$2:$G$7,MATCH(C23,RoleMatrix!$A$2:$A$7,0),MATCH($B$1,RoleMatrix!$B$1:$G$1,0)),0),I23)</f>
        <v>0</v>
      </c>
      <c r="K23" s="1" t="n">
        <f aca="false">MAX(I23,J23)</f>
        <v>0</v>
      </c>
      <c r="L23" s="1" t="n">
        <f aca="false">((D23+E23)/2-$C$1)*$H$1</f>
        <v>5</v>
      </c>
      <c r="M23" s="1" t="n">
        <f aca="false">F23-$D$1</f>
        <v>50</v>
      </c>
      <c r="N23" s="1" t="n">
        <f aca="false">IF(M23&gt;20,M23*$I$1,0)</f>
        <v>15</v>
      </c>
      <c r="O23" s="1" t="n">
        <f aca="false">IF(G23="Mixed",5,IF(G23=$E$1,-2,3))</f>
        <v>3</v>
      </c>
      <c r="P23" s="1" t="n">
        <f aca="false">(H23-$F$1)*3</f>
        <v>9</v>
      </c>
      <c r="Q23" s="1" t="n">
        <f aca="false">K23*$G$1+L23+N23+O23+P23</f>
        <v>32</v>
      </c>
      <c r="R23" s="1" t="n">
        <f aca="false">IFERROR(INDEX(ManualOverrides!$C$2:$C$1000,MATCH(A23&amp;"|"&amp;$A$1,ManualOverrides!$E$2:$E$1000,0)),Q23)</f>
        <v>32</v>
      </c>
      <c r="S23" s="1" t="n">
        <f aca="false">IF(OR($A$1="",A23=$A$1),-1000000000000000,R23)</f>
        <v>-1000000000000000</v>
      </c>
      <c r="T23" s="1" t="n">
        <f aca="false">S23+ROW()*0.0000001</f>
        <v>-1000000000000000</v>
      </c>
      <c r="U23" s="1" t="str">
        <f aca="false">Heroes!$M23</f>
        <v>EXP Lane</v>
      </c>
      <c r="V23" s="1" t="n">
        <f aca="false">IF(OR($A$1="",A23=$A$1,U23="",U23&lt;&gt;$J$1),-1000000000000000,R23)+ROW()*0.0000001</f>
        <v>-1000000000000000</v>
      </c>
    </row>
    <row r="24" customFormat="false" ht="15" hidden="false" customHeight="true" outlineLevel="0" collapsed="false">
      <c r="A24" s="1" t="str">
        <f aca="false">Heroes!$B24</f>
        <v>Gord</v>
      </c>
      <c r="B24" s="1" t="str">
        <f aca="false">Heroes!$C24</f>
        <v>Mage</v>
      </c>
      <c r="C24" s="1" t="n">
        <f aca="false">Heroes!$D24</f>
        <v>0</v>
      </c>
      <c r="D24" s="1" t="n">
        <f aca="false">Heroes!$E24</f>
        <v>70</v>
      </c>
      <c r="E24" s="1" t="n">
        <f aca="false">Heroes!$F24</f>
        <v>80</v>
      </c>
      <c r="F24" s="1" t="n">
        <f aca="false">Heroes!$H24</f>
        <v>20</v>
      </c>
      <c r="G24" s="1" t="str">
        <f aca="false">Heroes!$K24</f>
        <v>Magic</v>
      </c>
      <c r="H24" s="1" t="n">
        <f aca="false">Heroes!$Q24</f>
        <v>3</v>
      </c>
      <c r="I24" s="1" t="n">
        <f aca="false">IFERROR(INDEX(RoleMatrix!$B$2:$G$7,MATCH(B24,RoleMatrix!$A$2:$A$7,0),MATCH($B$1,RoleMatrix!$B$1:$G$1,0)),0)</f>
        <v>0</v>
      </c>
      <c r="J24" s="1" t="n">
        <f aca="false">IF(C24&lt;&gt;"",IFERROR(INDEX(RoleMatrix!$B$2:$G$7,MATCH(C24,RoleMatrix!$A$2:$A$7,0),MATCH($B$1,RoleMatrix!$B$1:$G$1,0)),0),I24)</f>
        <v>0</v>
      </c>
      <c r="K24" s="1" t="n">
        <f aca="false">MAX(I24,J24)</f>
        <v>0</v>
      </c>
      <c r="L24" s="1" t="n">
        <f aca="false">((D24+E24)/2-$C$1)*$H$1</f>
        <v>7.5</v>
      </c>
      <c r="M24" s="1" t="n">
        <f aca="false">F24-$D$1</f>
        <v>20</v>
      </c>
      <c r="N24" s="1" t="n">
        <f aca="false">IF(M24&gt;20,M24*$I$1,0)</f>
        <v>0</v>
      </c>
      <c r="O24" s="1" t="n">
        <f aca="false">IF(G24="Mixed",5,IF(G24=$E$1,-2,3))</f>
        <v>3</v>
      </c>
      <c r="P24" s="1" t="n">
        <f aca="false">(H24-$F$1)*3</f>
        <v>9</v>
      </c>
      <c r="Q24" s="1" t="n">
        <f aca="false">K24*$G$1+L24+N24+O24+P24</f>
        <v>19.5</v>
      </c>
      <c r="R24" s="1" t="n">
        <f aca="false">IFERROR(INDEX(ManualOverrides!$C$2:$C$1000,MATCH(A24&amp;"|"&amp;$A$1,ManualOverrides!$E$2:$E$1000,0)),Q24)</f>
        <v>19.5</v>
      </c>
      <c r="S24" s="1" t="n">
        <f aca="false">IF(OR($A$1="",A24=$A$1),-1000000000000000,R24)</f>
        <v>-1000000000000000</v>
      </c>
      <c r="T24" s="1" t="n">
        <f aca="false">S24+ROW()*0.0000001</f>
        <v>-1000000000000000</v>
      </c>
      <c r="U24" s="1" t="str">
        <f aca="false">Heroes!$M24</f>
        <v>Mid Lane</v>
      </c>
      <c r="V24" s="1" t="n">
        <f aca="false">IF(OR($A$1="",A24=$A$1,U24="",U24&lt;&gt;$J$1),-1000000000000000,R24)+ROW()*0.0000001</f>
        <v>-1000000000000000</v>
      </c>
    </row>
    <row r="25" customFormat="false" ht="15" hidden="false" customHeight="true" outlineLevel="0" collapsed="false">
      <c r="A25" s="1" t="str">
        <f aca="false">Heroes!$B25</f>
        <v>Natalia</v>
      </c>
      <c r="B25" s="1" t="str">
        <f aca="false">Heroes!$C25</f>
        <v>Assassin</v>
      </c>
      <c r="C25" s="1" t="n">
        <f aca="false">Heroes!$D25</f>
        <v>0</v>
      </c>
      <c r="D25" s="1" t="n">
        <f aca="false">Heroes!$E25</f>
        <v>60</v>
      </c>
      <c r="E25" s="1" t="n">
        <f aca="false">Heroes!$F25</f>
        <v>60</v>
      </c>
      <c r="F25" s="1" t="n">
        <f aca="false">Heroes!$H25</f>
        <v>90</v>
      </c>
      <c r="G25" s="1" t="str">
        <f aca="false">Heroes!$K25</f>
        <v>Physical</v>
      </c>
      <c r="H25" s="1" t="n">
        <f aca="false">Heroes!$Q25</f>
        <v>2</v>
      </c>
      <c r="I25" s="1" t="n">
        <f aca="false">IFERROR(INDEX(RoleMatrix!$B$2:$G$7,MATCH(B25,RoleMatrix!$A$2:$A$7,0),MATCH($B$1,RoleMatrix!$B$1:$G$1,0)),0)</f>
        <v>0</v>
      </c>
      <c r="J25" s="1" t="n">
        <f aca="false">IF(C25&lt;&gt;"",IFERROR(INDEX(RoleMatrix!$B$2:$G$7,MATCH(C25,RoleMatrix!$A$2:$A$7,0),MATCH($B$1,RoleMatrix!$B$1:$G$1,0)),0),I25)</f>
        <v>0</v>
      </c>
      <c r="K25" s="1" t="n">
        <f aca="false">MAX(I25,J25)</f>
        <v>0</v>
      </c>
      <c r="L25" s="1" t="n">
        <f aca="false">((D25+E25)/2-$C$1)*$H$1</f>
        <v>6</v>
      </c>
      <c r="M25" s="1" t="n">
        <f aca="false">F25-$D$1</f>
        <v>90</v>
      </c>
      <c r="N25" s="1" t="n">
        <f aca="false">IF(M25&gt;20,M25*$I$1,0)</f>
        <v>27</v>
      </c>
      <c r="O25" s="1" t="n">
        <f aca="false">IF(G25="Mixed",5,IF(G25=$E$1,-2,3))</f>
        <v>3</v>
      </c>
      <c r="P25" s="1" t="n">
        <f aca="false">(H25-$F$1)*3</f>
        <v>6</v>
      </c>
      <c r="Q25" s="1" t="n">
        <f aca="false">K25*$G$1+L25+N25+O25+P25</f>
        <v>42</v>
      </c>
      <c r="R25" s="1" t="n">
        <f aca="false">IFERROR(INDEX(ManualOverrides!$C$2:$C$1000,MATCH(A25&amp;"|"&amp;$A$1,ManualOverrides!$E$2:$E$1000,0)),Q25)</f>
        <v>42</v>
      </c>
      <c r="S25" s="1" t="n">
        <f aca="false">IF(OR($A$1="",A25=$A$1),-1000000000000000,R25)</f>
        <v>-1000000000000000</v>
      </c>
      <c r="T25" s="1" t="n">
        <f aca="false">S25+ROW()*0.0000001</f>
        <v>-1000000000000000</v>
      </c>
      <c r="U25" s="1" t="str">
        <f aca="false">Heroes!$M25</f>
        <v>Jungle</v>
      </c>
      <c r="V25" s="1" t="n">
        <f aca="false">IF(OR($A$1="",A25=$A$1,U25="",U25&lt;&gt;$J$1),-1000000000000000,R25)+ROW()*0.0000001</f>
        <v>-1000000000000000</v>
      </c>
    </row>
    <row r="26" customFormat="false" ht="15" hidden="false" customHeight="true" outlineLevel="0" collapsed="false">
      <c r="A26" s="1" t="str">
        <f aca="false">Heroes!$B26</f>
        <v>Kagura</v>
      </c>
      <c r="B26" s="1" t="str">
        <f aca="false">Heroes!$C26</f>
        <v>Mage</v>
      </c>
      <c r="C26" s="1" t="n">
        <f aca="false">Heroes!$D26</f>
        <v>0</v>
      </c>
      <c r="D26" s="1" t="n">
        <f aca="false">Heroes!$E26</f>
        <v>90</v>
      </c>
      <c r="E26" s="1" t="n">
        <f aca="false">Heroes!$F26</f>
        <v>40</v>
      </c>
      <c r="F26" s="1" t="n">
        <f aca="false">Heroes!$H26</f>
        <v>80</v>
      </c>
      <c r="G26" s="1" t="str">
        <f aca="false">Heroes!$K26</f>
        <v>Magic</v>
      </c>
      <c r="H26" s="1" t="n">
        <f aca="false">Heroes!$Q26</f>
        <v>3</v>
      </c>
      <c r="I26" s="1" t="n">
        <f aca="false">IFERROR(INDEX(RoleMatrix!$B$2:$G$7,MATCH(B26,RoleMatrix!$A$2:$A$7,0),MATCH($B$1,RoleMatrix!$B$1:$G$1,0)),0)</f>
        <v>0</v>
      </c>
      <c r="J26" s="1" t="n">
        <f aca="false">IF(C26&lt;&gt;"",IFERROR(INDEX(RoleMatrix!$B$2:$G$7,MATCH(C26,RoleMatrix!$A$2:$A$7,0),MATCH($B$1,RoleMatrix!$B$1:$G$1,0)),0),I26)</f>
        <v>0</v>
      </c>
      <c r="K26" s="1" t="n">
        <f aca="false">MAX(I26,J26)</f>
        <v>0</v>
      </c>
      <c r="L26" s="1" t="n">
        <f aca="false">((D26+E26)/2-$C$1)*$H$1</f>
        <v>6.5</v>
      </c>
      <c r="M26" s="1" t="n">
        <f aca="false">F26-$D$1</f>
        <v>80</v>
      </c>
      <c r="N26" s="1" t="n">
        <f aca="false">IF(M26&gt;20,M26*$I$1,0)</f>
        <v>24</v>
      </c>
      <c r="O26" s="1" t="n">
        <f aca="false">IF(G26="Mixed",5,IF(G26=$E$1,-2,3))</f>
        <v>3</v>
      </c>
      <c r="P26" s="1" t="n">
        <f aca="false">(H26-$F$1)*3</f>
        <v>9</v>
      </c>
      <c r="Q26" s="1" t="n">
        <f aca="false">K26*$G$1+L26+N26+O26+P26</f>
        <v>42.5</v>
      </c>
      <c r="R26" s="1" t="n">
        <f aca="false">IFERROR(INDEX(ManualOverrides!$C$2:$C$1000,MATCH(A26&amp;"|"&amp;$A$1,ManualOverrides!$E$2:$E$1000,0)),Q26)</f>
        <v>42.5</v>
      </c>
      <c r="S26" s="1" t="n">
        <f aca="false">IF(OR($A$1="",A26=$A$1),-1000000000000000,R26)</f>
        <v>-1000000000000000</v>
      </c>
      <c r="T26" s="1" t="n">
        <f aca="false">S26+ROW()*0.0000001</f>
        <v>-1000000000000000</v>
      </c>
      <c r="U26" s="1" t="str">
        <f aca="false">Heroes!$M26</f>
        <v>Mid Lane</v>
      </c>
      <c r="V26" s="1" t="n">
        <f aca="false">IF(OR($A$1="",A26=$A$1,U26="",U26&lt;&gt;$J$1),-1000000000000000,R26)+ROW()*0.0000001</f>
        <v>-1000000000000000</v>
      </c>
    </row>
    <row r="27" customFormat="false" ht="15" hidden="false" customHeight="true" outlineLevel="0" collapsed="false">
      <c r="A27" s="1" t="str">
        <f aca="false">Heroes!$B27</f>
        <v>Chou</v>
      </c>
      <c r="B27" s="1" t="str">
        <f aca="false">Heroes!$C27</f>
        <v>Fighter</v>
      </c>
      <c r="C27" s="1" t="n">
        <f aca="false">Heroes!$D27</f>
        <v>0</v>
      </c>
      <c r="D27" s="1" t="n">
        <f aca="false">Heroes!$E27</f>
        <v>30</v>
      </c>
      <c r="E27" s="1" t="n">
        <f aca="false">Heroes!$F27</f>
        <v>80</v>
      </c>
      <c r="F27" s="1" t="n">
        <f aca="false">Heroes!$H27</f>
        <v>70</v>
      </c>
      <c r="G27" s="1" t="str">
        <f aca="false">Heroes!$K27</f>
        <v>Physical</v>
      </c>
      <c r="H27" s="1" t="n">
        <f aca="false">Heroes!$Q27</f>
        <v>1</v>
      </c>
      <c r="I27" s="1" t="n">
        <f aca="false">IFERROR(INDEX(RoleMatrix!$B$2:$G$7,MATCH(B27,RoleMatrix!$A$2:$A$7,0),MATCH($B$1,RoleMatrix!$B$1:$G$1,0)),0)</f>
        <v>0</v>
      </c>
      <c r="J27" s="1" t="n">
        <f aca="false">IF(C27&lt;&gt;"",IFERROR(INDEX(RoleMatrix!$B$2:$G$7,MATCH(C27,RoleMatrix!$A$2:$A$7,0),MATCH($B$1,RoleMatrix!$B$1:$G$1,0)),0),I27)</f>
        <v>0</v>
      </c>
      <c r="K27" s="1" t="n">
        <f aca="false">MAX(I27,J27)</f>
        <v>0</v>
      </c>
      <c r="L27" s="1" t="n">
        <f aca="false">((D27+E27)/2-$C$1)*$H$1</f>
        <v>5.5</v>
      </c>
      <c r="M27" s="1" t="n">
        <f aca="false">F27-$D$1</f>
        <v>70</v>
      </c>
      <c r="N27" s="1" t="n">
        <f aca="false">IF(M27&gt;20,M27*$I$1,0)</f>
        <v>21</v>
      </c>
      <c r="O27" s="1" t="n">
        <f aca="false">IF(G27="Mixed",5,IF(G27=$E$1,-2,3))</f>
        <v>3</v>
      </c>
      <c r="P27" s="1" t="n">
        <f aca="false">(H27-$F$1)*3</f>
        <v>3</v>
      </c>
      <c r="Q27" s="1" t="n">
        <f aca="false">K27*$G$1+L27+N27+O27+P27</f>
        <v>32.5</v>
      </c>
      <c r="R27" s="1" t="n">
        <f aca="false">IFERROR(INDEX(ManualOverrides!$C$2:$C$1000,MATCH(A27&amp;"|"&amp;$A$1,ManualOverrides!$E$2:$E$1000,0)),Q27)</f>
        <v>32.5</v>
      </c>
      <c r="S27" s="1" t="n">
        <f aca="false">IF(OR($A$1="",A27=$A$1),-1000000000000000,R27)</f>
        <v>-1000000000000000</v>
      </c>
      <c r="T27" s="1" t="n">
        <f aca="false">S27+ROW()*0.0000001</f>
        <v>-1000000000000000</v>
      </c>
      <c r="U27" s="1" t="str">
        <f aca="false">Heroes!$M27</f>
        <v>EXP Lane</v>
      </c>
      <c r="V27" s="1" t="n">
        <f aca="false">IF(OR($A$1="",A27=$A$1,U27="",U27&lt;&gt;$J$1),-1000000000000000,R27)+ROW()*0.0000001</f>
        <v>-1000000000000000</v>
      </c>
    </row>
    <row r="28" customFormat="false" ht="15" hidden="false" customHeight="true" outlineLevel="0" collapsed="false">
      <c r="A28" s="1" t="str">
        <f aca="false">Heroes!$B28</f>
        <v>Sun</v>
      </c>
      <c r="B28" s="1" t="str">
        <f aca="false">Heroes!$C28</f>
        <v>Fighter</v>
      </c>
      <c r="C28" s="1" t="n">
        <f aca="false">Heroes!$D28</f>
        <v>0</v>
      </c>
      <c r="D28" s="1" t="n">
        <f aca="false">Heroes!$E28</f>
        <v>50</v>
      </c>
      <c r="E28" s="1" t="n">
        <f aca="false">Heroes!$F28</f>
        <v>10</v>
      </c>
      <c r="F28" s="1" t="n">
        <f aca="false">Heroes!$H28</f>
        <v>30</v>
      </c>
      <c r="G28" s="1" t="str">
        <f aca="false">Heroes!$K28</f>
        <v>Physical</v>
      </c>
      <c r="H28" s="1" t="n">
        <f aca="false">Heroes!$Q28</f>
        <v>2</v>
      </c>
      <c r="I28" s="1" t="n">
        <f aca="false">IFERROR(INDEX(RoleMatrix!$B$2:$G$7,MATCH(B28,RoleMatrix!$A$2:$A$7,0),MATCH($B$1,RoleMatrix!$B$1:$G$1,0)),0)</f>
        <v>0</v>
      </c>
      <c r="J28" s="1" t="n">
        <f aca="false">IF(C28&lt;&gt;"",IFERROR(INDEX(RoleMatrix!$B$2:$G$7,MATCH(C28,RoleMatrix!$A$2:$A$7,0),MATCH($B$1,RoleMatrix!$B$1:$G$1,0)),0),I28)</f>
        <v>0</v>
      </c>
      <c r="K28" s="1" t="n">
        <f aca="false">MAX(I28,J28)</f>
        <v>0</v>
      </c>
      <c r="L28" s="1" t="n">
        <f aca="false">((D28+E28)/2-$C$1)*$H$1</f>
        <v>3</v>
      </c>
      <c r="M28" s="1" t="n">
        <f aca="false">F28-$D$1</f>
        <v>30</v>
      </c>
      <c r="N28" s="1" t="n">
        <f aca="false">IF(M28&gt;20,M28*$I$1,0)</f>
        <v>9</v>
      </c>
      <c r="O28" s="1" t="n">
        <f aca="false">IF(G28="Mixed",5,IF(G28=$E$1,-2,3))</f>
        <v>3</v>
      </c>
      <c r="P28" s="1" t="n">
        <f aca="false">(H28-$F$1)*3</f>
        <v>6</v>
      </c>
      <c r="Q28" s="1" t="n">
        <f aca="false">K28*$G$1+L28+N28+O28+P28</f>
        <v>21</v>
      </c>
      <c r="R28" s="1" t="n">
        <f aca="false">IFERROR(INDEX(ManualOverrides!$C$2:$C$1000,MATCH(A28&amp;"|"&amp;$A$1,ManualOverrides!$E$2:$E$1000,0)),Q28)</f>
        <v>21</v>
      </c>
      <c r="S28" s="1" t="n">
        <f aca="false">IF(OR($A$1="",A28=$A$1),-1000000000000000,R28)</f>
        <v>-1000000000000000</v>
      </c>
      <c r="T28" s="1" t="n">
        <f aca="false">S28+ROW()*0.0000001</f>
        <v>-1000000000000000</v>
      </c>
      <c r="U28" s="1" t="str">
        <f aca="false">Heroes!$M28</f>
        <v>EXP Lane</v>
      </c>
      <c r="V28" s="1" t="n">
        <f aca="false">IF(OR($A$1="",A28=$A$1,U28="",U28&lt;&gt;$J$1),-1000000000000000,R28)+ROW()*0.0000001</f>
        <v>-1000000000000000</v>
      </c>
    </row>
    <row r="29" customFormat="false" ht="15" hidden="false" customHeight="true" outlineLevel="0" collapsed="false">
      <c r="A29" s="1" t="str">
        <f aca="false">Heroes!$B29</f>
        <v>Alpha</v>
      </c>
      <c r="B29" s="1" t="str">
        <f aca="false">Heroes!$C29</f>
        <v>Fighter</v>
      </c>
      <c r="C29" s="1" t="n">
        <f aca="false">Heroes!$D29</f>
        <v>0</v>
      </c>
      <c r="D29" s="1" t="n">
        <f aca="false">Heroes!$E29</f>
        <v>40</v>
      </c>
      <c r="E29" s="1" t="n">
        <f aca="false">Heroes!$F29</f>
        <v>70</v>
      </c>
      <c r="F29" s="1" t="n">
        <f aca="false">Heroes!$H29</f>
        <v>10</v>
      </c>
      <c r="G29" s="1" t="str">
        <f aca="false">Heroes!$K29</f>
        <v>Physical</v>
      </c>
      <c r="H29" s="1" t="n">
        <f aca="false">Heroes!$Q29</f>
        <v>3</v>
      </c>
      <c r="I29" s="1" t="n">
        <f aca="false">IFERROR(INDEX(RoleMatrix!$B$2:$G$7,MATCH(B29,RoleMatrix!$A$2:$A$7,0),MATCH($B$1,RoleMatrix!$B$1:$G$1,0)),0)</f>
        <v>0</v>
      </c>
      <c r="J29" s="1" t="n">
        <f aca="false">IF(C29&lt;&gt;"",IFERROR(INDEX(RoleMatrix!$B$2:$G$7,MATCH(C29,RoleMatrix!$A$2:$A$7,0),MATCH($B$1,RoleMatrix!$B$1:$G$1,0)),0),I29)</f>
        <v>0</v>
      </c>
      <c r="K29" s="1" t="n">
        <f aca="false">MAX(I29,J29)</f>
        <v>0</v>
      </c>
      <c r="L29" s="1" t="n">
        <f aca="false">((D29+E29)/2-$C$1)*$H$1</f>
        <v>5.5</v>
      </c>
      <c r="M29" s="1" t="n">
        <f aca="false">F29-$D$1</f>
        <v>10</v>
      </c>
      <c r="N29" s="1" t="n">
        <f aca="false">IF(M29&gt;20,M29*$I$1,0)</f>
        <v>0</v>
      </c>
      <c r="O29" s="1" t="n">
        <f aca="false">IF(G29="Mixed",5,IF(G29=$E$1,-2,3))</f>
        <v>3</v>
      </c>
      <c r="P29" s="1" t="n">
        <f aca="false">(H29-$F$1)*3</f>
        <v>9</v>
      </c>
      <c r="Q29" s="1" t="n">
        <f aca="false">K29*$G$1+L29+N29+O29+P29</f>
        <v>17.5</v>
      </c>
      <c r="R29" s="1" t="n">
        <f aca="false">IFERROR(INDEX(ManualOverrides!$C$2:$C$1000,MATCH(A29&amp;"|"&amp;$A$1,ManualOverrides!$E$2:$E$1000,0)),Q29)</f>
        <v>17.5</v>
      </c>
      <c r="S29" s="1" t="n">
        <f aca="false">IF(OR($A$1="",A29=$A$1),-1000000000000000,R29)</f>
        <v>-1000000000000000</v>
      </c>
      <c r="T29" s="1" t="n">
        <f aca="false">S29+ROW()*0.0000001</f>
        <v>-1000000000000000</v>
      </c>
      <c r="U29" s="1" t="str">
        <f aca="false">Heroes!$M29</f>
        <v>Jungle</v>
      </c>
      <c r="V29" s="1" t="n">
        <f aca="false">IF(OR($A$1="",A29=$A$1,U29="",U29&lt;&gt;$J$1),-1000000000000000,R29)+ROW()*0.0000001</f>
        <v>-1000000000000000</v>
      </c>
    </row>
    <row r="30" customFormat="false" ht="15" hidden="false" customHeight="true" outlineLevel="0" collapsed="false">
      <c r="A30" s="1" t="str">
        <f aca="false">Heroes!$B30</f>
        <v>Ruby</v>
      </c>
      <c r="B30" s="1" t="str">
        <f aca="false">Heroes!$C30</f>
        <v>Fighter</v>
      </c>
      <c r="C30" s="1" t="n">
        <f aca="false">Heroes!$D30</f>
        <v>0</v>
      </c>
      <c r="D30" s="1" t="n">
        <f aca="false">Heroes!$E30</f>
        <v>20</v>
      </c>
      <c r="E30" s="1" t="n">
        <f aca="false">Heroes!$F30</f>
        <v>90</v>
      </c>
      <c r="F30" s="1" t="n">
        <f aca="false">Heroes!$H30</f>
        <v>40</v>
      </c>
      <c r="G30" s="1" t="str">
        <f aca="false">Heroes!$K30</f>
        <v>Physical</v>
      </c>
      <c r="H30" s="1" t="n">
        <f aca="false">Heroes!$Q30</f>
        <v>4</v>
      </c>
      <c r="I30" s="1" t="n">
        <f aca="false">IFERROR(INDEX(RoleMatrix!$B$2:$G$7,MATCH(B30,RoleMatrix!$A$2:$A$7,0),MATCH($B$1,RoleMatrix!$B$1:$G$1,0)),0)</f>
        <v>0</v>
      </c>
      <c r="J30" s="1" t="n">
        <f aca="false">IF(C30&lt;&gt;"",IFERROR(INDEX(RoleMatrix!$B$2:$G$7,MATCH(C30,RoleMatrix!$A$2:$A$7,0),MATCH($B$1,RoleMatrix!$B$1:$G$1,0)),0),I30)</f>
        <v>0</v>
      </c>
      <c r="K30" s="1" t="n">
        <f aca="false">MAX(I30,J30)</f>
        <v>0</v>
      </c>
      <c r="L30" s="1" t="n">
        <f aca="false">((D30+E30)/2-$C$1)*$H$1</f>
        <v>5.5</v>
      </c>
      <c r="M30" s="1" t="n">
        <f aca="false">F30-$D$1</f>
        <v>40</v>
      </c>
      <c r="N30" s="1" t="n">
        <f aca="false">IF(M30&gt;20,M30*$I$1,0)</f>
        <v>12</v>
      </c>
      <c r="O30" s="1" t="n">
        <f aca="false">IF(G30="Mixed",5,IF(G30=$E$1,-2,3))</f>
        <v>3</v>
      </c>
      <c r="P30" s="1" t="n">
        <f aca="false">(H30-$F$1)*3</f>
        <v>12</v>
      </c>
      <c r="Q30" s="1" t="n">
        <f aca="false">K30*$G$1+L30+N30+O30+P30</f>
        <v>32.5</v>
      </c>
      <c r="R30" s="1" t="n">
        <f aca="false">IFERROR(INDEX(ManualOverrides!$C$2:$C$1000,MATCH(A30&amp;"|"&amp;$A$1,ManualOverrides!$E$2:$E$1000,0)),Q30)</f>
        <v>32.5</v>
      </c>
      <c r="S30" s="1" t="n">
        <f aca="false">IF(OR($A$1="",A30=$A$1),-1000000000000000,R30)</f>
        <v>-1000000000000000</v>
      </c>
      <c r="T30" s="1" t="n">
        <f aca="false">S30+ROW()*0.0000001</f>
        <v>-1000000000000000</v>
      </c>
      <c r="U30" s="1" t="str">
        <f aca="false">Heroes!$M30</f>
        <v>EXP Lane</v>
      </c>
      <c r="V30" s="1" t="n">
        <f aca="false">IF(OR($A$1="",A30=$A$1,U30="",U30&lt;&gt;$J$1),-1000000000000000,R30)+ROW()*0.0000001</f>
        <v>-1000000000000000</v>
      </c>
    </row>
    <row r="31" customFormat="false" ht="15" hidden="false" customHeight="true" outlineLevel="0" collapsed="false">
      <c r="A31" s="1" t="str">
        <f aca="false">Heroes!$B31</f>
        <v>Yi Sun-shin</v>
      </c>
      <c r="B31" s="1" t="str">
        <f aca="false">Heroes!$C31</f>
        <v>Assassin</v>
      </c>
      <c r="C31" s="1" t="str">
        <f aca="false">Heroes!$D31</f>
        <v>Marksman</v>
      </c>
      <c r="D31" s="1" t="n">
        <f aca="false">Heroes!$E31</f>
        <v>90</v>
      </c>
      <c r="E31" s="1" t="n">
        <f aca="false">Heroes!$F31</f>
        <v>20</v>
      </c>
      <c r="F31" s="1" t="n">
        <f aca="false">Heroes!$H31</f>
        <v>70</v>
      </c>
      <c r="G31" s="1" t="str">
        <f aca="false">Heroes!$K31</f>
        <v>Physical</v>
      </c>
      <c r="H31" s="1" t="n">
        <f aca="false">Heroes!$Q31</f>
        <v>4</v>
      </c>
      <c r="I31" s="1" t="n">
        <f aca="false">IFERROR(INDEX(RoleMatrix!$B$2:$G$7,MATCH(B31,RoleMatrix!$A$2:$A$7,0),MATCH($B$1,RoleMatrix!$B$1:$G$1,0)),0)</f>
        <v>0</v>
      </c>
      <c r="J31" s="1" t="n">
        <f aca="false">IF(C31&lt;&gt;"",IFERROR(INDEX(RoleMatrix!$B$2:$G$7,MATCH(C31,RoleMatrix!$A$2:$A$7,0),MATCH($B$1,RoleMatrix!$B$1:$G$1,0)),0),I31)</f>
        <v>0</v>
      </c>
      <c r="K31" s="1" t="n">
        <f aca="false">MAX(I31,J31)</f>
        <v>0</v>
      </c>
      <c r="L31" s="1" t="n">
        <f aca="false">((D31+E31)/2-$C$1)*$H$1</f>
        <v>5.5</v>
      </c>
      <c r="M31" s="1" t="n">
        <f aca="false">F31-$D$1</f>
        <v>70</v>
      </c>
      <c r="N31" s="1" t="n">
        <f aca="false">IF(M31&gt;20,M31*$I$1,0)</f>
        <v>21</v>
      </c>
      <c r="O31" s="1" t="n">
        <f aca="false">IF(G31="Mixed",5,IF(G31=$E$1,-2,3))</f>
        <v>3</v>
      </c>
      <c r="P31" s="1" t="n">
        <f aca="false">(H31-$F$1)*3</f>
        <v>12</v>
      </c>
      <c r="Q31" s="1" t="n">
        <f aca="false">K31*$G$1+L31+N31+O31+P31</f>
        <v>41.5</v>
      </c>
      <c r="R31" s="1" t="n">
        <f aca="false">IFERROR(INDEX(ManualOverrides!$C$2:$C$1000,MATCH(A31&amp;"|"&amp;$A$1,ManualOverrides!$E$2:$E$1000,0)),Q31)</f>
        <v>41.5</v>
      </c>
      <c r="S31" s="1" t="n">
        <f aca="false">IF(OR($A$1="",A31=$A$1),-1000000000000000,R31)</f>
        <v>-1000000000000000</v>
      </c>
      <c r="T31" s="1" t="n">
        <f aca="false">S31+ROW()*0.0000001</f>
        <v>-1000000000000000</v>
      </c>
      <c r="U31" s="1" t="str">
        <f aca="false">Heroes!$M31</f>
        <v>Jungle</v>
      </c>
      <c r="V31" s="1" t="n">
        <f aca="false">IF(OR($A$1="",A31=$A$1,U31="",U31&lt;&gt;$J$1),-1000000000000000,R31)+ROW()*0.0000001</f>
        <v>-1000000000000000</v>
      </c>
    </row>
    <row r="32" customFormat="false" ht="15" hidden="false" customHeight="true" outlineLevel="0" collapsed="false">
      <c r="A32" s="1" t="str">
        <f aca="false">Heroes!$B32</f>
        <v>Moskov</v>
      </c>
      <c r="B32" s="1" t="str">
        <f aca="false">Heroes!$C32</f>
        <v>Marksman</v>
      </c>
      <c r="C32" s="1" t="n">
        <f aca="false">Heroes!$D32</f>
        <v>0</v>
      </c>
      <c r="D32" s="1" t="n">
        <f aca="false">Heroes!$E32</f>
        <v>60</v>
      </c>
      <c r="E32" s="1" t="n">
        <f aca="false">Heroes!$F32</f>
        <v>60</v>
      </c>
      <c r="F32" s="1" t="n">
        <f aca="false">Heroes!$H32</f>
        <v>50</v>
      </c>
      <c r="G32" s="1" t="str">
        <f aca="false">Heroes!$K32</f>
        <v>Physical</v>
      </c>
      <c r="H32" s="1" t="n">
        <f aca="false">Heroes!$Q32</f>
        <v>5</v>
      </c>
      <c r="I32" s="1" t="n">
        <f aca="false">IFERROR(INDEX(RoleMatrix!$B$2:$G$7,MATCH(B32,RoleMatrix!$A$2:$A$7,0),MATCH($B$1,RoleMatrix!$B$1:$G$1,0)),0)</f>
        <v>0</v>
      </c>
      <c r="J32" s="1" t="n">
        <f aca="false">IF(C32&lt;&gt;"",IFERROR(INDEX(RoleMatrix!$B$2:$G$7,MATCH(C32,RoleMatrix!$A$2:$A$7,0),MATCH($B$1,RoleMatrix!$B$1:$G$1,0)),0),I32)</f>
        <v>0</v>
      </c>
      <c r="K32" s="1" t="n">
        <f aca="false">MAX(I32,J32)</f>
        <v>0</v>
      </c>
      <c r="L32" s="1" t="n">
        <f aca="false">((D32+E32)/2-$C$1)*$H$1</f>
        <v>6</v>
      </c>
      <c r="M32" s="1" t="n">
        <f aca="false">F32-$D$1</f>
        <v>50</v>
      </c>
      <c r="N32" s="1" t="n">
        <f aca="false">IF(M32&gt;20,M32*$I$1,0)</f>
        <v>15</v>
      </c>
      <c r="O32" s="1" t="n">
        <f aca="false">IF(G32="Mixed",5,IF(G32=$E$1,-2,3))</f>
        <v>3</v>
      </c>
      <c r="P32" s="1" t="n">
        <f aca="false">(H32-$F$1)*3</f>
        <v>15</v>
      </c>
      <c r="Q32" s="1" t="n">
        <f aca="false">K32*$G$1+L32+N32+O32+P32</f>
        <v>39</v>
      </c>
      <c r="R32" s="1" t="n">
        <f aca="false">IFERROR(INDEX(ManualOverrides!$C$2:$C$1000,MATCH(A32&amp;"|"&amp;$A$1,ManualOverrides!$E$2:$E$1000,0)),Q32)</f>
        <v>39</v>
      </c>
      <c r="S32" s="1" t="n">
        <f aca="false">IF(OR($A$1="",A32=$A$1),-1000000000000000,R32)</f>
        <v>-1000000000000000</v>
      </c>
      <c r="T32" s="1" t="n">
        <f aca="false">S32+ROW()*0.0000001</f>
        <v>-1000000000000000</v>
      </c>
      <c r="U32" s="1" t="str">
        <f aca="false">Heroes!$M32</f>
        <v>Gold Lane</v>
      </c>
      <c r="V32" s="1" t="n">
        <f aca="false">IF(OR($A$1="",A32=$A$1,U32="",U32&lt;&gt;$J$1),-1000000000000000,R32)+ROW()*0.0000001</f>
        <v>-1000000000000000</v>
      </c>
    </row>
    <row r="33" customFormat="false" ht="15" hidden="false" customHeight="true" outlineLevel="0" collapsed="false">
      <c r="A33" s="1" t="str">
        <f aca="false">Heroes!$B33</f>
        <v>Johnson</v>
      </c>
      <c r="B33" s="1" t="str">
        <f aca="false">Heroes!$C33</f>
        <v>Tank</v>
      </c>
      <c r="C33" s="1" t="str">
        <f aca="false">Heroes!$D33</f>
        <v>Support</v>
      </c>
      <c r="D33" s="1" t="n">
        <f aca="false">Heroes!$E33</f>
        <v>30</v>
      </c>
      <c r="E33" s="1" t="n">
        <f aca="false">Heroes!$F33</f>
        <v>90</v>
      </c>
      <c r="F33" s="1" t="n">
        <f aca="false">Heroes!$H33</f>
        <v>50</v>
      </c>
      <c r="G33" s="1" t="str">
        <f aca="false">Heroes!$K33</f>
        <v>Magic</v>
      </c>
      <c r="H33" s="1" t="n">
        <f aca="false">Heroes!$Q33</f>
        <v>2</v>
      </c>
      <c r="I33" s="1" t="n">
        <f aca="false">IFERROR(INDEX(RoleMatrix!$B$2:$G$7,MATCH(B33,RoleMatrix!$A$2:$A$7,0),MATCH($B$1,RoleMatrix!$B$1:$G$1,0)),0)</f>
        <v>0</v>
      </c>
      <c r="J33" s="1" t="n">
        <f aca="false">IF(C33&lt;&gt;"",IFERROR(INDEX(RoleMatrix!$B$2:$G$7,MATCH(C33,RoleMatrix!$A$2:$A$7,0),MATCH($B$1,RoleMatrix!$B$1:$G$1,0)),0),I33)</f>
        <v>0</v>
      </c>
      <c r="K33" s="1" t="n">
        <f aca="false">MAX(I33,J33)</f>
        <v>0</v>
      </c>
      <c r="L33" s="1" t="n">
        <f aca="false">((D33+E33)/2-$C$1)*$H$1</f>
        <v>6</v>
      </c>
      <c r="M33" s="1" t="n">
        <f aca="false">F33-$D$1</f>
        <v>50</v>
      </c>
      <c r="N33" s="1" t="n">
        <f aca="false">IF(M33&gt;20,M33*$I$1,0)</f>
        <v>15</v>
      </c>
      <c r="O33" s="1" t="n">
        <f aca="false">IF(G33="Mixed",5,IF(G33=$E$1,-2,3))</f>
        <v>3</v>
      </c>
      <c r="P33" s="1" t="n">
        <f aca="false">(H33-$F$1)*3</f>
        <v>6</v>
      </c>
      <c r="Q33" s="1" t="n">
        <f aca="false">K33*$G$1+L33+N33+O33+P33</f>
        <v>30</v>
      </c>
      <c r="R33" s="1" t="n">
        <f aca="false">IFERROR(INDEX(ManualOverrides!$C$2:$C$1000,MATCH(A33&amp;"|"&amp;$A$1,ManualOverrides!$E$2:$E$1000,0)),Q33)</f>
        <v>30</v>
      </c>
      <c r="S33" s="1" t="n">
        <f aca="false">IF(OR($A$1="",A33=$A$1),-1000000000000000,R33)</f>
        <v>-1000000000000000</v>
      </c>
      <c r="T33" s="1" t="n">
        <f aca="false">S33+ROW()*0.0000001</f>
        <v>-1000000000000000</v>
      </c>
      <c r="U33" s="1" t="str">
        <f aca="false">Heroes!$M33</f>
        <v>Roaming</v>
      </c>
      <c r="V33" s="1" t="n">
        <f aca="false">IF(OR($A$1="",A33=$A$1,U33="",U33&lt;&gt;$J$1),-1000000000000000,R33)+ROW()*0.0000001</f>
        <v>-1000000000000000</v>
      </c>
    </row>
    <row r="34" customFormat="false" ht="15" hidden="false" customHeight="true" outlineLevel="0" collapsed="false">
      <c r="A34" s="1" t="str">
        <f aca="false">Heroes!$B34</f>
        <v>Cyclops</v>
      </c>
      <c r="B34" s="1" t="str">
        <f aca="false">Heroes!$C34</f>
        <v>Mage</v>
      </c>
      <c r="C34" s="1" t="n">
        <f aca="false">Heroes!$D34</f>
        <v>0</v>
      </c>
      <c r="D34" s="1" t="n">
        <f aca="false">Heroes!$E34</f>
        <v>100</v>
      </c>
      <c r="E34" s="1" t="n">
        <f aca="false">Heroes!$F34</f>
        <v>70</v>
      </c>
      <c r="F34" s="1" t="n">
        <f aca="false">Heroes!$H34</f>
        <v>60</v>
      </c>
      <c r="G34" s="1" t="str">
        <f aca="false">Heroes!$K34</f>
        <v>Magic</v>
      </c>
      <c r="H34" s="1" t="n">
        <f aca="false">Heroes!$Q34</f>
        <v>3</v>
      </c>
      <c r="I34" s="1" t="n">
        <f aca="false">IFERROR(INDEX(RoleMatrix!$B$2:$G$7,MATCH(B34,RoleMatrix!$A$2:$A$7,0),MATCH($B$1,RoleMatrix!$B$1:$G$1,0)),0)</f>
        <v>0</v>
      </c>
      <c r="J34" s="1" t="n">
        <f aca="false">IF(C34&lt;&gt;"",IFERROR(INDEX(RoleMatrix!$B$2:$G$7,MATCH(C34,RoleMatrix!$A$2:$A$7,0),MATCH($B$1,RoleMatrix!$B$1:$G$1,0)),0),I34)</f>
        <v>0</v>
      </c>
      <c r="K34" s="1" t="n">
        <f aca="false">MAX(I34,J34)</f>
        <v>0</v>
      </c>
      <c r="L34" s="1" t="n">
        <f aca="false">((D34+E34)/2-$C$1)*$H$1</f>
        <v>8.5</v>
      </c>
      <c r="M34" s="1" t="n">
        <f aca="false">F34-$D$1</f>
        <v>60</v>
      </c>
      <c r="N34" s="1" t="n">
        <f aca="false">IF(M34&gt;20,M34*$I$1,0)</f>
        <v>18</v>
      </c>
      <c r="O34" s="1" t="n">
        <f aca="false">IF(G34="Mixed",5,IF(G34=$E$1,-2,3))</f>
        <v>3</v>
      </c>
      <c r="P34" s="1" t="n">
        <f aca="false">(H34-$F$1)*3</f>
        <v>9</v>
      </c>
      <c r="Q34" s="1" t="n">
        <f aca="false">K34*$G$1+L34+N34+O34+P34</f>
        <v>38.5</v>
      </c>
      <c r="R34" s="1" t="n">
        <f aca="false">IFERROR(INDEX(ManualOverrides!$C$2:$C$1000,MATCH(A34&amp;"|"&amp;$A$1,ManualOverrides!$E$2:$E$1000,0)),Q34)</f>
        <v>38.5</v>
      </c>
      <c r="S34" s="1" t="n">
        <f aca="false">IF(OR($A$1="",A34=$A$1),-1000000000000000,R34)</f>
        <v>-1000000000000000</v>
      </c>
      <c r="T34" s="1" t="n">
        <f aca="false">S34+ROW()*0.0000001</f>
        <v>-1000000000000000</v>
      </c>
      <c r="U34" s="1" t="str">
        <f aca="false">Heroes!$M34</f>
        <v>Mid Lane</v>
      </c>
      <c r="V34" s="1" t="n">
        <f aca="false">IF(OR($A$1="",A34=$A$1,U34="",U34&lt;&gt;$J$1),-1000000000000000,R34)+ROW()*0.0000001</f>
        <v>-1000000000000000</v>
      </c>
    </row>
    <row r="35" customFormat="false" ht="15" hidden="false" customHeight="true" outlineLevel="0" collapsed="false">
      <c r="A35" s="1" t="str">
        <f aca="false">Heroes!$B35</f>
        <v>Estes</v>
      </c>
      <c r="B35" s="1" t="str">
        <f aca="false">Heroes!$C35</f>
        <v>Support</v>
      </c>
      <c r="C35" s="1" t="n">
        <f aca="false">Heroes!$D35</f>
        <v>0</v>
      </c>
      <c r="D35" s="1" t="n">
        <f aca="false">Heroes!$E35</f>
        <v>10</v>
      </c>
      <c r="E35" s="1" t="n">
        <f aca="false">Heroes!$F35</f>
        <v>20</v>
      </c>
      <c r="F35" s="1" t="n">
        <f aca="false">Heroes!$H35</f>
        <v>30</v>
      </c>
      <c r="G35" s="1" t="str">
        <f aca="false">Heroes!$K35</f>
        <v>Magic</v>
      </c>
      <c r="H35" s="1" t="n">
        <f aca="false">Heroes!$Q35</f>
        <v>2</v>
      </c>
      <c r="I35" s="1" t="n">
        <f aca="false">IFERROR(INDEX(RoleMatrix!$B$2:$G$7,MATCH(B35,RoleMatrix!$A$2:$A$7,0),MATCH($B$1,RoleMatrix!$B$1:$G$1,0)),0)</f>
        <v>0</v>
      </c>
      <c r="J35" s="1" t="n">
        <f aca="false">IF(C35&lt;&gt;"",IFERROR(INDEX(RoleMatrix!$B$2:$G$7,MATCH(C35,RoleMatrix!$A$2:$A$7,0),MATCH($B$1,RoleMatrix!$B$1:$G$1,0)),0),I35)</f>
        <v>0</v>
      </c>
      <c r="K35" s="1" t="n">
        <f aca="false">MAX(I35,J35)</f>
        <v>0</v>
      </c>
      <c r="L35" s="1" t="n">
        <f aca="false">((D35+E35)/2-$C$1)*$H$1</f>
        <v>1.5</v>
      </c>
      <c r="M35" s="1" t="n">
        <f aca="false">F35-$D$1</f>
        <v>30</v>
      </c>
      <c r="N35" s="1" t="n">
        <f aca="false">IF(M35&gt;20,M35*$I$1,0)</f>
        <v>9</v>
      </c>
      <c r="O35" s="1" t="n">
        <f aca="false">IF(G35="Mixed",5,IF(G35=$E$1,-2,3))</f>
        <v>3</v>
      </c>
      <c r="P35" s="1" t="n">
        <f aca="false">(H35-$F$1)*3</f>
        <v>6</v>
      </c>
      <c r="Q35" s="1" t="n">
        <f aca="false">K35*$G$1+L35+N35+O35+P35</f>
        <v>19.5</v>
      </c>
      <c r="R35" s="1" t="n">
        <f aca="false">IFERROR(INDEX(ManualOverrides!$C$2:$C$1000,MATCH(A35&amp;"|"&amp;$A$1,ManualOverrides!$E$2:$E$1000,0)),Q35)</f>
        <v>19.5</v>
      </c>
      <c r="S35" s="1" t="n">
        <f aca="false">IF(OR($A$1="",A35=$A$1),-1000000000000000,R35)</f>
        <v>-1000000000000000</v>
      </c>
      <c r="T35" s="1" t="n">
        <f aca="false">S35+ROW()*0.0000001</f>
        <v>-1000000000000000</v>
      </c>
      <c r="U35" s="1" t="str">
        <f aca="false">Heroes!$M35</f>
        <v>Roaming</v>
      </c>
      <c r="V35" s="1" t="n">
        <f aca="false">IF(OR($A$1="",A35=$A$1,U35="",U35&lt;&gt;$J$1),-1000000000000000,R35)+ROW()*0.0000001</f>
        <v>-1000000000000000</v>
      </c>
    </row>
    <row r="36" customFormat="false" ht="15" hidden="false" customHeight="true" outlineLevel="0" collapsed="false">
      <c r="A36" s="1" t="str">
        <f aca="false">Heroes!$B36</f>
        <v>Hilda</v>
      </c>
      <c r="B36" s="1" t="str">
        <f aca="false">Heroes!$C36</f>
        <v>Fighter</v>
      </c>
      <c r="C36" s="1" t="str">
        <f aca="false">Heroes!$D36</f>
        <v>Tank</v>
      </c>
      <c r="D36" s="1" t="n">
        <f aca="false">Heroes!$E36</f>
        <v>40</v>
      </c>
      <c r="E36" s="1" t="n">
        <f aca="false">Heroes!$F36</f>
        <v>40</v>
      </c>
      <c r="F36" s="1" t="n">
        <f aca="false">Heroes!$H36</f>
        <v>40</v>
      </c>
      <c r="G36" s="1" t="str">
        <f aca="false">Heroes!$K36</f>
        <v>Physical</v>
      </c>
      <c r="H36" s="1" t="n">
        <f aca="false">Heroes!$Q36</f>
        <v>1</v>
      </c>
      <c r="I36" s="1" t="n">
        <f aca="false">IFERROR(INDEX(RoleMatrix!$B$2:$G$7,MATCH(B36,RoleMatrix!$A$2:$A$7,0),MATCH($B$1,RoleMatrix!$B$1:$G$1,0)),0)</f>
        <v>0</v>
      </c>
      <c r="J36" s="1" t="n">
        <f aca="false">IF(C36&lt;&gt;"",IFERROR(INDEX(RoleMatrix!$B$2:$G$7,MATCH(C36,RoleMatrix!$A$2:$A$7,0),MATCH($B$1,RoleMatrix!$B$1:$G$1,0)),0),I36)</f>
        <v>0</v>
      </c>
      <c r="K36" s="1" t="n">
        <f aca="false">MAX(I36,J36)</f>
        <v>0</v>
      </c>
      <c r="L36" s="1" t="n">
        <f aca="false">((D36+E36)/2-$C$1)*$H$1</f>
        <v>4</v>
      </c>
      <c r="M36" s="1" t="n">
        <f aca="false">F36-$D$1</f>
        <v>40</v>
      </c>
      <c r="N36" s="1" t="n">
        <f aca="false">IF(M36&gt;20,M36*$I$1,0)</f>
        <v>12</v>
      </c>
      <c r="O36" s="1" t="n">
        <f aca="false">IF(G36="Mixed",5,IF(G36=$E$1,-2,3))</f>
        <v>3</v>
      </c>
      <c r="P36" s="1" t="n">
        <f aca="false">(H36-$F$1)*3</f>
        <v>3</v>
      </c>
      <c r="Q36" s="1" t="n">
        <f aca="false">K36*$G$1+L36+N36+O36+P36</f>
        <v>22</v>
      </c>
      <c r="R36" s="1" t="n">
        <f aca="false">IFERROR(INDEX(ManualOverrides!$C$2:$C$1000,MATCH(A36&amp;"|"&amp;$A$1,ManualOverrides!$E$2:$E$1000,0)),Q36)</f>
        <v>22</v>
      </c>
      <c r="S36" s="1" t="n">
        <f aca="false">IF(OR($A$1="",A36=$A$1),-1000000000000000,R36)</f>
        <v>-1000000000000000</v>
      </c>
      <c r="T36" s="1" t="n">
        <f aca="false">S36+ROW()*0.0000001</f>
        <v>-1000000000000000</v>
      </c>
      <c r="U36" s="1" t="str">
        <f aca="false">Heroes!$M36</f>
        <v>Roaming</v>
      </c>
      <c r="V36" s="1" t="n">
        <f aca="false">IF(OR($A$1="",A36=$A$1,U36="",U36&lt;&gt;$J$1),-1000000000000000,R36)+ROW()*0.0000001</f>
        <v>-1000000000000000</v>
      </c>
    </row>
    <row r="37" customFormat="false" ht="15" hidden="false" customHeight="true" outlineLevel="0" collapsed="false">
      <c r="A37" s="1" t="str">
        <f aca="false">Heroes!$B37</f>
        <v>Aurora</v>
      </c>
      <c r="B37" s="1" t="str">
        <f aca="false">Heroes!$C37</f>
        <v>Mage</v>
      </c>
      <c r="C37" s="1" t="n">
        <f aca="false">Heroes!$D37</f>
        <v>0</v>
      </c>
      <c r="D37" s="1" t="n">
        <f aca="false">Heroes!$E37</f>
        <v>70</v>
      </c>
      <c r="E37" s="1" t="n">
        <f aca="false">Heroes!$F37</f>
        <v>100</v>
      </c>
      <c r="F37" s="1" t="n">
        <f aca="false">Heroes!$H37</f>
        <v>10</v>
      </c>
      <c r="G37" s="1" t="str">
        <f aca="false">Heroes!$K37</f>
        <v>Magic</v>
      </c>
      <c r="H37" s="1" t="n">
        <f aca="false">Heroes!$Q37</f>
        <v>3</v>
      </c>
      <c r="I37" s="1" t="n">
        <f aca="false">IFERROR(INDEX(RoleMatrix!$B$2:$G$7,MATCH(B37,RoleMatrix!$A$2:$A$7,0),MATCH($B$1,RoleMatrix!$B$1:$G$1,0)),0)</f>
        <v>0</v>
      </c>
      <c r="J37" s="1" t="n">
        <f aca="false">IF(C37&lt;&gt;"",IFERROR(INDEX(RoleMatrix!$B$2:$G$7,MATCH(C37,RoleMatrix!$A$2:$A$7,0),MATCH($B$1,RoleMatrix!$B$1:$G$1,0)),0),I37)</f>
        <v>0</v>
      </c>
      <c r="K37" s="1" t="n">
        <f aca="false">MAX(I37,J37)</f>
        <v>0</v>
      </c>
      <c r="L37" s="1" t="n">
        <f aca="false">((D37+E37)/2-$C$1)*$H$1</f>
        <v>8.5</v>
      </c>
      <c r="M37" s="1" t="n">
        <f aca="false">F37-$D$1</f>
        <v>10</v>
      </c>
      <c r="N37" s="1" t="n">
        <f aca="false">IF(M37&gt;20,M37*$I$1,0)</f>
        <v>0</v>
      </c>
      <c r="O37" s="1" t="n">
        <f aca="false">IF(G37="Mixed",5,IF(G37=$E$1,-2,3))</f>
        <v>3</v>
      </c>
      <c r="P37" s="1" t="n">
        <f aca="false">(H37-$F$1)*3</f>
        <v>9</v>
      </c>
      <c r="Q37" s="1" t="n">
        <f aca="false">K37*$G$1+L37+N37+O37+P37</f>
        <v>20.5</v>
      </c>
      <c r="R37" s="1" t="n">
        <f aca="false">IFERROR(INDEX(ManualOverrides!$C$2:$C$1000,MATCH(A37&amp;"|"&amp;$A$1,ManualOverrides!$E$2:$E$1000,0)),Q37)</f>
        <v>20.5</v>
      </c>
      <c r="S37" s="1" t="n">
        <f aca="false">IF(OR($A$1="",A37=$A$1),-1000000000000000,R37)</f>
        <v>-1000000000000000</v>
      </c>
      <c r="T37" s="1" t="n">
        <f aca="false">S37+ROW()*0.0000001</f>
        <v>-1000000000000000</v>
      </c>
      <c r="U37" s="1" t="str">
        <f aca="false">Heroes!$M37</f>
        <v>Mid Lane</v>
      </c>
      <c r="V37" s="1" t="n">
        <f aca="false">IF(OR($A$1="",A37=$A$1,U37="",U37&lt;&gt;$J$1),-1000000000000000,R37)+ROW()*0.0000001</f>
        <v>-1000000000000000</v>
      </c>
    </row>
    <row r="38" customFormat="false" ht="15" hidden="false" customHeight="true" outlineLevel="0" collapsed="false">
      <c r="A38" s="1" t="str">
        <f aca="false">Heroes!$B38</f>
        <v>Lapu-Lapu</v>
      </c>
      <c r="B38" s="1" t="str">
        <f aca="false">Heroes!$C38</f>
        <v>Fighter</v>
      </c>
      <c r="C38" s="1" t="n">
        <f aca="false">Heroes!$D38</f>
        <v>0</v>
      </c>
      <c r="D38" s="1" t="n">
        <f aca="false">Heroes!$E38</f>
        <v>40</v>
      </c>
      <c r="E38" s="1" t="n">
        <f aca="false">Heroes!$F38</f>
        <v>40</v>
      </c>
      <c r="F38" s="1" t="n">
        <f aca="false">Heroes!$H38</f>
        <v>50</v>
      </c>
      <c r="G38" s="1" t="str">
        <f aca="false">Heroes!$K38</f>
        <v>Physical</v>
      </c>
      <c r="H38" s="1" t="n">
        <f aca="false">Heroes!$Q38</f>
        <v>3</v>
      </c>
      <c r="I38" s="1" t="n">
        <f aca="false">IFERROR(INDEX(RoleMatrix!$B$2:$G$7,MATCH(B38,RoleMatrix!$A$2:$A$7,0),MATCH($B$1,RoleMatrix!$B$1:$G$1,0)),0)</f>
        <v>0</v>
      </c>
      <c r="J38" s="1" t="n">
        <f aca="false">IF(C38&lt;&gt;"",IFERROR(INDEX(RoleMatrix!$B$2:$G$7,MATCH(C38,RoleMatrix!$A$2:$A$7,0),MATCH($B$1,RoleMatrix!$B$1:$G$1,0)),0),I38)</f>
        <v>0</v>
      </c>
      <c r="K38" s="1" t="n">
        <f aca="false">MAX(I38,J38)</f>
        <v>0</v>
      </c>
      <c r="L38" s="1" t="n">
        <f aca="false">((D38+E38)/2-$C$1)*$H$1</f>
        <v>4</v>
      </c>
      <c r="M38" s="1" t="n">
        <f aca="false">F38-$D$1</f>
        <v>50</v>
      </c>
      <c r="N38" s="1" t="n">
        <f aca="false">IF(M38&gt;20,M38*$I$1,0)</f>
        <v>15</v>
      </c>
      <c r="O38" s="1" t="n">
        <f aca="false">IF(G38="Mixed",5,IF(G38=$E$1,-2,3))</f>
        <v>3</v>
      </c>
      <c r="P38" s="1" t="n">
        <f aca="false">(H38-$F$1)*3</f>
        <v>9</v>
      </c>
      <c r="Q38" s="1" t="n">
        <f aca="false">K38*$G$1+L38+N38+O38+P38</f>
        <v>31</v>
      </c>
      <c r="R38" s="1" t="n">
        <f aca="false">IFERROR(INDEX(ManualOverrides!$C$2:$C$1000,MATCH(A38&amp;"|"&amp;$A$1,ManualOverrides!$E$2:$E$1000,0)),Q38)</f>
        <v>31</v>
      </c>
      <c r="S38" s="1" t="n">
        <f aca="false">IF(OR($A$1="",A38=$A$1),-1000000000000000,R38)</f>
        <v>-1000000000000000</v>
      </c>
      <c r="T38" s="1" t="n">
        <f aca="false">S38+ROW()*0.0000001</f>
        <v>-1000000000000000</v>
      </c>
      <c r="U38" s="1" t="str">
        <f aca="false">Heroes!$M38</f>
        <v>EXP Lane</v>
      </c>
      <c r="V38" s="1" t="n">
        <f aca="false">IF(OR($A$1="",A38=$A$1,U38="",U38&lt;&gt;$J$1),-1000000000000000,R38)+ROW()*0.0000001</f>
        <v>-1000000000000000</v>
      </c>
    </row>
    <row r="39" customFormat="false" ht="15" hidden="false" customHeight="true" outlineLevel="0" collapsed="false">
      <c r="A39" s="1" t="str">
        <f aca="false">Heroes!$B39</f>
        <v>Vexana</v>
      </c>
      <c r="B39" s="1" t="str">
        <f aca="false">Heroes!$C39</f>
        <v>Mage</v>
      </c>
      <c r="C39" s="1" t="n">
        <f aca="false">Heroes!$D39</f>
        <v>0</v>
      </c>
      <c r="D39" s="1" t="n">
        <f aca="false">Heroes!$E39</f>
        <v>90</v>
      </c>
      <c r="E39" s="1" t="n">
        <f aca="false">Heroes!$F39</f>
        <v>50</v>
      </c>
      <c r="F39" s="1" t="n">
        <f aca="false">Heroes!$H39</f>
        <v>10</v>
      </c>
      <c r="G39" s="1" t="str">
        <f aca="false">Heroes!$K39</f>
        <v>Magic</v>
      </c>
      <c r="H39" s="1" t="n">
        <f aca="false">Heroes!$Q39</f>
        <v>3</v>
      </c>
      <c r="I39" s="1" t="n">
        <f aca="false">IFERROR(INDEX(RoleMatrix!$B$2:$G$7,MATCH(B39,RoleMatrix!$A$2:$A$7,0),MATCH($B$1,RoleMatrix!$B$1:$G$1,0)),0)</f>
        <v>0</v>
      </c>
      <c r="J39" s="1" t="n">
        <f aca="false">IF(C39&lt;&gt;"",IFERROR(INDEX(RoleMatrix!$B$2:$G$7,MATCH(C39,RoleMatrix!$A$2:$A$7,0),MATCH($B$1,RoleMatrix!$B$1:$G$1,0)),0),I39)</f>
        <v>0</v>
      </c>
      <c r="K39" s="1" t="n">
        <f aca="false">MAX(I39,J39)</f>
        <v>0</v>
      </c>
      <c r="L39" s="1" t="n">
        <f aca="false">((D39+E39)/2-$C$1)*$H$1</f>
        <v>7</v>
      </c>
      <c r="M39" s="1" t="n">
        <f aca="false">F39-$D$1</f>
        <v>10</v>
      </c>
      <c r="N39" s="1" t="n">
        <f aca="false">IF(M39&gt;20,M39*$I$1,0)</f>
        <v>0</v>
      </c>
      <c r="O39" s="1" t="n">
        <f aca="false">IF(G39="Mixed",5,IF(G39=$E$1,-2,3))</f>
        <v>3</v>
      </c>
      <c r="P39" s="1" t="n">
        <f aca="false">(H39-$F$1)*3</f>
        <v>9</v>
      </c>
      <c r="Q39" s="1" t="n">
        <f aca="false">K39*$G$1+L39+N39+O39+P39</f>
        <v>19</v>
      </c>
      <c r="R39" s="1" t="n">
        <f aca="false">IFERROR(INDEX(ManualOverrides!$C$2:$C$1000,MATCH(A39&amp;"|"&amp;$A$1,ManualOverrides!$E$2:$E$1000,0)),Q39)</f>
        <v>19</v>
      </c>
      <c r="S39" s="1" t="n">
        <f aca="false">IF(OR($A$1="",A39=$A$1),-1000000000000000,R39)</f>
        <v>-1000000000000000</v>
      </c>
      <c r="T39" s="1" t="n">
        <f aca="false">S39+ROW()*0.0000001</f>
        <v>-1000000000000000</v>
      </c>
      <c r="U39" s="1" t="str">
        <f aca="false">Heroes!$M39</f>
        <v>Mid Lane</v>
      </c>
      <c r="V39" s="1" t="n">
        <f aca="false">IF(OR($A$1="",A39=$A$1,U39="",U39&lt;&gt;$J$1),-1000000000000000,R39)+ROW()*0.0000001</f>
        <v>-1000000000000000</v>
      </c>
    </row>
    <row r="40" customFormat="false" ht="15" hidden="false" customHeight="true" outlineLevel="0" collapsed="false">
      <c r="A40" s="1" t="str">
        <f aca="false">Heroes!$B40</f>
        <v>Roger</v>
      </c>
      <c r="B40" s="1" t="str">
        <f aca="false">Heroes!$C40</f>
        <v>Fighter</v>
      </c>
      <c r="C40" s="1" t="str">
        <f aca="false">Heroes!$D40</f>
        <v>Marksman</v>
      </c>
      <c r="D40" s="1" t="n">
        <f aca="false">Heroes!$E40</f>
        <v>40</v>
      </c>
      <c r="E40" s="1" t="n">
        <f aca="false">Heroes!$F40</f>
        <v>10</v>
      </c>
      <c r="F40" s="1" t="n">
        <f aca="false">Heroes!$H40</f>
        <v>50</v>
      </c>
      <c r="G40" s="1" t="str">
        <f aca="false">Heroes!$K40</f>
        <v>Physical</v>
      </c>
      <c r="H40" s="1" t="n">
        <f aca="false">Heroes!$Q40</f>
        <v>3</v>
      </c>
      <c r="I40" s="1" t="n">
        <f aca="false">IFERROR(INDEX(RoleMatrix!$B$2:$G$7,MATCH(B40,RoleMatrix!$A$2:$A$7,0),MATCH($B$1,RoleMatrix!$B$1:$G$1,0)),0)</f>
        <v>0</v>
      </c>
      <c r="J40" s="1" t="n">
        <f aca="false">IF(C40&lt;&gt;"",IFERROR(INDEX(RoleMatrix!$B$2:$G$7,MATCH(C40,RoleMatrix!$A$2:$A$7,0),MATCH($B$1,RoleMatrix!$B$1:$G$1,0)),0),I40)</f>
        <v>0</v>
      </c>
      <c r="K40" s="1" t="n">
        <f aca="false">MAX(I40,J40)</f>
        <v>0</v>
      </c>
      <c r="L40" s="1" t="n">
        <f aca="false">((D40+E40)/2-$C$1)*$H$1</f>
        <v>2.5</v>
      </c>
      <c r="M40" s="1" t="n">
        <f aca="false">F40-$D$1</f>
        <v>50</v>
      </c>
      <c r="N40" s="1" t="n">
        <f aca="false">IF(M40&gt;20,M40*$I$1,0)</f>
        <v>15</v>
      </c>
      <c r="O40" s="1" t="n">
        <f aca="false">IF(G40="Mixed",5,IF(G40=$E$1,-2,3))</f>
        <v>3</v>
      </c>
      <c r="P40" s="1" t="n">
        <f aca="false">(H40-$F$1)*3</f>
        <v>9</v>
      </c>
      <c r="Q40" s="1" t="n">
        <f aca="false">K40*$G$1+L40+N40+O40+P40</f>
        <v>29.5</v>
      </c>
      <c r="R40" s="1" t="n">
        <f aca="false">IFERROR(INDEX(ManualOverrides!$C$2:$C$1000,MATCH(A40&amp;"|"&amp;$A$1,ManualOverrides!$E$2:$E$1000,0)),Q40)</f>
        <v>29.5</v>
      </c>
      <c r="S40" s="1" t="n">
        <f aca="false">IF(OR($A$1="",A40=$A$1),-1000000000000000,R40)</f>
        <v>-1000000000000000</v>
      </c>
      <c r="T40" s="1" t="n">
        <f aca="false">S40+ROW()*0.0000001</f>
        <v>-1000000000000000</v>
      </c>
      <c r="U40" s="1" t="str">
        <f aca="false">Heroes!$M40</f>
        <v>Jungle</v>
      </c>
      <c r="V40" s="1" t="n">
        <f aca="false">IF(OR($A$1="",A40=$A$1,U40="",U40&lt;&gt;$J$1),-1000000000000000,R40)+ROW()*0.0000001</f>
        <v>-1000000000000000</v>
      </c>
    </row>
    <row r="41" customFormat="false" ht="15" hidden="false" customHeight="true" outlineLevel="0" collapsed="false">
      <c r="A41" s="1" t="str">
        <f aca="false">Heroes!$B41</f>
        <v>Karrie</v>
      </c>
      <c r="B41" s="1" t="str">
        <f aca="false">Heroes!$C41</f>
        <v>Marksman</v>
      </c>
      <c r="C41" s="1" t="n">
        <f aca="false">Heroes!$D41</f>
        <v>0</v>
      </c>
      <c r="D41" s="1" t="n">
        <f aca="false">Heroes!$E41</f>
        <v>80</v>
      </c>
      <c r="E41" s="1" t="n">
        <f aca="false">Heroes!$F41</f>
        <v>10</v>
      </c>
      <c r="F41" s="1" t="n">
        <f aca="false">Heroes!$H41</f>
        <v>40</v>
      </c>
      <c r="G41" s="1" t="str">
        <f aca="false">Heroes!$K41</f>
        <v>Physical</v>
      </c>
      <c r="H41" s="1" t="n">
        <f aca="false">Heroes!$Q41</f>
        <v>5</v>
      </c>
      <c r="I41" s="1" t="n">
        <f aca="false">IFERROR(INDEX(RoleMatrix!$B$2:$G$7,MATCH(B41,RoleMatrix!$A$2:$A$7,0),MATCH($B$1,RoleMatrix!$B$1:$G$1,0)),0)</f>
        <v>0</v>
      </c>
      <c r="J41" s="1" t="n">
        <f aca="false">IF(C41&lt;&gt;"",IFERROR(INDEX(RoleMatrix!$B$2:$G$7,MATCH(C41,RoleMatrix!$A$2:$A$7,0),MATCH($B$1,RoleMatrix!$B$1:$G$1,0)),0),I41)</f>
        <v>0</v>
      </c>
      <c r="K41" s="1" t="n">
        <f aca="false">MAX(I41,J41)</f>
        <v>0</v>
      </c>
      <c r="L41" s="1" t="n">
        <f aca="false">((D41+E41)/2-$C$1)*$H$1</f>
        <v>4.5</v>
      </c>
      <c r="M41" s="1" t="n">
        <f aca="false">F41-$D$1</f>
        <v>40</v>
      </c>
      <c r="N41" s="1" t="n">
        <f aca="false">IF(M41&gt;20,M41*$I$1,0)</f>
        <v>12</v>
      </c>
      <c r="O41" s="1" t="n">
        <f aca="false">IF(G41="Mixed",5,IF(G41=$E$1,-2,3))</f>
        <v>3</v>
      </c>
      <c r="P41" s="1" t="n">
        <f aca="false">(H41-$F$1)*3</f>
        <v>15</v>
      </c>
      <c r="Q41" s="1" t="n">
        <f aca="false">K41*$G$1+L41+N41+O41+P41</f>
        <v>34.5</v>
      </c>
      <c r="R41" s="1" t="n">
        <f aca="false">IFERROR(INDEX(ManualOverrides!$C$2:$C$1000,MATCH(A41&amp;"|"&amp;$A$1,ManualOverrides!$E$2:$E$1000,0)),Q41)</f>
        <v>34.5</v>
      </c>
      <c r="S41" s="1" t="n">
        <f aca="false">IF(OR($A$1="",A41=$A$1),-1000000000000000,R41)</f>
        <v>-1000000000000000</v>
      </c>
      <c r="T41" s="1" t="n">
        <f aca="false">S41+ROW()*0.0000001</f>
        <v>-1000000000000000</v>
      </c>
      <c r="U41" s="1" t="str">
        <f aca="false">Heroes!$M41</f>
        <v>Gold Lane</v>
      </c>
      <c r="V41" s="1" t="n">
        <f aca="false">IF(OR($A$1="",A41=$A$1,U41="",U41&lt;&gt;$J$1),-1000000000000000,R41)+ROW()*0.0000001</f>
        <v>-1000000000000000</v>
      </c>
    </row>
    <row r="42" customFormat="false" ht="15" hidden="false" customHeight="true" outlineLevel="0" collapsed="false">
      <c r="A42" s="1" t="str">
        <f aca="false">Heroes!$B42</f>
        <v>Gatotkaca</v>
      </c>
      <c r="B42" s="1" t="str">
        <f aca="false">Heroes!$C42</f>
        <v>Tank</v>
      </c>
      <c r="C42" s="1" t="str">
        <f aca="false">Heroes!$D42</f>
        <v>Fighter</v>
      </c>
      <c r="D42" s="1" t="n">
        <f aca="false">Heroes!$E42</f>
        <v>30</v>
      </c>
      <c r="E42" s="1" t="n">
        <f aca="false">Heroes!$F42</f>
        <v>90</v>
      </c>
      <c r="F42" s="1" t="n">
        <f aca="false">Heroes!$H42</f>
        <v>10</v>
      </c>
      <c r="G42" s="1" t="str">
        <f aca="false">Heroes!$K42</f>
        <v>Magic</v>
      </c>
      <c r="H42" s="1" t="n">
        <f aca="false">Heroes!$Q42</f>
        <v>3</v>
      </c>
      <c r="I42" s="1" t="n">
        <f aca="false">IFERROR(INDEX(RoleMatrix!$B$2:$G$7,MATCH(B42,RoleMatrix!$A$2:$A$7,0),MATCH($B$1,RoleMatrix!$B$1:$G$1,0)),0)</f>
        <v>0</v>
      </c>
      <c r="J42" s="1" t="n">
        <f aca="false">IF(C42&lt;&gt;"",IFERROR(INDEX(RoleMatrix!$B$2:$G$7,MATCH(C42,RoleMatrix!$A$2:$A$7,0),MATCH($B$1,RoleMatrix!$B$1:$G$1,0)),0),I42)</f>
        <v>0</v>
      </c>
      <c r="K42" s="1" t="n">
        <f aca="false">MAX(I42,J42)</f>
        <v>0</v>
      </c>
      <c r="L42" s="1" t="n">
        <f aca="false">((D42+E42)/2-$C$1)*$H$1</f>
        <v>6</v>
      </c>
      <c r="M42" s="1" t="n">
        <f aca="false">F42-$D$1</f>
        <v>10</v>
      </c>
      <c r="N42" s="1" t="n">
        <f aca="false">IF(M42&gt;20,M42*$I$1,0)</f>
        <v>0</v>
      </c>
      <c r="O42" s="1" t="n">
        <f aca="false">IF(G42="Mixed",5,IF(G42=$E$1,-2,3))</f>
        <v>3</v>
      </c>
      <c r="P42" s="1" t="n">
        <f aca="false">(H42-$F$1)*3</f>
        <v>9</v>
      </c>
      <c r="Q42" s="1" t="n">
        <f aca="false">K42*$G$1+L42+N42+O42+P42</f>
        <v>18</v>
      </c>
      <c r="R42" s="1" t="n">
        <f aca="false">IFERROR(INDEX(ManualOverrides!$C$2:$C$1000,MATCH(A42&amp;"|"&amp;$A$1,ManualOverrides!$E$2:$E$1000,0)),Q42)</f>
        <v>18</v>
      </c>
      <c r="S42" s="1" t="n">
        <f aca="false">IF(OR($A$1="",A42=$A$1),-1000000000000000,R42)</f>
        <v>-1000000000000000</v>
      </c>
      <c r="T42" s="1" t="n">
        <f aca="false">S42+ROW()*0.0000001</f>
        <v>-1000000000000000</v>
      </c>
      <c r="U42" s="1" t="str">
        <f aca="false">Heroes!$M42</f>
        <v>Roaming</v>
      </c>
      <c r="V42" s="1" t="n">
        <f aca="false">IF(OR($A$1="",A42=$A$1,U42="",U42&lt;&gt;$J$1),-1000000000000000,R42)+ROW()*0.0000001</f>
        <v>-1000000000000000</v>
      </c>
    </row>
    <row r="43" customFormat="false" ht="15" hidden="false" customHeight="true" outlineLevel="0" collapsed="false">
      <c r="A43" s="1" t="str">
        <f aca="false">Heroes!$B43</f>
        <v>Harley</v>
      </c>
      <c r="B43" s="1" t="str">
        <f aca="false">Heroes!$C43</f>
        <v>Assassin</v>
      </c>
      <c r="C43" s="1" t="str">
        <f aca="false">Heroes!$D43</f>
        <v>Mage</v>
      </c>
      <c r="D43" s="1" t="n">
        <f aca="false">Heroes!$E43</f>
        <v>90</v>
      </c>
      <c r="E43" s="1" t="n">
        <f aca="false">Heroes!$F43</f>
        <v>10</v>
      </c>
      <c r="F43" s="1" t="n">
        <f aca="false">Heroes!$H43</f>
        <v>60</v>
      </c>
      <c r="G43" s="1" t="str">
        <f aca="false">Heroes!$K43</f>
        <v>Magic</v>
      </c>
      <c r="H43" s="1" t="n">
        <f aca="false">Heroes!$Q43</f>
        <v>2</v>
      </c>
      <c r="I43" s="1" t="n">
        <f aca="false">IFERROR(INDEX(RoleMatrix!$B$2:$G$7,MATCH(B43,RoleMatrix!$A$2:$A$7,0),MATCH($B$1,RoleMatrix!$B$1:$G$1,0)),0)</f>
        <v>0</v>
      </c>
      <c r="J43" s="1" t="n">
        <f aca="false">IF(C43&lt;&gt;"",IFERROR(INDEX(RoleMatrix!$B$2:$G$7,MATCH(C43,RoleMatrix!$A$2:$A$7,0),MATCH($B$1,RoleMatrix!$B$1:$G$1,0)),0),I43)</f>
        <v>0</v>
      </c>
      <c r="K43" s="1" t="n">
        <f aca="false">MAX(I43,J43)</f>
        <v>0</v>
      </c>
      <c r="L43" s="1" t="n">
        <f aca="false">((D43+E43)/2-$C$1)*$H$1</f>
        <v>5</v>
      </c>
      <c r="M43" s="1" t="n">
        <f aca="false">F43-$D$1</f>
        <v>60</v>
      </c>
      <c r="N43" s="1" t="n">
        <f aca="false">IF(M43&gt;20,M43*$I$1,0)</f>
        <v>18</v>
      </c>
      <c r="O43" s="1" t="n">
        <f aca="false">IF(G43="Mixed",5,IF(G43=$E$1,-2,3))</f>
        <v>3</v>
      </c>
      <c r="P43" s="1" t="n">
        <f aca="false">(H43-$F$1)*3</f>
        <v>6</v>
      </c>
      <c r="Q43" s="1" t="n">
        <f aca="false">K43*$G$1+L43+N43+O43+P43</f>
        <v>32</v>
      </c>
      <c r="R43" s="1" t="n">
        <f aca="false">IFERROR(INDEX(ManualOverrides!$C$2:$C$1000,MATCH(A43&amp;"|"&amp;$A$1,ManualOverrides!$E$2:$E$1000,0)),Q43)</f>
        <v>32</v>
      </c>
      <c r="S43" s="1" t="n">
        <f aca="false">IF(OR($A$1="",A43=$A$1),-1000000000000000,R43)</f>
        <v>-1000000000000000</v>
      </c>
      <c r="T43" s="1" t="n">
        <f aca="false">S43+ROW()*0.0000001</f>
        <v>-1000000000000000</v>
      </c>
      <c r="U43" s="1" t="str">
        <f aca="false">Heroes!$M43</f>
        <v>Jungle</v>
      </c>
      <c r="V43" s="1" t="n">
        <f aca="false">IF(OR($A$1="",A43=$A$1,U43="",U43&lt;&gt;$J$1),-1000000000000000,R43)+ROW()*0.0000001</f>
        <v>-1000000000000000</v>
      </c>
    </row>
    <row r="44" customFormat="false" ht="15" hidden="false" customHeight="true" outlineLevel="0" collapsed="false">
      <c r="A44" s="1" t="str">
        <f aca="false">Heroes!$B44</f>
        <v>Irithel</v>
      </c>
      <c r="B44" s="1" t="str">
        <f aca="false">Heroes!$C44</f>
        <v>Marksman</v>
      </c>
      <c r="C44" s="1" t="n">
        <f aca="false">Heroes!$D44</f>
        <v>0</v>
      </c>
      <c r="D44" s="1" t="n">
        <f aca="false">Heroes!$E44</f>
        <v>80</v>
      </c>
      <c r="E44" s="1" t="n">
        <f aca="false">Heroes!$F44</f>
        <v>10</v>
      </c>
      <c r="F44" s="1" t="n">
        <f aca="false">Heroes!$H44</f>
        <v>50</v>
      </c>
      <c r="G44" s="1" t="str">
        <f aca="false">Heroes!$K44</f>
        <v>Physical</v>
      </c>
      <c r="H44" s="1" t="n">
        <f aca="false">Heroes!$Q44</f>
        <v>5</v>
      </c>
      <c r="I44" s="1" t="n">
        <f aca="false">IFERROR(INDEX(RoleMatrix!$B$2:$G$7,MATCH(B44,RoleMatrix!$A$2:$A$7,0),MATCH($B$1,RoleMatrix!$B$1:$G$1,0)),0)</f>
        <v>0</v>
      </c>
      <c r="J44" s="1" t="n">
        <f aca="false">IF(C44&lt;&gt;"",IFERROR(INDEX(RoleMatrix!$B$2:$G$7,MATCH(C44,RoleMatrix!$A$2:$A$7,0),MATCH($B$1,RoleMatrix!$B$1:$G$1,0)),0),I44)</f>
        <v>0</v>
      </c>
      <c r="K44" s="1" t="n">
        <f aca="false">MAX(I44,J44)</f>
        <v>0</v>
      </c>
      <c r="L44" s="1" t="n">
        <f aca="false">((D44+E44)/2-$C$1)*$H$1</f>
        <v>4.5</v>
      </c>
      <c r="M44" s="1" t="n">
        <f aca="false">F44-$D$1</f>
        <v>50</v>
      </c>
      <c r="N44" s="1" t="n">
        <f aca="false">IF(M44&gt;20,M44*$I$1,0)</f>
        <v>15</v>
      </c>
      <c r="O44" s="1" t="n">
        <f aca="false">IF(G44="Mixed",5,IF(G44=$E$1,-2,3))</f>
        <v>3</v>
      </c>
      <c r="P44" s="1" t="n">
        <f aca="false">(H44-$F$1)*3</f>
        <v>15</v>
      </c>
      <c r="Q44" s="1" t="n">
        <f aca="false">K44*$G$1+L44+N44+O44+P44</f>
        <v>37.5</v>
      </c>
      <c r="R44" s="1" t="n">
        <f aca="false">IFERROR(INDEX(ManualOverrides!$C$2:$C$1000,MATCH(A44&amp;"|"&amp;$A$1,ManualOverrides!$E$2:$E$1000,0)),Q44)</f>
        <v>37.5</v>
      </c>
      <c r="S44" s="1" t="n">
        <f aca="false">IF(OR($A$1="",A44=$A$1),-1000000000000000,R44)</f>
        <v>-1000000000000000</v>
      </c>
      <c r="T44" s="1" t="n">
        <f aca="false">S44+ROW()*0.0000001</f>
        <v>-1000000000000000</v>
      </c>
      <c r="U44" s="1" t="str">
        <f aca="false">Heroes!$M44</f>
        <v>Gold Lane</v>
      </c>
      <c r="V44" s="1" t="n">
        <f aca="false">IF(OR($A$1="",A44=$A$1,U44="",U44&lt;&gt;$J$1),-1000000000000000,R44)+ROW()*0.0000001</f>
        <v>-1000000000000000</v>
      </c>
    </row>
    <row r="45" customFormat="false" ht="15" hidden="false" customHeight="true" outlineLevel="0" collapsed="false">
      <c r="A45" s="1" t="str">
        <f aca="false">Heroes!$B45</f>
        <v>Grock</v>
      </c>
      <c r="B45" s="1" t="str">
        <f aca="false">Heroes!$C45</f>
        <v>Tank</v>
      </c>
      <c r="C45" s="1" t="str">
        <f aca="false">Heroes!$D45</f>
        <v>Fighter</v>
      </c>
      <c r="D45" s="1" t="n">
        <f aca="false">Heroes!$E45</f>
        <v>40</v>
      </c>
      <c r="E45" s="1" t="n">
        <f aca="false">Heroes!$F45</f>
        <v>80</v>
      </c>
      <c r="F45" s="1" t="n">
        <f aca="false">Heroes!$H45</f>
        <v>60</v>
      </c>
      <c r="G45" s="1" t="str">
        <f aca="false">Heroes!$K45</f>
        <v>Physical</v>
      </c>
      <c r="H45" s="1" t="n">
        <f aca="false">Heroes!$Q45</f>
        <v>2</v>
      </c>
      <c r="I45" s="1" t="n">
        <f aca="false">IFERROR(INDEX(RoleMatrix!$B$2:$G$7,MATCH(B45,RoleMatrix!$A$2:$A$7,0),MATCH($B$1,RoleMatrix!$B$1:$G$1,0)),0)</f>
        <v>0</v>
      </c>
      <c r="J45" s="1" t="n">
        <f aca="false">IF(C45&lt;&gt;"",IFERROR(INDEX(RoleMatrix!$B$2:$G$7,MATCH(C45,RoleMatrix!$A$2:$A$7,0),MATCH($B$1,RoleMatrix!$B$1:$G$1,0)),0),I45)</f>
        <v>0</v>
      </c>
      <c r="K45" s="1" t="n">
        <f aca="false">MAX(I45,J45)</f>
        <v>0</v>
      </c>
      <c r="L45" s="1" t="n">
        <f aca="false">((D45+E45)/2-$C$1)*$H$1</f>
        <v>6</v>
      </c>
      <c r="M45" s="1" t="n">
        <f aca="false">F45-$D$1</f>
        <v>60</v>
      </c>
      <c r="N45" s="1" t="n">
        <f aca="false">IF(M45&gt;20,M45*$I$1,0)</f>
        <v>18</v>
      </c>
      <c r="O45" s="1" t="n">
        <f aca="false">IF(G45="Mixed",5,IF(G45=$E$1,-2,3))</f>
        <v>3</v>
      </c>
      <c r="P45" s="1" t="n">
        <f aca="false">(H45-$F$1)*3</f>
        <v>6</v>
      </c>
      <c r="Q45" s="1" t="n">
        <f aca="false">K45*$G$1+L45+N45+O45+P45</f>
        <v>33</v>
      </c>
      <c r="R45" s="1" t="n">
        <f aca="false">IFERROR(INDEX(ManualOverrides!$C$2:$C$1000,MATCH(A45&amp;"|"&amp;$A$1,ManualOverrides!$E$2:$E$1000,0)),Q45)</f>
        <v>33</v>
      </c>
      <c r="S45" s="1" t="n">
        <f aca="false">IF(OR($A$1="",A45=$A$1),-1000000000000000,R45)</f>
        <v>-1000000000000000</v>
      </c>
      <c r="T45" s="1" t="n">
        <f aca="false">S45+ROW()*0.0000001</f>
        <v>-1000000000000000</v>
      </c>
      <c r="U45" s="1" t="str">
        <f aca="false">Heroes!$M45</f>
        <v>Roaming</v>
      </c>
      <c r="V45" s="1" t="n">
        <f aca="false">IF(OR($A$1="",A45=$A$1,U45="",U45&lt;&gt;$J$1),-1000000000000000,R45)+ROW()*0.0000001</f>
        <v>-1000000000000000</v>
      </c>
    </row>
    <row r="46" customFormat="false" ht="15" hidden="false" customHeight="true" outlineLevel="0" collapsed="false">
      <c r="A46" s="1" t="str">
        <f aca="false">Heroes!$B46</f>
        <v>Argus</v>
      </c>
      <c r="B46" s="1" t="str">
        <f aca="false">Heroes!$C46</f>
        <v>Fighter</v>
      </c>
      <c r="C46" s="1" t="n">
        <f aca="false">Heroes!$D46</f>
        <v>0</v>
      </c>
      <c r="D46" s="1" t="n">
        <f aca="false">Heroes!$E46</f>
        <v>50</v>
      </c>
      <c r="E46" s="1" t="n">
        <f aca="false">Heroes!$F46</f>
        <v>50</v>
      </c>
      <c r="F46" s="1" t="n">
        <f aca="false">Heroes!$H46</f>
        <v>60</v>
      </c>
      <c r="G46" s="1" t="str">
        <f aca="false">Heroes!$K46</f>
        <v>Physical</v>
      </c>
      <c r="H46" s="1" t="n">
        <f aca="false">Heroes!$Q46</f>
        <v>5</v>
      </c>
      <c r="I46" s="1" t="n">
        <f aca="false">IFERROR(INDEX(RoleMatrix!$B$2:$G$7,MATCH(B46,RoleMatrix!$A$2:$A$7,0),MATCH($B$1,RoleMatrix!$B$1:$G$1,0)),0)</f>
        <v>0</v>
      </c>
      <c r="J46" s="1" t="n">
        <f aca="false">IF(C46&lt;&gt;"",IFERROR(INDEX(RoleMatrix!$B$2:$G$7,MATCH(C46,RoleMatrix!$A$2:$A$7,0),MATCH($B$1,RoleMatrix!$B$1:$G$1,0)),0),I46)</f>
        <v>0</v>
      </c>
      <c r="K46" s="1" t="n">
        <f aca="false">MAX(I46,J46)</f>
        <v>0</v>
      </c>
      <c r="L46" s="1" t="n">
        <f aca="false">((D46+E46)/2-$C$1)*$H$1</f>
        <v>5</v>
      </c>
      <c r="M46" s="1" t="n">
        <f aca="false">F46-$D$1</f>
        <v>60</v>
      </c>
      <c r="N46" s="1" t="n">
        <f aca="false">IF(M46&gt;20,M46*$I$1,0)</f>
        <v>18</v>
      </c>
      <c r="O46" s="1" t="n">
        <f aca="false">IF(G46="Mixed",5,IF(G46=$E$1,-2,3))</f>
        <v>3</v>
      </c>
      <c r="P46" s="1" t="n">
        <f aca="false">(H46-$F$1)*3</f>
        <v>15</v>
      </c>
      <c r="Q46" s="1" t="n">
        <f aca="false">K46*$G$1+L46+N46+O46+P46</f>
        <v>41</v>
      </c>
      <c r="R46" s="1" t="n">
        <f aca="false">IFERROR(INDEX(ManualOverrides!$C$2:$C$1000,MATCH(A46&amp;"|"&amp;$A$1,ManualOverrides!$E$2:$E$1000,0)),Q46)</f>
        <v>41</v>
      </c>
      <c r="S46" s="1" t="n">
        <f aca="false">IF(OR($A$1="",A46=$A$1),-1000000000000000,R46)</f>
        <v>-1000000000000000</v>
      </c>
      <c r="T46" s="1" t="n">
        <f aca="false">S46+ROW()*0.0000001</f>
        <v>-1000000000000000</v>
      </c>
      <c r="U46" s="1" t="str">
        <f aca="false">Heroes!$M46</f>
        <v>EXP Lane</v>
      </c>
      <c r="V46" s="1" t="n">
        <f aca="false">IF(OR($A$1="",A46=$A$1,U46="",U46&lt;&gt;$J$1),-1000000000000000,R46)+ROW()*0.0000001</f>
        <v>-1000000000000000</v>
      </c>
    </row>
    <row r="47" customFormat="false" ht="15" hidden="false" customHeight="true" outlineLevel="0" collapsed="false">
      <c r="A47" s="1" t="str">
        <f aca="false">Heroes!$B47</f>
        <v>Odette</v>
      </c>
      <c r="B47" s="1" t="str">
        <f aca="false">Heroes!$C47</f>
        <v>Mage</v>
      </c>
      <c r="C47" s="1" t="n">
        <f aca="false">Heroes!$D47</f>
        <v>0</v>
      </c>
      <c r="D47" s="1" t="n">
        <f aca="false">Heroes!$E47</f>
        <v>100</v>
      </c>
      <c r="E47" s="1" t="n">
        <f aca="false">Heroes!$F47</f>
        <v>70</v>
      </c>
      <c r="F47" s="1" t="n">
        <f aca="false">Heroes!$H47</f>
        <v>20</v>
      </c>
      <c r="G47" s="1" t="str">
        <f aca="false">Heroes!$K47</f>
        <v>Magic</v>
      </c>
      <c r="H47" s="1" t="n">
        <f aca="false">Heroes!$Q47</f>
        <v>3</v>
      </c>
      <c r="I47" s="1" t="n">
        <f aca="false">IFERROR(INDEX(RoleMatrix!$B$2:$G$7,MATCH(B47,RoleMatrix!$A$2:$A$7,0),MATCH($B$1,RoleMatrix!$B$1:$G$1,0)),0)</f>
        <v>0</v>
      </c>
      <c r="J47" s="1" t="n">
        <f aca="false">IF(C47&lt;&gt;"",IFERROR(INDEX(RoleMatrix!$B$2:$G$7,MATCH(C47,RoleMatrix!$A$2:$A$7,0),MATCH($B$1,RoleMatrix!$B$1:$G$1,0)),0),I47)</f>
        <v>0</v>
      </c>
      <c r="K47" s="1" t="n">
        <f aca="false">MAX(I47,J47)</f>
        <v>0</v>
      </c>
      <c r="L47" s="1" t="n">
        <f aca="false">((D47+E47)/2-$C$1)*$H$1</f>
        <v>8.5</v>
      </c>
      <c r="M47" s="1" t="n">
        <f aca="false">F47-$D$1</f>
        <v>20</v>
      </c>
      <c r="N47" s="1" t="n">
        <f aca="false">IF(M47&gt;20,M47*$I$1,0)</f>
        <v>0</v>
      </c>
      <c r="O47" s="1" t="n">
        <f aca="false">IF(G47="Mixed",5,IF(G47=$E$1,-2,3))</f>
        <v>3</v>
      </c>
      <c r="P47" s="1" t="n">
        <f aca="false">(H47-$F$1)*3</f>
        <v>9</v>
      </c>
      <c r="Q47" s="1" t="n">
        <f aca="false">K47*$G$1+L47+N47+O47+P47</f>
        <v>20.5</v>
      </c>
      <c r="R47" s="1" t="n">
        <f aca="false">IFERROR(INDEX(ManualOverrides!$C$2:$C$1000,MATCH(A47&amp;"|"&amp;$A$1,ManualOverrides!$E$2:$E$1000,0)),Q47)</f>
        <v>20.5</v>
      </c>
      <c r="S47" s="1" t="n">
        <f aca="false">IF(OR($A$1="",A47=$A$1),-1000000000000000,R47)</f>
        <v>-1000000000000000</v>
      </c>
      <c r="T47" s="1" t="n">
        <f aca="false">S47+ROW()*0.0000001</f>
        <v>-1000000000000000</v>
      </c>
      <c r="U47" s="1" t="str">
        <f aca="false">Heroes!$M47</f>
        <v>Mid Lane</v>
      </c>
      <c r="V47" s="1" t="n">
        <f aca="false">IF(OR($A$1="",A47=$A$1,U47="",U47&lt;&gt;$J$1),-1000000000000000,R47)+ROW()*0.0000001</f>
        <v>-1000000000000000</v>
      </c>
    </row>
    <row r="48" customFormat="false" ht="15" hidden="false" customHeight="true" outlineLevel="0" collapsed="false">
      <c r="A48" s="1" t="str">
        <f aca="false">Heroes!$B48</f>
        <v>Lancelot</v>
      </c>
      <c r="B48" s="1" t="str">
        <f aca="false">Heroes!$C48</f>
        <v>Assassin</v>
      </c>
      <c r="C48" s="1" t="n">
        <f aca="false">Heroes!$D48</f>
        <v>0</v>
      </c>
      <c r="D48" s="1" t="n">
        <f aca="false">Heroes!$E48</f>
        <v>50</v>
      </c>
      <c r="E48" s="1" t="n">
        <f aca="false">Heroes!$F48</f>
        <v>10</v>
      </c>
      <c r="F48" s="1" t="n">
        <f aca="false">Heroes!$H48</f>
        <v>50</v>
      </c>
      <c r="G48" s="1" t="str">
        <f aca="false">Heroes!$K48</f>
        <v>Physical</v>
      </c>
      <c r="H48" s="1" t="n">
        <f aca="false">Heroes!$Q48</f>
        <v>2</v>
      </c>
      <c r="I48" s="1" t="n">
        <f aca="false">IFERROR(INDEX(RoleMatrix!$B$2:$G$7,MATCH(B48,RoleMatrix!$A$2:$A$7,0),MATCH($B$1,RoleMatrix!$B$1:$G$1,0)),0)</f>
        <v>0</v>
      </c>
      <c r="J48" s="1" t="n">
        <f aca="false">IF(C48&lt;&gt;"",IFERROR(INDEX(RoleMatrix!$B$2:$G$7,MATCH(C48,RoleMatrix!$A$2:$A$7,0),MATCH($B$1,RoleMatrix!$B$1:$G$1,0)),0),I48)</f>
        <v>0</v>
      </c>
      <c r="K48" s="1" t="n">
        <f aca="false">MAX(I48,J48)</f>
        <v>0</v>
      </c>
      <c r="L48" s="1" t="n">
        <f aca="false">((D48+E48)/2-$C$1)*$H$1</f>
        <v>3</v>
      </c>
      <c r="M48" s="1" t="n">
        <f aca="false">F48-$D$1</f>
        <v>50</v>
      </c>
      <c r="N48" s="1" t="n">
        <f aca="false">IF(M48&gt;20,M48*$I$1,0)</f>
        <v>15</v>
      </c>
      <c r="O48" s="1" t="n">
        <f aca="false">IF(G48="Mixed",5,IF(G48=$E$1,-2,3))</f>
        <v>3</v>
      </c>
      <c r="P48" s="1" t="n">
        <f aca="false">(H48-$F$1)*3</f>
        <v>6</v>
      </c>
      <c r="Q48" s="1" t="n">
        <f aca="false">K48*$G$1+L48+N48+O48+P48</f>
        <v>27</v>
      </c>
      <c r="R48" s="1" t="n">
        <f aca="false">IFERROR(INDEX(ManualOverrides!$C$2:$C$1000,MATCH(A48&amp;"|"&amp;$A$1,ManualOverrides!$E$2:$E$1000,0)),Q48)</f>
        <v>27</v>
      </c>
      <c r="S48" s="1" t="n">
        <f aca="false">IF(OR($A$1="",A48=$A$1),-1000000000000000,R48)</f>
        <v>-1000000000000000</v>
      </c>
      <c r="T48" s="1" t="n">
        <f aca="false">S48+ROW()*0.0000001</f>
        <v>-1000000000000000</v>
      </c>
      <c r="U48" s="1" t="str">
        <f aca="false">Heroes!$M48</f>
        <v>Jungle</v>
      </c>
      <c r="V48" s="1" t="n">
        <f aca="false">IF(OR($A$1="",A48=$A$1,U48="",U48&lt;&gt;$J$1),-1000000000000000,R48)+ROW()*0.0000001</f>
        <v>-1000000000000000</v>
      </c>
    </row>
    <row r="49" customFormat="false" ht="15" hidden="false" customHeight="true" outlineLevel="0" collapsed="false">
      <c r="A49" s="1" t="str">
        <f aca="false">Heroes!$B49</f>
        <v>Diggie</v>
      </c>
      <c r="B49" s="1" t="str">
        <f aca="false">Heroes!$C49</f>
        <v>Support</v>
      </c>
      <c r="C49" s="1" t="n">
        <f aca="false">Heroes!$D49</f>
        <v>0</v>
      </c>
      <c r="D49" s="1" t="n">
        <f aca="false">Heroes!$E49</f>
        <v>40</v>
      </c>
      <c r="E49" s="1" t="n">
        <f aca="false">Heroes!$F49</f>
        <v>20</v>
      </c>
      <c r="F49" s="1" t="n">
        <f aca="false">Heroes!$H49</f>
        <v>50</v>
      </c>
      <c r="G49" s="1" t="str">
        <f aca="false">Heroes!$K49</f>
        <v>Magic</v>
      </c>
      <c r="H49" s="1" t="n">
        <f aca="false">Heroes!$Q49</f>
        <v>2</v>
      </c>
      <c r="I49" s="1" t="n">
        <f aca="false">IFERROR(INDEX(RoleMatrix!$B$2:$G$7,MATCH(B49,RoleMatrix!$A$2:$A$7,0),MATCH($B$1,RoleMatrix!$B$1:$G$1,0)),0)</f>
        <v>0</v>
      </c>
      <c r="J49" s="1" t="n">
        <f aca="false">IF(C49&lt;&gt;"",IFERROR(INDEX(RoleMatrix!$B$2:$G$7,MATCH(C49,RoleMatrix!$A$2:$A$7,0),MATCH($B$1,RoleMatrix!$B$1:$G$1,0)),0),I49)</f>
        <v>0</v>
      </c>
      <c r="K49" s="1" t="n">
        <f aca="false">MAX(I49,J49)</f>
        <v>0</v>
      </c>
      <c r="L49" s="1" t="n">
        <f aca="false">((D49+E49)/2-$C$1)*$H$1</f>
        <v>3</v>
      </c>
      <c r="M49" s="1" t="n">
        <f aca="false">F49-$D$1</f>
        <v>50</v>
      </c>
      <c r="N49" s="1" t="n">
        <f aca="false">IF(M49&gt;20,M49*$I$1,0)</f>
        <v>15</v>
      </c>
      <c r="O49" s="1" t="n">
        <f aca="false">IF(G49="Mixed",5,IF(G49=$E$1,-2,3))</f>
        <v>3</v>
      </c>
      <c r="P49" s="1" t="n">
        <f aca="false">(H49-$F$1)*3</f>
        <v>6</v>
      </c>
      <c r="Q49" s="1" t="n">
        <f aca="false">K49*$G$1+L49+N49+O49+P49</f>
        <v>27</v>
      </c>
      <c r="R49" s="1" t="n">
        <f aca="false">IFERROR(INDEX(ManualOverrides!$C$2:$C$1000,MATCH(A49&amp;"|"&amp;$A$1,ManualOverrides!$E$2:$E$1000,0)),Q49)</f>
        <v>27</v>
      </c>
      <c r="S49" s="1" t="n">
        <f aca="false">IF(OR($A$1="",A49=$A$1),-1000000000000000,R49)</f>
        <v>-1000000000000000</v>
      </c>
      <c r="T49" s="1" t="n">
        <f aca="false">S49+ROW()*0.0000001</f>
        <v>-1000000000000000</v>
      </c>
      <c r="U49" s="1" t="str">
        <f aca="false">Heroes!$M49</f>
        <v>Roaming</v>
      </c>
      <c r="V49" s="1" t="n">
        <f aca="false">IF(OR($A$1="",A49=$A$1,U49="",U49&lt;&gt;$J$1),-1000000000000000,R49)+ROW()*0.0000001</f>
        <v>-1000000000000000</v>
      </c>
    </row>
    <row r="50" customFormat="false" ht="15" hidden="false" customHeight="true" outlineLevel="0" collapsed="false">
      <c r="A50" s="1" t="str">
        <f aca="false">Heroes!$B50</f>
        <v>Hylos</v>
      </c>
      <c r="B50" s="1" t="str">
        <f aca="false">Heroes!$C50</f>
        <v>Tank</v>
      </c>
      <c r="C50" s="1" t="n">
        <f aca="false">Heroes!$D50</f>
        <v>0</v>
      </c>
      <c r="D50" s="1" t="n">
        <f aca="false">Heroes!$E50</f>
        <v>20</v>
      </c>
      <c r="E50" s="1" t="n">
        <f aca="false">Heroes!$F50</f>
        <v>80</v>
      </c>
      <c r="F50" s="1" t="n">
        <f aca="false">Heroes!$H50</f>
        <v>30</v>
      </c>
      <c r="G50" s="1" t="str">
        <f aca="false">Heroes!$K50</f>
        <v>Magic</v>
      </c>
      <c r="H50" s="1" t="n">
        <f aca="false">Heroes!$Q50</f>
        <v>2</v>
      </c>
      <c r="I50" s="1" t="n">
        <f aca="false">IFERROR(INDEX(RoleMatrix!$B$2:$G$7,MATCH(B50,RoleMatrix!$A$2:$A$7,0),MATCH($B$1,RoleMatrix!$B$1:$G$1,0)),0)</f>
        <v>0</v>
      </c>
      <c r="J50" s="1" t="n">
        <f aca="false">IF(C50&lt;&gt;"",IFERROR(INDEX(RoleMatrix!$B$2:$G$7,MATCH(C50,RoleMatrix!$A$2:$A$7,0),MATCH($B$1,RoleMatrix!$B$1:$G$1,0)),0),I50)</f>
        <v>0</v>
      </c>
      <c r="K50" s="1" t="n">
        <f aca="false">MAX(I50,J50)</f>
        <v>0</v>
      </c>
      <c r="L50" s="1" t="n">
        <f aca="false">((D50+E50)/2-$C$1)*$H$1</f>
        <v>5</v>
      </c>
      <c r="M50" s="1" t="n">
        <f aca="false">F50-$D$1</f>
        <v>30</v>
      </c>
      <c r="N50" s="1" t="n">
        <f aca="false">IF(M50&gt;20,M50*$I$1,0)</f>
        <v>9</v>
      </c>
      <c r="O50" s="1" t="n">
        <f aca="false">IF(G50="Mixed",5,IF(G50=$E$1,-2,3))</f>
        <v>3</v>
      </c>
      <c r="P50" s="1" t="n">
        <f aca="false">(H50-$F$1)*3</f>
        <v>6</v>
      </c>
      <c r="Q50" s="1" t="n">
        <f aca="false">K50*$G$1+L50+N50+O50+P50</f>
        <v>23</v>
      </c>
      <c r="R50" s="1" t="n">
        <f aca="false">IFERROR(INDEX(ManualOverrides!$C$2:$C$1000,MATCH(A50&amp;"|"&amp;$A$1,ManualOverrides!$E$2:$E$1000,0)),Q50)</f>
        <v>23</v>
      </c>
      <c r="S50" s="1" t="n">
        <f aca="false">IF(OR($A$1="",A50=$A$1),-1000000000000000,R50)</f>
        <v>-1000000000000000</v>
      </c>
      <c r="T50" s="1" t="n">
        <f aca="false">S50+ROW()*0.0000001</f>
        <v>-1000000000000000</v>
      </c>
      <c r="U50" s="1" t="str">
        <f aca="false">Heroes!$M50</f>
        <v>Roaming</v>
      </c>
      <c r="V50" s="1" t="n">
        <f aca="false">IF(OR($A$1="",A50=$A$1,U50="",U50&lt;&gt;$J$1),-1000000000000000,R50)+ROW()*0.0000001</f>
        <v>-1000000000000000</v>
      </c>
    </row>
    <row r="51" customFormat="false" ht="15" hidden="false" customHeight="true" outlineLevel="0" collapsed="false">
      <c r="A51" s="1" t="str">
        <f aca="false">Heroes!$B51</f>
        <v>Zhask</v>
      </c>
      <c r="B51" s="1" t="str">
        <f aca="false">Heroes!$C51</f>
        <v>Mage</v>
      </c>
      <c r="C51" s="1" t="n">
        <f aca="false">Heroes!$D51</f>
        <v>0</v>
      </c>
      <c r="D51" s="1" t="n">
        <f aca="false">Heroes!$E51</f>
        <v>100</v>
      </c>
      <c r="E51" s="1" t="n">
        <f aca="false">Heroes!$F51</f>
        <v>40</v>
      </c>
      <c r="F51" s="1" t="n">
        <f aca="false">Heroes!$H51</f>
        <v>40</v>
      </c>
      <c r="G51" s="1" t="str">
        <f aca="false">Heroes!$K51</f>
        <v>Magic</v>
      </c>
      <c r="H51" s="1" t="n">
        <f aca="false">Heroes!$Q51</f>
        <v>3</v>
      </c>
      <c r="I51" s="1" t="n">
        <f aca="false">IFERROR(INDEX(RoleMatrix!$B$2:$G$7,MATCH(B51,RoleMatrix!$A$2:$A$7,0),MATCH($B$1,RoleMatrix!$B$1:$G$1,0)),0)</f>
        <v>0</v>
      </c>
      <c r="J51" s="1" t="n">
        <f aca="false">IF(C51&lt;&gt;"",IFERROR(INDEX(RoleMatrix!$B$2:$G$7,MATCH(C51,RoleMatrix!$A$2:$A$7,0),MATCH($B$1,RoleMatrix!$B$1:$G$1,0)),0),I51)</f>
        <v>0</v>
      </c>
      <c r="K51" s="1" t="n">
        <f aca="false">MAX(I51,J51)</f>
        <v>0</v>
      </c>
      <c r="L51" s="1" t="n">
        <f aca="false">((D51+E51)/2-$C$1)*$H$1</f>
        <v>7</v>
      </c>
      <c r="M51" s="1" t="n">
        <f aca="false">F51-$D$1</f>
        <v>40</v>
      </c>
      <c r="N51" s="1" t="n">
        <f aca="false">IF(M51&gt;20,M51*$I$1,0)</f>
        <v>12</v>
      </c>
      <c r="O51" s="1" t="n">
        <f aca="false">IF(G51="Mixed",5,IF(G51=$E$1,-2,3))</f>
        <v>3</v>
      </c>
      <c r="P51" s="1" t="n">
        <f aca="false">(H51-$F$1)*3</f>
        <v>9</v>
      </c>
      <c r="Q51" s="1" t="n">
        <f aca="false">K51*$G$1+L51+N51+O51+P51</f>
        <v>31</v>
      </c>
      <c r="R51" s="1" t="n">
        <f aca="false">IFERROR(INDEX(ManualOverrides!$C$2:$C$1000,MATCH(A51&amp;"|"&amp;$A$1,ManualOverrides!$E$2:$E$1000,0)),Q51)</f>
        <v>31</v>
      </c>
      <c r="S51" s="1" t="n">
        <f aca="false">IF(OR($A$1="",A51=$A$1),-1000000000000000,R51)</f>
        <v>-1000000000000000</v>
      </c>
      <c r="T51" s="1" t="n">
        <f aca="false">S51+ROW()*0.0000001</f>
        <v>-1000000000000000</v>
      </c>
      <c r="U51" s="1" t="str">
        <f aca="false">Heroes!$M51</f>
        <v>Mid Lane</v>
      </c>
      <c r="V51" s="1" t="n">
        <f aca="false">IF(OR($A$1="",A51=$A$1,U51="",U51&lt;&gt;$J$1),-1000000000000000,R51)+ROW()*0.0000001</f>
        <v>-1000000000000000</v>
      </c>
    </row>
    <row r="52" customFormat="false" ht="15" hidden="false" customHeight="true" outlineLevel="0" collapsed="false">
      <c r="A52" s="1" t="str">
        <f aca="false">Heroes!$B52</f>
        <v>Helcurt</v>
      </c>
      <c r="B52" s="1" t="str">
        <f aca="false">Heroes!$C52</f>
        <v>Assassin</v>
      </c>
      <c r="C52" s="1" t="n">
        <f aca="false">Heroes!$D52</f>
        <v>0</v>
      </c>
      <c r="D52" s="1" t="n">
        <f aca="false">Heroes!$E52</f>
        <v>50</v>
      </c>
      <c r="E52" s="1" t="n">
        <f aca="false">Heroes!$F52</f>
        <v>50</v>
      </c>
      <c r="F52" s="1" t="n">
        <f aca="false">Heroes!$H52</f>
        <v>50</v>
      </c>
      <c r="G52" s="1" t="str">
        <f aca="false">Heroes!$K52</f>
        <v>Physical</v>
      </c>
      <c r="H52" s="1" t="n">
        <f aca="false">Heroes!$Q52</f>
        <v>2</v>
      </c>
      <c r="I52" s="1" t="n">
        <f aca="false">IFERROR(INDEX(RoleMatrix!$B$2:$G$7,MATCH(B52,RoleMatrix!$A$2:$A$7,0),MATCH($B$1,RoleMatrix!$B$1:$G$1,0)),0)</f>
        <v>0</v>
      </c>
      <c r="J52" s="1" t="n">
        <f aca="false">IF(C52&lt;&gt;"",IFERROR(INDEX(RoleMatrix!$B$2:$G$7,MATCH(C52,RoleMatrix!$A$2:$A$7,0),MATCH($B$1,RoleMatrix!$B$1:$G$1,0)),0),I52)</f>
        <v>0</v>
      </c>
      <c r="K52" s="1" t="n">
        <f aca="false">MAX(I52,J52)</f>
        <v>0</v>
      </c>
      <c r="L52" s="1" t="n">
        <f aca="false">((D52+E52)/2-$C$1)*$H$1</f>
        <v>5</v>
      </c>
      <c r="M52" s="1" t="n">
        <f aca="false">F52-$D$1</f>
        <v>50</v>
      </c>
      <c r="N52" s="1" t="n">
        <f aca="false">IF(M52&gt;20,M52*$I$1,0)</f>
        <v>15</v>
      </c>
      <c r="O52" s="1" t="n">
        <f aca="false">IF(G52="Mixed",5,IF(G52=$E$1,-2,3))</f>
        <v>3</v>
      </c>
      <c r="P52" s="1" t="n">
        <f aca="false">(H52-$F$1)*3</f>
        <v>6</v>
      </c>
      <c r="Q52" s="1" t="n">
        <f aca="false">K52*$G$1+L52+N52+O52+P52</f>
        <v>29</v>
      </c>
      <c r="R52" s="1" t="n">
        <f aca="false">IFERROR(INDEX(ManualOverrides!$C$2:$C$1000,MATCH(A52&amp;"|"&amp;$A$1,ManualOverrides!$E$2:$E$1000,0)),Q52)</f>
        <v>29</v>
      </c>
      <c r="S52" s="1" t="n">
        <f aca="false">IF(OR($A$1="",A52=$A$1),-1000000000000000,R52)</f>
        <v>-1000000000000000</v>
      </c>
      <c r="T52" s="1" t="n">
        <f aca="false">S52+ROW()*0.0000001</f>
        <v>-1000000000000000</v>
      </c>
      <c r="U52" s="1" t="str">
        <f aca="false">Heroes!$M52</f>
        <v>Jungle</v>
      </c>
      <c r="V52" s="1" t="n">
        <f aca="false">IF(OR($A$1="",A52=$A$1,U52="",U52&lt;&gt;$J$1),-1000000000000000,R52)+ROW()*0.0000001</f>
        <v>-1000000000000000</v>
      </c>
    </row>
    <row r="53" customFormat="false" ht="15" hidden="false" customHeight="true" outlineLevel="0" collapsed="false">
      <c r="A53" s="1" t="str">
        <f aca="false">Heroes!$B53</f>
        <v>Pharsa</v>
      </c>
      <c r="B53" s="1" t="str">
        <f aca="false">Heroes!$C53</f>
        <v>Mage</v>
      </c>
      <c r="C53" s="1" t="n">
        <f aca="false">Heroes!$D53</f>
        <v>0</v>
      </c>
      <c r="D53" s="1" t="n">
        <f aca="false">Heroes!$E53</f>
        <v>90</v>
      </c>
      <c r="E53" s="1" t="n">
        <f aca="false">Heroes!$F53</f>
        <v>50</v>
      </c>
      <c r="F53" s="1" t="n">
        <f aca="false">Heroes!$H53</f>
        <v>30</v>
      </c>
      <c r="G53" s="1" t="str">
        <f aca="false">Heroes!$K53</f>
        <v>Magic</v>
      </c>
      <c r="H53" s="1" t="n">
        <f aca="false">Heroes!$Q53</f>
        <v>3</v>
      </c>
      <c r="I53" s="1" t="n">
        <f aca="false">IFERROR(INDEX(RoleMatrix!$B$2:$G$7,MATCH(B53,RoleMatrix!$A$2:$A$7,0),MATCH($B$1,RoleMatrix!$B$1:$G$1,0)),0)</f>
        <v>0</v>
      </c>
      <c r="J53" s="1" t="n">
        <f aca="false">IF(C53&lt;&gt;"",IFERROR(INDEX(RoleMatrix!$B$2:$G$7,MATCH(C53,RoleMatrix!$A$2:$A$7,0),MATCH($B$1,RoleMatrix!$B$1:$G$1,0)),0),I53)</f>
        <v>0</v>
      </c>
      <c r="K53" s="1" t="n">
        <f aca="false">MAX(I53,J53)</f>
        <v>0</v>
      </c>
      <c r="L53" s="1" t="n">
        <f aca="false">((D53+E53)/2-$C$1)*$H$1</f>
        <v>7</v>
      </c>
      <c r="M53" s="1" t="n">
        <f aca="false">F53-$D$1</f>
        <v>30</v>
      </c>
      <c r="N53" s="1" t="n">
        <f aca="false">IF(M53&gt;20,M53*$I$1,0)</f>
        <v>9</v>
      </c>
      <c r="O53" s="1" t="n">
        <f aca="false">IF(G53="Mixed",5,IF(G53=$E$1,-2,3))</f>
        <v>3</v>
      </c>
      <c r="P53" s="1" t="n">
        <f aca="false">(H53-$F$1)*3</f>
        <v>9</v>
      </c>
      <c r="Q53" s="1" t="n">
        <f aca="false">K53*$G$1+L53+N53+O53+P53</f>
        <v>28</v>
      </c>
      <c r="R53" s="1" t="n">
        <f aca="false">IFERROR(INDEX(ManualOverrides!$C$2:$C$1000,MATCH(A53&amp;"|"&amp;$A$1,ManualOverrides!$E$2:$E$1000,0)),Q53)</f>
        <v>28</v>
      </c>
      <c r="S53" s="1" t="n">
        <f aca="false">IF(OR($A$1="",A53=$A$1),-1000000000000000,R53)</f>
        <v>-1000000000000000</v>
      </c>
      <c r="T53" s="1" t="n">
        <f aca="false">S53+ROW()*0.0000001</f>
        <v>-1000000000000000</v>
      </c>
      <c r="U53" s="1" t="str">
        <f aca="false">Heroes!$M53</f>
        <v>Mid Lane</v>
      </c>
      <c r="V53" s="1" t="n">
        <f aca="false">IF(OR($A$1="",A53=$A$1,U53="",U53&lt;&gt;$J$1),-1000000000000000,R53)+ROW()*0.0000001</f>
        <v>-1000000000000000</v>
      </c>
    </row>
    <row r="54" customFormat="false" ht="15" hidden="false" customHeight="true" outlineLevel="0" collapsed="false">
      <c r="A54" s="1" t="str">
        <f aca="false">Heroes!$B54</f>
        <v>Lesley</v>
      </c>
      <c r="B54" s="1" t="str">
        <f aca="false">Heroes!$C54</f>
        <v>Marksman</v>
      </c>
      <c r="C54" s="1" t="str">
        <f aca="false">Heroes!$D54</f>
        <v>Assassin</v>
      </c>
      <c r="D54" s="1" t="n">
        <f aca="false">Heroes!$E54</f>
        <v>70</v>
      </c>
      <c r="E54" s="1" t="n">
        <f aca="false">Heroes!$F54</f>
        <v>20</v>
      </c>
      <c r="F54" s="1" t="n">
        <f aca="false">Heroes!$H54</f>
        <v>40</v>
      </c>
      <c r="G54" s="1" t="str">
        <f aca="false">Heroes!$K54</f>
        <v>Physical</v>
      </c>
      <c r="H54" s="1" t="n">
        <f aca="false">Heroes!$Q54</f>
        <v>4</v>
      </c>
      <c r="I54" s="1" t="n">
        <f aca="false">IFERROR(INDEX(RoleMatrix!$B$2:$G$7,MATCH(B54,RoleMatrix!$A$2:$A$7,0),MATCH($B$1,RoleMatrix!$B$1:$G$1,0)),0)</f>
        <v>0</v>
      </c>
      <c r="J54" s="1" t="n">
        <f aca="false">IF(C54&lt;&gt;"",IFERROR(INDEX(RoleMatrix!$B$2:$G$7,MATCH(C54,RoleMatrix!$A$2:$A$7,0),MATCH($B$1,RoleMatrix!$B$1:$G$1,0)),0),I54)</f>
        <v>0</v>
      </c>
      <c r="K54" s="1" t="n">
        <f aca="false">MAX(I54,J54)</f>
        <v>0</v>
      </c>
      <c r="L54" s="1" t="n">
        <f aca="false">((D54+E54)/2-$C$1)*$H$1</f>
        <v>4.5</v>
      </c>
      <c r="M54" s="1" t="n">
        <f aca="false">F54-$D$1</f>
        <v>40</v>
      </c>
      <c r="N54" s="1" t="n">
        <f aca="false">IF(M54&gt;20,M54*$I$1,0)</f>
        <v>12</v>
      </c>
      <c r="O54" s="1" t="n">
        <f aca="false">IF(G54="Mixed",5,IF(G54=$E$1,-2,3))</f>
        <v>3</v>
      </c>
      <c r="P54" s="1" t="n">
        <f aca="false">(H54-$F$1)*3</f>
        <v>12</v>
      </c>
      <c r="Q54" s="1" t="n">
        <f aca="false">K54*$G$1+L54+N54+O54+P54</f>
        <v>31.5</v>
      </c>
      <c r="R54" s="1" t="n">
        <f aca="false">IFERROR(INDEX(ManualOverrides!$C$2:$C$1000,MATCH(A54&amp;"|"&amp;$A$1,ManualOverrides!$E$2:$E$1000,0)),Q54)</f>
        <v>31.5</v>
      </c>
      <c r="S54" s="1" t="n">
        <f aca="false">IF(OR($A$1="",A54=$A$1),-1000000000000000,R54)</f>
        <v>-1000000000000000</v>
      </c>
      <c r="T54" s="1" t="n">
        <f aca="false">S54+ROW()*0.0000001</f>
        <v>-1000000000000000</v>
      </c>
      <c r="U54" s="1" t="str">
        <f aca="false">Heroes!$M54</f>
        <v>Gold Lane</v>
      </c>
      <c r="V54" s="1" t="n">
        <f aca="false">IF(OR($A$1="",A54=$A$1,U54="",U54&lt;&gt;$J$1),-1000000000000000,R54)+ROW()*0.0000001</f>
        <v>-1000000000000000</v>
      </c>
    </row>
    <row r="55" customFormat="false" ht="15" hidden="false" customHeight="true" outlineLevel="0" collapsed="false">
      <c r="A55" s="1" t="str">
        <f aca="false">Heroes!$B55</f>
        <v>Jawhead</v>
      </c>
      <c r="B55" s="1" t="str">
        <f aca="false">Heroes!$C55</f>
        <v>Fighter</v>
      </c>
      <c r="C55" s="1" t="n">
        <f aca="false">Heroes!$D55</f>
        <v>0</v>
      </c>
      <c r="D55" s="1" t="n">
        <f aca="false">Heroes!$E55</f>
        <v>30</v>
      </c>
      <c r="E55" s="1" t="n">
        <f aca="false">Heroes!$F55</f>
        <v>60</v>
      </c>
      <c r="F55" s="1" t="n">
        <f aca="false">Heroes!$H55</f>
        <v>50</v>
      </c>
      <c r="G55" s="1" t="str">
        <f aca="false">Heroes!$K55</f>
        <v>Physical</v>
      </c>
      <c r="H55" s="1" t="n">
        <f aca="false">Heroes!$Q55</f>
        <v>2</v>
      </c>
      <c r="I55" s="1" t="n">
        <f aca="false">IFERROR(INDEX(RoleMatrix!$B$2:$G$7,MATCH(B55,RoleMatrix!$A$2:$A$7,0),MATCH($B$1,RoleMatrix!$B$1:$G$1,0)),0)</f>
        <v>0</v>
      </c>
      <c r="J55" s="1" t="n">
        <f aca="false">IF(C55&lt;&gt;"",IFERROR(INDEX(RoleMatrix!$B$2:$G$7,MATCH(C55,RoleMatrix!$A$2:$A$7,0),MATCH($B$1,RoleMatrix!$B$1:$G$1,0)),0),I55)</f>
        <v>0</v>
      </c>
      <c r="K55" s="1" t="n">
        <f aca="false">MAX(I55,J55)</f>
        <v>0</v>
      </c>
      <c r="L55" s="1" t="n">
        <f aca="false">((D55+E55)/2-$C$1)*$H$1</f>
        <v>4.5</v>
      </c>
      <c r="M55" s="1" t="n">
        <f aca="false">F55-$D$1</f>
        <v>50</v>
      </c>
      <c r="N55" s="1" t="n">
        <f aca="false">IF(M55&gt;20,M55*$I$1,0)</f>
        <v>15</v>
      </c>
      <c r="O55" s="1" t="n">
        <f aca="false">IF(G55="Mixed",5,IF(G55=$E$1,-2,3))</f>
        <v>3</v>
      </c>
      <c r="P55" s="1" t="n">
        <f aca="false">(H55-$F$1)*3</f>
        <v>6</v>
      </c>
      <c r="Q55" s="1" t="n">
        <f aca="false">K55*$G$1+L55+N55+O55+P55</f>
        <v>28.5</v>
      </c>
      <c r="R55" s="1" t="n">
        <f aca="false">IFERROR(INDEX(ManualOverrides!$C$2:$C$1000,MATCH(A55&amp;"|"&amp;$A$1,ManualOverrides!$E$2:$E$1000,0)),Q55)</f>
        <v>28.5</v>
      </c>
      <c r="S55" s="1" t="n">
        <f aca="false">IF(OR($A$1="",A55=$A$1),-1000000000000000,R55)</f>
        <v>-1000000000000000</v>
      </c>
      <c r="T55" s="1" t="n">
        <f aca="false">S55+ROW()*0.0000001</f>
        <v>-1000000000000000</v>
      </c>
      <c r="U55" s="1" t="str">
        <f aca="false">Heroes!$M55</f>
        <v>Roaming</v>
      </c>
      <c r="V55" s="1" t="n">
        <f aca="false">IF(OR($A$1="",A55=$A$1,U55="",U55&lt;&gt;$J$1),-1000000000000000,R55)+ROW()*0.0000001</f>
        <v>-1000000000000000</v>
      </c>
    </row>
    <row r="56" customFormat="false" ht="15" hidden="false" customHeight="true" outlineLevel="0" collapsed="false">
      <c r="A56" s="1" t="str">
        <f aca="false">Heroes!$B56</f>
        <v>Angela</v>
      </c>
      <c r="B56" s="1" t="str">
        <f aca="false">Heroes!$C56</f>
        <v>Support</v>
      </c>
      <c r="C56" s="1" t="n">
        <f aca="false">Heroes!$D56</f>
        <v>0</v>
      </c>
      <c r="D56" s="1" t="n">
        <f aca="false">Heroes!$E56</f>
        <v>20</v>
      </c>
      <c r="E56" s="1" t="n">
        <f aca="false">Heroes!$F56</f>
        <v>50</v>
      </c>
      <c r="F56" s="1" t="n">
        <f aca="false">Heroes!$H56</f>
        <v>50</v>
      </c>
      <c r="G56" s="1" t="str">
        <f aca="false">Heroes!$K56</f>
        <v>Magic</v>
      </c>
      <c r="H56" s="1" t="n">
        <f aca="false">Heroes!$Q56</f>
        <v>3</v>
      </c>
      <c r="I56" s="1" t="n">
        <f aca="false">IFERROR(INDEX(RoleMatrix!$B$2:$G$7,MATCH(B56,RoleMatrix!$A$2:$A$7,0),MATCH($B$1,RoleMatrix!$B$1:$G$1,0)),0)</f>
        <v>0</v>
      </c>
      <c r="J56" s="1" t="n">
        <f aca="false">IF(C56&lt;&gt;"",IFERROR(INDEX(RoleMatrix!$B$2:$G$7,MATCH(C56,RoleMatrix!$A$2:$A$7,0),MATCH($B$1,RoleMatrix!$B$1:$G$1,0)),0),I56)</f>
        <v>0</v>
      </c>
      <c r="K56" s="1" t="n">
        <f aca="false">MAX(I56,J56)</f>
        <v>0</v>
      </c>
      <c r="L56" s="1" t="n">
        <f aca="false">((D56+E56)/2-$C$1)*$H$1</f>
        <v>3.5</v>
      </c>
      <c r="M56" s="1" t="n">
        <f aca="false">F56-$D$1</f>
        <v>50</v>
      </c>
      <c r="N56" s="1" t="n">
        <f aca="false">IF(M56&gt;20,M56*$I$1,0)</f>
        <v>15</v>
      </c>
      <c r="O56" s="1" t="n">
        <f aca="false">IF(G56="Mixed",5,IF(G56=$E$1,-2,3))</f>
        <v>3</v>
      </c>
      <c r="P56" s="1" t="n">
        <f aca="false">(H56-$F$1)*3</f>
        <v>9</v>
      </c>
      <c r="Q56" s="1" t="n">
        <f aca="false">K56*$G$1+L56+N56+O56+P56</f>
        <v>30.5</v>
      </c>
      <c r="R56" s="1" t="n">
        <f aca="false">IFERROR(INDEX(ManualOverrides!$C$2:$C$1000,MATCH(A56&amp;"|"&amp;$A$1,ManualOverrides!$E$2:$E$1000,0)),Q56)</f>
        <v>30.5</v>
      </c>
      <c r="S56" s="1" t="n">
        <f aca="false">IF(OR($A$1="",A56=$A$1),-1000000000000000,R56)</f>
        <v>-1000000000000000</v>
      </c>
      <c r="T56" s="1" t="n">
        <f aca="false">S56+ROW()*0.0000001</f>
        <v>-1000000000000000</v>
      </c>
      <c r="U56" s="1" t="str">
        <f aca="false">Heroes!$M56</f>
        <v>Roaming</v>
      </c>
      <c r="V56" s="1" t="n">
        <f aca="false">IF(OR($A$1="",A56=$A$1,U56="",U56&lt;&gt;$J$1),-1000000000000000,R56)+ROW()*0.0000001</f>
        <v>-1000000000000000</v>
      </c>
    </row>
    <row r="57" customFormat="false" ht="15" hidden="false" customHeight="true" outlineLevel="0" collapsed="false">
      <c r="A57" s="1" t="str">
        <f aca="false">Heroes!$B57</f>
        <v>Gusion</v>
      </c>
      <c r="B57" s="1" t="str">
        <f aca="false">Heroes!$C57</f>
        <v>Assassin</v>
      </c>
      <c r="C57" s="1" t="n">
        <f aca="false">Heroes!$D57</f>
        <v>0</v>
      </c>
      <c r="D57" s="1" t="n">
        <f aca="false">Heroes!$E57</f>
        <v>90</v>
      </c>
      <c r="E57" s="1" t="n">
        <f aca="false">Heroes!$F57</f>
        <v>10</v>
      </c>
      <c r="F57" s="1" t="n">
        <f aca="false">Heroes!$H57</f>
        <v>80</v>
      </c>
      <c r="G57" s="1" t="str">
        <f aca="false">Heroes!$K57</f>
        <v>Magic</v>
      </c>
      <c r="H57" s="1" t="n">
        <f aca="false">Heroes!$Q57</f>
        <v>2</v>
      </c>
      <c r="I57" s="1" t="n">
        <f aca="false">IFERROR(INDEX(RoleMatrix!$B$2:$G$7,MATCH(B57,RoleMatrix!$A$2:$A$7,0),MATCH($B$1,RoleMatrix!$B$1:$G$1,0)),0)</f>
        <v>0</v>
      </c>
      <c r="J57" s="1" t="n">
        <f aca="false">IF(C57&lt;&gt;"",IFERROR(INDEX(RoleMatrix!$B$2:$G$7,MATCH(C57,RoleMatrix!$A$2:$A$7,0),MATCH($B$1,RoleMatrix!$B$1:$G$1,0)),0),I57)</f>
        <v>0</v>
      </c>
      <c r="K57" s="1" t="n">
        <f aca="false">MAX(I57,J57)</f>
        <v>0</v>
      </c>
      <c r="L57" s="1" t="n">
        <f aca="false">((D57+E57)/2-$C$1)*$H$1</f>
        <v>5</v>
      </c>
      <c r="M57" s="1" t="n">
        <f aca="false">F57-$D$1</f>
        <v>80</v>
      </c>
      <c r="N57" s="1" t="n">
        <f aca="false">IF(M57&gt;20,M57*$I$1,0)</f>
        <v>24</v>
      </c>
      <c r="O57" s="1" t="n">
        <f aca="false">IF(G57="Mixed",5,IF(G57=$E$1,-2,3))</f>
        <v>3</v>
      </c>
      <c r="P57" s="1" t="n">
        <f aca="false">(H57-$F$1)*3</f>
        <v>6</v>
      </c>
      <c r="Q57" s="1" t="n">
        <f aca="false">K57*$G$1+L57+N57+O57+P57</f>
        <v>38</v>
      </c>
      <c r="R57" s="1" t="n">
        <f aca="false">IFERROR(INDEX(ManualOverrides!$C$2:$C$1000,MATCH(A57&amp;"|"&amp;$A$1,ManualOverrides!$E$2:$E$1000,0)),Q57)</f>
        <v>38</v>
      </c>
      <c r="S57" s="1" t="n">
        <f aca="false">IF(OR($A$1="",A57=$A$1),-1000000000000000,R57)</f>
        <v>-1000000000000000</v>
      </c>
      <c r="T57" s="1" t="n">
        <f aca="false">S57+ROW()*0.0000001</f>
        <v>-1000000000000000</v>
      </c>
      <c r="U57" s="1" t="str">
        <f aca="false">Heroes!$M57</f>
        <v>Jungle</v>
      </c>
      <c r="V57" s="1" t="n">
        <f aca="false">IF(OR($A$1="",A57=$A$1,U57="",U57&lt;&gt;$J$1),-1000000000000000,R57)+ROW()*0.0000001</f>
        <v>-1000000000000000</v>
      </c>
    </row>
    <row r="58" customFormat="false" ht="15" hidden="false" customHeight="true" outlineLevel="0" collapsed="false">
      <c r="A58" s="1" t="str">
        <f aca="false">Heroes!$B58</f>
        <v>Valir</v>
      </c>
      <c r="B58" s="1" t="str">
        <f aca="false">Heroes!$C58</f>
        <v>Mage</v>
      </c>
      <c r="C58" s="1" t="n">
        <f aca="false">Heroes!$D58</f>
        <v>0</v>
      </c>
      <c r="D58" s="1" t="n">
        <f aca="false">Heroes!$E58</f>
        <v>70</v>
      </c>
      <c r="E58" s="1" t="n">
        <f aca="false">Heroes!$F58</f>
        <v>70</v>
      </c>
      <c r="F58" s="1" t="n">
        <f aca="false">Heroes!$H58</f>
        <v>40</v>
      </c>
      <c r="G58" s="1" t="str">
        <f aca="false">Heroes!$K58</f>
        <v>Magic</v>
      </c>
      <c r="H58" s="1" t="n">
        <f aca="false">Heroes!$Q58</f>
        <v>3</v>
      </c>
      <c r="I58" s="1" t="n">
        <f aca="false">IFERROR(INDEX(RoleMatrix!$B$2:$G$7,MATCH(B58,RoleMatrix!$A$2:$A$7,0),MATCH($B$1,RoleMatrix!$B$1:$G$1,0)),0)</f>
        <v>0</v>
      </c>
      <c r="J58" s="1" t="n">
        <f aca="false">IF(C58&lt;&gt;"",IFERROR(INDEX(RoleMatrix!$B$2:$G$7,MATCH(C58,RoleMatrix!$A$2:$A$7,0),MATCH($B$1,RoleMatrix!$B$1:$G$1,0)),0),I58)</f>
        <v>0</v>
      </c>
      <c r="K58" s="1" t="n">
        <f aca="false">MAX(I58,J58)</f>
        <v>0</v>
      </c>
      <c r="L58" s="1" t="n">
        <f aca="false">((D58+E58)/2-$C$1)*$H$1</f>
        <v>7</v>
      </c>
      <c r="M58" s="1" t="n">
        <f aca="false">F58-$D$1</f>
        <v>40</v>
      </c>
      <c r="N58" s="1" t="n">
        <f aca="false">IF(M58&gt;20,M58*$I$1,0)</f>
        <v>12</v>
      </c>
      <c r="O58" s="1" t="n">
        <f aca="false">IF(G58="Mixed",5,IF(G58=$E$1,-2,3))</f>
        <v>3</v>
      </c>
      <c r="P58" s="1" t="n">
        <f aca="false">(H58-$F$1)*3</f>
        <v>9</v>
      </c>
      <c r="Q58" s="1" t="n">
        <f aca="false">K58*$G$1+L58+N58+O58+P58</f>
        <v>31</v>
      </c>
      <c r="R58" s="1" t="n">
        <f aca="false">IFERROR(INDEX(ManualOverrides!$C$2:$C$1000,MATCH(A58&amp;"|"&amp;$A$1,ManualOverrides!$E$2:$E$1000,0)),Q58)</f>
        <v>31</v>
      </c>
      <c r="S58" s="1" t="n">
        <f aca="false">IF(OR($A$1="",A58=$A$1),-1000000000000000,R58)</f>
        <v>-1000000000000000</v>
      </c>
      <c r="T58" s="1" t="n">
        <f aca="false">S58+ROW()*0.0000001</f>
        <v>-1000000000000000</v>
      </c>
      <c r="U58" s="1" t="str">
        <f aca="false">Heroes!$M58</f>
        <v>Mid Lane</v>
      </c>
      <c r="V58" s="1" t="n">
        <f aca="false">IF(OR($A$1="",A58=$A$1,U58="",U58&lt;&gt;$J$1),-1000000000000000,R58)+ROW()*0.0000001</f>
        <v>-1000000000000000</v>
      </c>
    </row>
    <row r="59" customFormat="false" ht="15" hidden="false" customHeight="true" outlineLevel="0" collapsed="false">
      <c r="A59" s="1" t="str">
        <f aca="false">Heroes!$B59</f>
        <v>Martis</v>
      </c>
      <c r="B59" s="1" t="str">
        <f aca="false">Heroes!$C59</f>
        <v>Fighter</v>
      </c>
      <c r="C59" s="1" t="n">
        <f aca="false">Heroes!$D59</f>
        <v>0</v>
      </c>
      <c r="D59" s="1" t="n">
        <f aca="false">Heroes!$E59</f>
        <v>30</v>
      </c>
      <c r="E59" s="1" t="n">
        <f aca="false">Heroes!$F59</f>
        <v>50</v>
      </c>
      <c r="F59" s="1" t="n">
        <f aca="false">Heroes!$H59</f>
        <v>40</v>
      </c>
      <c r="G59" s="1" t="str">
        <f aca="false">Heroes!$K59</f>
        <v>Physical</v>
      </c>
      <c r="H59" s="1" t="n">
        <f aca="false">Heroes!$Q59</f>
        <v>2</v>
      </c>
      <c r="I59" s="1" t="n">
        <f aca="false">IFERROR(INDEX(RoleMatrix!$B$2:$G$7,MATCH(B59,RoleMatrix!$A$2:$A$7,0),MATCH($B$1,RoleMatrix!$B$1:$G$1,0)),0)</f>
        <v>0</v>
      </c>
      <c r="J59" s="1" t="n">
        <f aca="false">IF(C59&lt;&gt;"",IFERROR(INDEX(RoleMatrix!$B$2:$G$7,MATCH(C59,RoleMatrix!$A$2:$A$7,0),MATCH($B$1,RoleMatrix!$B$1:$G$1,0)),0),I59)</f>
        <v>0</v>
      </c>
      <c r="K59" s="1" t="n">
        <f aca="false">MAX(I59,J59)</f>
        <v>0</v>
      </c>
      <c r="L59" s="1" t="n">
        <f aca="false">((D59+E59)/2-$C$1)*$H$1</f>
        <v>4</v>
      </c>
      <c r="M59" s="1" t="n">
        <f aca="false">F59-$D$1</f>
        <v>40</v>
      </c>
      <c r="N59" s="1" t="n">
        <f aca="false">IF(M59&gt;20,M59*$I$1,0)</f>
        <v>12</v>
      </c>
      <c r="O59" s="1" t="n">
        <f aca="false">IF(G59="Mixed",5,IF(G59=$E$1,-2,3))</f>
        <v>3</v>
      </c>
      <c r="P59" s="1" t="n">
        <f aca="false">(H59-$F$1)*3</f>
        <v>6</v>
      </c>
      <c r="Q59" s="1" t="n">
        <f aca="false">K59*$G$1+L59+N59+O59+P59</f>
        <v>25</v>
      </c>
      <c r="R59" s="1" t="n">
        <f aca="false">IFERROR(INDEX(ManualOverrides!$C$2:$C$1000,MATCH(A59&amp;"|"&amp;$A$1,ManualOverrides!$E$2:$E$1000,0)),Q59)</f>
        <v>25</v>
      </c>
      <c r="S59" s="1" t="n">
        <f aca="false">IF(OR($A$1="",A59=$A$1),-1000000000000000,R59)</f>
        <v>-1000000000000000</v>
      </c>
      <c r="T59" s="1" t="n">
        <f aca="false">S59+ROW()*0.0000001</f>
        <v>-1000000000000000</v>
      </c>
      <c r="U59" s="1" t="str">
        <f aca="false">Heroes!$M59</f>
        <v>Jungle</v>
      </c>
      <c r="V59" s="1" t="n">
        <f aca="false">IF(OR($A$1="",A59=$A$1,U59="",U59&lt;&gt;$J$1),-1000000000000000,R59)+ROW()*0.0000001</f>
        <v>-1000000000000000</v>
      </c>
    </row>
    <row r="60" customFormat="false" ht="15" hidden="false" customHeight="true" outlineLevel="0" collapsed="false">
      <c r="A60" s="1" t="str">
        <f aca="false">Heroes!$B60</f>
        <v>Uranus</v>
      </c>
      <c r="B60" s="1" t="str">
        <f aca="false">Heroes!$C60</f>
        <v>Tank</v>
      </c>
      <c r="C60" s="1" t="n">
        <f aca="false">Heroes!$D60</f>
        <v>0</v>
      </c>
      <c r="D60" s="1" t="n">
        <f aca="false">Heroes!$E60</f>
        <v>20</v>
      </c>
      <c r="E60" s="1" t="n">
        <f aca="false">Heroes!$F60</f>
        <v>20</v>
      </c>
      <c r="F60" s="1" t="n">
        <f aca="false">Heroes!$H60</f>
        <v>30</v>
      </c>
      <c r="G60" s="1" t="str">
        <f aca="false">Heroes!$K60</f>
        <v>Magic</v>
      </c>
      <c r="H60" s="1" t="n">
        <f aca="false">Heroes!$Q60</f>
        <v>4</v>
      </c>
      <c r="I60" s="1" t="n">
        <f aca="false">IFERROR(INDEX(RoleMatrix!$B$2:$G$7,MATCH(B60,RoleMatrix!$A$2:$A$7,0),MATCH($B$1,RoleMatrix!$B$1:$G$1,0)),0)</f>
        <v>0</v>
      </c>
      <c r="J60" s="1" t="n">
        <f aca="false">IF(C60&lt;&gt;"",IFERROR(INDEX(RoleMatrix!$B$2:$G$7,MATCH(C60,RoleMatrix!$A$2:$A$7,0),MATCH($B$1,RoleMatrix!$B$1:$G$1,0)),0),I60)</f>
        <v>0</v>
      </c>
      <c r="K60" s="1" t="n">
        <f aca="false">MAX(I60,J60)</f>
        <v>0</v>
      </c>
      <c r="L60" s="1" t="n">
        <f aca="false">((D60+E60)/2-$C$1)*$H$1</f>
        <v>2</v>
      </c>
      <c r="M60" s="1" t="n">
        <f aca="false">F60-$D$1</f>
        <v>30</v>
      </c>
      <c r="N60" s="1" t="n">
        <f aca="false">IF(M60&gt;20,M60*$I$1,0)</f>
        <v>9</v>
      </c>
      <c r="O60" s="1" t="n">
        <f aca="false">IF(G60="Mixed",5,IF(G60=$E$1,-2,3))</f>
        <v>3</v>
      </c>
      <c r="P60" s="1" t="n">
        <f aca="false">(H60-$F$1)*3</f>
        <v>12</v>
      </c>
      <c r="Q60" s="1" t="n">
        <f aca="false">K60*$G$1+L60+N60+O60+P60</f>
        <v>26</v>
      </c>
      <c r="R60" s="1" t="n">
        <f aca="false">IFERROR(INDEX(ManualOverrides!$C$2:$C$1000,MATCH(A60&amp;"|"&amp;$A$1,ManualOverrides!$E$2:$E$1000,0)),Q60)</f>
        <v>26</v>
      </c>
      <c r="S60" s="1" t="n">
        <f aca="false">IF(OR($A$1="",A60=$A$1),-1000000000000000,R60)</f>
        <v>-1000000000000000</v>
      </c>
      <c r="T60" s="1" t="n">
        <f aca="false">S60+ROW()*0.0000001</f>
        <v>-1000000000000000</v>
      </c>
      <c r="U60" s="1" t="str">
        <f aca="false">Heroes!$M60</f>
        <v>EXP Lane</v>
      </c>
      <c r="V60" s="1" t="n">
        <f aca="false">IF(OR($A$1="",A60=$A$1,U60="",U60&lt;&gt;$J$1),-1000000000000000,R60)+ROW()*0.0000001</f>
        <v>-1000000000000000</v>
      </c>
    </row>
    <row r="61" customFormat="false" ht="15" hidden="false" customHeight="true" outlineLevel="0" collapsed="false">
      <c r="A61" s="1" t="str">
        <f aca="false">Heroes!$B61</f>
        <v>Hanabi</v>
      </c>
      <c r="B61" s="1" t="str">
        <f aca="false">Heroes!$C61</f>
        <v>Marksman</v>
      </c>
      <c r="C61" s="1" t="n">
        <f aca="false">Heroes!$D61</f>
        <v>0</v>
      </c>
      <c r="D61" s="1" t="n">
        <f aca="false">Heroes!$E61</f>
        <v>70</v>
      </c>
      <c r="E61" s="1" t="n">
        <f aca="false">Heroes!$F61</f>
        <v>80</v>
      </c>
      <c r="F61" s="1" t="n">
        <f aca="false">Heroes!$H61</f>
        <v>10</v>
      </c>
      <c r="G61" s="1" t="str">
        <f aca="false">Heroes!$K61</f>
        <v>Physical</v>
      </c>
      <c r="H61" s="1" t="n">
        <f aca="false">Heroes!$Q61</f>
        <v>5</v>
      </c>
      <c r="I61" s="1" t="n">
        <f aca="false">IFERROR(INDEX(RoleMatrix!$B$2:$G$7,MATCH(B61,RoleMatrix!$A$2:$A$7,0),MATCH($B$1,RoleMatrix!$B$1:$G$1,0)),0)</f>
        <v>0</v>
      </c>
      <c r="J61" s="1" t="n">
        <f aca="false">IF(C61&lt;&gt;"",IFERROR(INDEX(RoleMatrix!$B$2:$G$7,MATCH(C61,RoleMatrix!$A$2:$A$7,0),MATCH($B$1,RoleMatrix!$B$1:$G$1,0)),0),I61)</f>
        <v>0</v>
      </c>
      <c r="K61" s="1" t="n">
        <f aca="false">MAX(I61,J61)</f>
        <v>0</v>
      </c>
      <c r="L61" s="1" t="n">
        <f aca="false">((D61+E61)/2-$C$1)*$H$1</f>
        <v>7.5</v>
      </c>
      <c r="M61" s="1" t="n">
        <f aca="false">F61-$D$1</f>
        <v>10</v>
      </c>
      <c r="N61" s="1" t="n">
        <f aca="false">IF(M61&gt;20,M61*$I$1,0)</f>
        <v>0</v>
      </c>
      <c r="O61" s="1" t="n">
        <f aca="false">IF(G61="Mixed",5,IF(G61=$E$1,-2,3))</f>
        <v>3</v>
      </c>
      <c r="P61" s="1" t="n">
        <f aca="false">(H61-$F$1)*3</f>
        <v>15</v>
      </c>
      <c r="Q61" s="1" t="n">
        <f aca="false">K61*$G$1+L61+N61+O61+P61</f>
        <v>25.5</v>
      </c>
      <c r="R61" s="1" t="n">
        <f aca="false">IFERROR(INDEX(ManualOverrides!$C$2:$C$1000,MATCH(A61&amp;"|"&amp;$A$1,ManualOverrides!$E$2:$E$1000,0)),Q61)</f>
        <v>25.5</v>
      </c>
      <c r="S61" s="1" t="n">
        <f aca="false">IF(OR($A$1="",A61=$A$1),-1000000000000000,R61)</f>
        <v>-1000000000000000</v>
      </c>
      <c r="T61" s="1" t="n">
        <f aca="false">S61+ROW()*0.0000001</f>
        <v>-1000000000000000</v>
      </c>
      <c r="U61" s="1" t="str">
        <f aca="false">Heroes!$M61</f>
        <v>Gold Lane</v>
      </c>
      <c r="V61" s="1" t="n">
        <f aca="false">IF(OR($A$1="",A61=$A$1,U61="",U61&lt;&gt;$J$1),-1000000000000000,R61)+ROW()*0.0000001</f>
        <v>-1000000000000000</v>
      </c>
    </row>
    <row r="62" customFormat="false" ht="15" hidden="false" customHeight="true" outlineLevel="0" collapsed="false">
      <c r="A62" s="1" t="str">
        <f aca="false">Heroes!$B62</f>
        <v>Chang'e</v>
      </c>
      <c r="B62" s="1" t="str">
        <f aca="false">Heroes!$C62</f>
        <v>Mage</v>
      </c>
      <c r="C62" s="1" t="n">
        <f aca="false">Heroes!$D62</f>
        <v>0</v>
      </c>
      <c r="D62" s="1" t="n">
        <f aca="false">Heroes!$E62</f>
        <v>80</v>
      </c>
      <c r="E62" s="1" t="n">
        <f aca="false">Heroes!$F62</f>
        <v>20</v>
      </c>
      <c r="F62" s="1" t="n">
        <f aca="false">Heroes!$H62</f>
        <v>30</v>
      </c>
      <c r="G62" s="1" t="str">
        <f aca="false">Heroes!$K62</f>
        <v>Magic</v>
      </c>
      <c r="H62" s="1" t="n">
        <f aca="false">Heroes!$Q62</f>
        <v>3</v>
      </c>
      <c r="I62" s="1" t="n">
        <f aca="false">IFERROR(INDEX(RoleMatrix!$B$2:$G$7,MATCH(B62,RoleMatrix!$A$2:$A$7,0),MATCH($B$1,RoleMatrix!$B$1:$G$1,0)),0)</f>
        <v>0</v>
      </c>
      <c r="J62" s="1" t="n">
        <f aca="false">IF(C62&lt;&gt;"",IFERROR(INDEX(RoleMatrix!$B$2:$G$7,MATCH(C62,RoleMatrix!$A$2:$A$7,0),MATCH($B$1,RoleMatrix!$B$1:$G$1,0)),0),I62)</f>
        <v>0</v>
      </c>
      <c r="K62" s="1" t="n">
        <f aca="false">MAX(I62,J62)</f>
        <v>0</v>
      </c>
      <c r="L62" s="1" t="n">
        <f aca="false">((D62+E62)/2-$C$1)*$H$1</f>
        <v>5</v>
      </c>
      <c r="M62" s="1" t="n">
        <f aca="false">F62-$D$1</f>
        <v>30</v>
      </c>
      <c r="N62" s="1" t="n">
        <f aca="false">IF(M62&gt;20,M62*$I$1,0)</f>
        <v>9</v>
      </c>
      <c r="O62" s="1" t="n">
        <f aca="false">IF(G62="Mixed",5,IF(G62=$E$1,-2,3))</f>
        <v>3</v>
      </c>
      <c r="P62" s="1" t="n">
        <f aca="false">(H62-$F$1)*3</f>
        <v>9</v>
      </c>
      <c r="Q62" s="1" t="n">
        <f aca="false">K62*$G$1+L62+N62+O62+P62</f>
        <v>26</v>
      </c>
      <c r="R62" s="1" t="n">
        <f aca="false">IFERROR(INDEX(ManualOverrides!$C$2:$C$1000,MATCH(A62&amp;"|"&amp;$A$1,ManualOverrides!$E$2:$E$1000,0)),Q62)</f>
        <v>26</v>
      </c>
      <c r="S62" s="1" t="n">
        <f aca="false">IF(OR($A$1="",A62=$A$1),-1000000000000000,R62)</f>
        <v>-1000000000000000</v>
      </c>
      <c r="T62" s="1" t="n">
        <f aca="false">S62+ROW()*0.0000001</f>
        <v>-1000000000000000</v>
      </c>
      <c r="U62" s="1" t="str">
        <f aca="false">Heroes!$M62</f>
        <v>Mid Lane</v>
      </c>
      <c r="V62" s="1" t="n">
        <f aca="false">IF(OR($A$1="",A62=$A$1,U62="",U62&lt;&gt;$J$1),-1000000000000000,R62)+ROW()*0.0000001</f>
        <v>-1000000000000000</v>
      </c>
    </row>
    <row r="63" customFormat="false" ht="15" hidden="false" customHeight="true" outlineLevel="0" collapsed="false">
      <c r="A63" s="1" t="str">
        <f aca="false">Heroes!$B63</f>
        <v>Kaja</v>
      </c>
      <c r="B63" s="1" t="str">
        <f aca="false">Heroes!$C63</f>
        <v>Support</v>
      </c>
      <c r="C63" s="1" t="str">
        <f aca="false">Heroes!$D63</f>
        <v>Fighter</v>
      </c>
      <c r="D63" s="1" t="n">
        <f aca="false">Heroes!$E63</f>
        <v>60</v>
      </c>
      <c r="E63" s="1" t="n">
        <f aca="false">Heroes!$F63</f>
        <v>60</v>
      </c>
      <c r="F63" s="1" t="n">
        <f aca="false">Heroes!$H63</f>
        <v>70</v>
      </c>
      <c r="G63" s="1" t="str">
        <f aca="false">Heroes!$K63</f>
        <v>Magic</v>
      </c>
      <c r="H63" s="1" t="n">
        <f aca="false">Heroes!$Q63</f>
        <v>2</v>
      </c>
      <c r="I63" s="1" t="n">
        <f aca="false">IFERROR(INDEX(RoleMatrix!$B$2:$G$7,MATCH(B63,RoleMatrix!$A$2:$A$7,0),MATCH($B$1,RoleMatrix!$B$1:$G$1,0)),0)</f>
        <v>0</v>
      </c>
      <c r="J63" s="1" t="n">
        <f aca="false">IF(C63&lt;&gt;"",IFERROR(INDEX(RoleMatrix!$B$2:$G$7,MATCH(C63,RoleMatrix!$A$2:$A$7,0),MATCH($B$1,RoleMatrix!$B$1:$G$1,0)),0),I63)</f>
        <v>0</v>
      </c>
      <c r="K63" s="1" t="n">
        <f aca="false">MAX(I63,J63)</f>
        <v>0</v>
      </c>
      <c r="L63" s="1" t="n">
        <f aca="false">((D63+E63)/2-$C$1)*$H$1</f>
        <v>6</v>
      </c>
      <c r="M63" s="1" t="n">
        <f aca="false">F63-$D$1</f>
        <v>70</v>
      </c>
      <c r="N63" s="1" t="n">
        <f aca="false">IF(M63&gt;20,M63*$I$1,0)</f>
        <v>21</v>
      </c>
      <c r="O63" s="1" t="n">
        <f aca="false">IF(G63="Mixed",5,IF(G63=$E$1,-2,3))</f>
        <v>3</v>
      </c>
      <c r="P63" s="1" t="n">
        <f aca="false">(H63-$F$1)*3</f>
        <v>6</v>
      </c>
      <c r="Q63" s="1" t="n">
        <f aca="false">K63*$G$1+L63+N63+O63+P63</f>
        <v>36</v>
      </c>
      <c r="R63" s="1" t="n">
        <f aca="false">IFERROR(INDEX(ManualOverrides!$C$2:$C$1000,MATCH(A63&amp;"|"&amp;$A$1,ManualOverrides!$E$2:$E$1000,0)),Q63)</f>
        <v>36</v>
      </c>
      <c r="S63" s="1" t="n">
        <f aca="false">IF(OR($A$1="",A63=$A$1),-1000000000000000,R63)</f>
        <v>-1000000000000000</v>
      </c>
      <c r="T63" s="1" t="n">
        <f aca="false">S63+ROW()*0.0000001</f>
        <v>-1000000000000000</v>
      </c>
      <c r="U63" s="1" t="str">
        <f aca="false">Heroes!$M63</f>
        <v>Roaming</v>
      </c>
      <c r="V63" s="1" t="n">
        <f aca="false">IF(OR($A$1="",A63=$A$1,U63="",U63&lt;&gt;$J$1),-1000000000000000,R63)+ROW()*0.0000001</f>
        <v>-1000000000000000</v>
      </c>
    </row>
    <row r="64" customFormat="false" ht="15" hidden="false" customHeight="true" outlineLevel="0" collapsed="false">
      <c r="A64" s="1" t="str">
        <f aca="false">Heroes!$B64</f>
        <v>Selena</v>
      </c>
      <c r="B64" s="1" t="str">
        <f aca="false">Heroes!$C64</f>
        <v>Assassin</v>
      </c>
      <c r="C64" s="1" t="str">
        <f aca="false">Heroes!$D64</f>
        <v>Mage</v>
      </c>
      <c r="D64" s="1" t="n">
        <f aca="false">Heroes!$E64</f>
        <v>70</v>
      </c>
      <c r="E64" s="1" t="n">
        <f aca="false">Heroes!$F64</f>
        <v>100</v>
      </c>
      <c r="F64" s="1" t="n">
        <f aca="false">Heroes!$H64</f>
        <v>70</v>
      </c>
      <c r="G64" s="1" t="str">
        <f aca="false">Heroes!$K64</f>
        <v>Magic</v>
      </c>
      <c r="H64" s="1" t="n">
        <f aca="false">Heroes!$Q64</f>
        <v>2</v>
      </c>
      <c r="I64" s="1" t="n">
        <f aca="false">IFERROR(INDEX(RoleMatrix!$B$2:$G$7,MATCH(B64,RoleMatrix!$A$2:$A$7,0),MATCH($B$1,RoleMatrix!$B$1:$G$1,0)),0)</f>
        <v>0</v>
      </c>
      <c r="J64" s="1" t="n">
        <f aca="false">IF(C64&lt;&gt;"",IFERROR(INDEX(RoleMatrix!$B$2:$G$7,MATCH(C64,RoleMatrix!$A$2:$A$7,0),MATCH($B$1,RoleMatrix!$B$1:$G$1,0)),0),I64)</f>
        <v>0</v>
      </c>
      <c r="K64" s="1" t="n">
        <f aca="false">MAX(I64,J64)</f>
        <v>0</v>
      </c>
      <c r="L64" s="1" t="n">
        <f aca="false">((D64+E64)/2-$C$1)*$H$1</f>
        <v>8.5</v>
      </c>
      <c r="M64" s="1" t="n">
        <f aca="false">F64-$D$1</f>
        <v>70</v>
      </c>
      <c r="N64" s="1" t="n">
        <f aca="false">IF(M64&gt;20,M64*$I$1,0)</f>
        <v>21</v>
      </c>
      <c r="O64" s="1" t="n">
        <f aca="false">IF(G64="Mixed",5,IF(G64=$E$1,-2,3))</f>
        <v>3</v>
      </c>
      <c r="P64" s="1" t="n">
        <f aca="false">(H64-$F$1)*3</f>
        <v>6</v>
      </c>
      <c r="Q64" s="1" t="n">
        <f aca="false">K64*$G$1+L64+N64+O64+P64</f>
        <v>38.5</v>
      </c>
      <c r="R64" s="1" t="n">
        <f aca="false">IFERROR(INDEX(ManualOverrides!$C$2:$C$1000,MATCH(A64&amp;"|"&amp;$A$1,ManualOverrides!$E$2:$E$1000,0)),Q64)</f>
        <v>38.5</v>
      </c>
      <c r="S64" s="1" t="n">
        <f aca="false">IF(OR($A$1="",A64=$A$1),-1000000000000000,R64)</f>
        <v>-1000000000000000</v>
      </c>
      <c r="T64" s="1" t="n">
        <f aca="false">S64+ROW()*0.0000001</f>
        <v>-1000000000000000</v>
      </c>
      <c r="U64" s="1" t="str">
        <f aca="false">Heroes!$M64</f>
        <v>Mid Lane</v>
      </c>
      <c r="V64" s="1" t="n">
        <f aca="false">IF(OR($A$1="",A64=$A$1,U64="",U64&lt;&gt;$J$1),-1000000000000000,R64)+ROW()*0.0000001</f>
        <v>-1000000000000000</v>
      </c>
    </row>
    <row r="65" customFormat="false" ht="15" hidden="false" customHeight="true" outlineLevel="0" collapsed="false">
      <c r="A65" s="1" t="str">
        <f aca="false">Heroes!$B65</f>
        <v>Aldous</v>
      </c>
      <c r="B65" s="1" t="str">
        <f aca="false">Heroes!$C65</f>
        <v>Fighter</v>
      </c>
      <c r="C65" s="1" t="n">
        <f aca="false">Heroes!$D65</f>
        <v>0</v>
      </c>
      <c r="D65" s="1" t="n">
        <f aca="false">Heroes!$E65</f>
        <v>30</v>
      </c>
      <c r="E65" s="1" t="n">
        <f aca="false">Heroes!$F65</f>
        <v>50</v>
      </c>
      <c r="F65" s="1" t="n">
        <f aca="false">Heroes!$H65</f>
        <v>60</v>
      </c>
      <c r="G65" s="1" t="str">
        <f aca="false">Heroes!$K65</f>
        <v>Physical</v>
      </c>
      <c r="H65" s="1" t="n">
        <f aca="false">Heroes!$Q65</f>
        <v>5</v>
      </c>
      <c r="I65" s="1" t="n">
        <f aca="false">IFERROR(INDEX(RoleMatrix!$B$2:$G$7,MATCH(B65,RoleMatrix!$A$2:$A$7,0),MATCH($B$1,RoleMatrix!$B$1:$G$1,0)),0)</f>
        <v>0</v>
      </c>
      <c r="J65" s="1" t="n">
        <f aca="false">IF(C65&lt;&gt;"",IFERROR(INDEX(RoleMatrix!$B$2:$G$7,MATCH(C65,RoleMatrix!$A$2:$A$7,0),MATCH($B$1,RoleMatrix!$B$1:$G$1,0)),0),I65)</f>
        <v>0</v>
      </c>
      <c r="K65" s="1" t="n">
        <f aca="false">MAX(I65,J65)</f>
        <v>0</v>
      </c>
      <c r="L65" s="1" t="n">
        <f aca="false">((D65+E65)/2-$C$1)*$H$1</f>
        <v>4</v>
      </c>
      <c r="M65" s="1" t="n">
        <f aca="false">F65-$D$1</f>
        <v>60</v>
      </c>
      <c r="N65" s="1" t="n">
        <f aca="false">IF(M65&gt;20,M65*$I$1,0)</f>
        <v>18</v>
      </c>
      <c r="O65" s="1" t="n">
        <f aca="false">IF(G65="Mixed",5,IF(G65=$E$1,-2,3))</f>
        <v>3</v>
      </c>
      <c r="P65" s="1" t="n">
        <f aca="false">(H65-$F$1)*3</f>
        <v>15</v>
      </c>
      <c r="Q65" s="1" t="n">
        <f aca="false">K65*$G$1+L65+N65+O65+P65</f>
        <v>40</v>
      </c>
      <c r="R65" s="1" t="n">
        <f aca="false">IFERROR(INDEX(ManualOverrides!$C$2:$C$1000,MATCH(A65&amp;"|"&amp;$A$1,ManualOverrides!$E$2:$E$1000,0)),Q65)</f>
        <v>40</v>
      </c>
      <c r="S65" s="1" t="n">
        <f aca="false">IF(OR($A$1="",A65=$A$1),-1000000000000000,R65)</f>
        <v>-1000000000000000</v>
      </c>
      <c r="T65" s="1" t="n">
        <f aca="false">S65+ROW()*0.0000001</f>
        <v>-1000000000000000</v>
      </c>
      <c r="U65" s="1" t="str">
        <f aca="false">Heroes!$M65</f>
        <v>EXP Lane</v>
      </c>
      <c r="V65" s="1" t="n">
        <f aca="false">IF(OR($A$1="",A65=$A$1,U65="",U65&lt;&gt;$J$1),-1000000000000000,R65)+ROW()*0.0000001</f>
        <v>-1000000000000000</v>
      </c>
    </row>
    <row r="66" customFormat="false" ht="15" hidden="false" customHeight="true" outlineLevel="0" collapsed="false">
      <c r="A66" s="1" t="str">
        <f aca="false">Heroes!$B66</f>
        <v>Claude</v>
      </c>
      <c r="B66" s="1" t="str">
        <f aca="false">Heroes!$C66</f>
        <v>Marksman</v>
      </c>
      <c r="C66" s="1" t="n">
        <f aca="false">Heroes!$D66</f>
        <v>0</v>
      </c>
      <c r="D66" s="1" t="n">
        <f aca="false">Heroes!$E66</f>
        <v>60</v>
      </c>
      <c r="E66" s="1" t="n">
        <f aca="false">Heroes!$F66</f>
        <v>10</v>
      </c>
      <c r="F66" s="1" t="n">
        <f aca="false">Heroes!$H66</f>
        <v>60</v>
      </c>
      <c r="G66" s="1" t="str">
        <f aca="false">Heroes!$K66</f>
        <v>Physical</v>
      </c>
      <c r="H66" s="1" t="n">
        <f aca="false">Heroes!$Q66</f>
        <v>5</v>
      </c>
      <c r="I66" s="1" t="n">
        <f aca="false">IFERROR(INDEX(RoleMatrix!$B$2:$G$7,MATCH(B66,RoleMatrix!$A$2:$A$7,0),MATCH($B$1,RoleMatrix!$B$1:$G$1,0)),0)</f>
        <v>0</v>
      </c>
      <c r="J66" s="1" t="n">
        <f aca="false">IF(C66&lt;&gt;"",IFERROR(INDEX(RoleMatrix!$B$2:$G$7,MATCH(C66,RoleMatrix!$A$2:$A$7,0),MATCH($B$1,RoleMatrix!$B$1:$G$1,0)),0),I66)</f>
        <v>0</v>
      </c>
      <c r="K66" s="1" t="n">
        <f aca="false">MAX(I66,J66)</f>
        <v>0</v>
      </c>
      <c r="L66" s="1" t="n">
        <f aca="false">((D66+E66)/2-$C$1)*$H$1</f>
        <v>3.5</v>
      </c>
      <c r="M66" s="1" t="n">
        <f aca="false">F66-$D$1</f>
        <v>60</v>
      </c>
      <c r="N66" s="1" t="n">
        <f aca="false">IF(M66&gt;20,M66*$I$1,0)</f>
        <v>18</v>
      </c>
      <c r="O66" s="1" t="n">
        <f aca="false">IF(G66="Mixed",5,IF(G66=$E$1,-2,3))</f>
        <v>3</v>
      </c>
      <c r="P66" s="1" t="n">
        <f aca="false">(H66-$F$1)*3</f>
        <v>15</v>
      </c>
      <c r="Q66" s="1" t="n">
        <f aca="false">K66*$G$1+L66+N66+O66+P66</f>
        <v>39.5</v>
      </c>
      <c r="R66" s="1" t="n">
        <f aca="false">IFERROR(INDEX(ManualOverrides!$C$2:$C$1000,MATCH(A66&amp;"|"&amp;$A$1,ManualOverrides!$E$2:$E$1000,0)),Q66)</f>
        <v>39.5</v>
      </c>
      <c r="S66" s="1" t="n">
        <f aca="false">IF(OR($A$1="",A66=$A$1),-1000000000000000,R66)</f>
        <v>-1000000000000000</v>
      </c>
      <c r="T66" s="1" t="n">
        <f aca="false">S66+ROW()*0.0000001</f>
        <v>-1000000000000000</v>
      </c>
      <c r="U66" s="1" t="str">
        <f aca="false">Heroes!$M66</f>
        <v>Gold Lane</v>
      </c>
      <c r="V66" s="1" t="n">
        <f aca="false">IF(OR($A$1="",A66=$A$1,U66="",U66&lt;&gt;$J$1),-1000000000000000,R66)+ROW()*0.0000001</f>
        <v>-1000000000000000</v>
      </c>
    </row>
    <row r="67" customFormat="false" ht="15" hidden="false" customHeight="true" outlineLevel="0" collapsed="false">
      <c r="A67" s="1" t="str">
        <f aca="false">Heroes!$B67</f>
        <v>Vale</v>
      </c>
      <c r="B67" s="1" t="str">
        <f aca="false">Heroes!$C67</f>
        <v>Mage</v>
      </c>
      <c r="C67" s="1" t="n">
        <f aca="false">Heroes!$D67</f>
        <v>0</v>
      </c>
      <c r="D67" s="1" t="n">
        <f aca="false">Heroes!$E67</f>
        <v>100</v>
      </c>
      <c r="E67" s="1" t="n">
        <f aca="false">Heroes!$F67</f>
        <v>70</v>
      </c>
      <c r="F67" s="1" t="n">
        <f aca="false">Heroes!$H67</f>
        <v>20</v>
      </c>
      <c r="G67" s="1" t="str">
        <f aca="false">Heroes!$K67</f>
        <v>Magic</v>
      </c>
      <c r="H67" s="1" t="n">
        <f aca="false">Heroes!$Q67</f>
        <v>3</v>
      </c>
      <c r="I67" s="1" t="n">
        <f aca="false">IFERROR(INDEX(RoleMatrix!$B$2:$G$7,MATCH(B67,RoleMatrix!$A$2:$A$7,0),MATCH($B$1,RoleMatrix!$B$1:$G$1,0)),0)</f>
        <v>0</v>
      </c>
      <c r="J67" s="1" t="n">
        <f aca="false">IF(C67&lt;&gt;"",IFERROR(INDEX(RoleMatrix!$B$2:$G$7,MATCH(C67,RoleMatrix!$A$2:$A$7,0),MATCH($B$1,RoleMatrix!$B$1:$G$1,0)),0),I67)</f>
        <v>0</v>
      </c>
      <c r="K67" s="1" t="n">
        <f aca="false">MAX(I67,J67)</f>
        <v>0</v>
      </c>
      <c r="L67" s="1" t="n">
        <f aca="false">((D67+E67)/2-$C$1)*$H$1</f>
        <v>8.5</v>
      </c>
      <c r="M67" s="1" t="n">
        <f aca="false">F67-$D$1</f>
        <v>20</v>
      </c>
      <c r="N67" s="1" t="n">
        <f aca="false">IF(M67&gt;20,M67*$I$1,0)</f>
        <v>0</v>
      </c>
      <c r="O67" s="1" t="n">
        <f aca="false">IF(G67="Mixed",5,IF(G67=$E$1,-2,3))</f>
        <v>3</v>
      </c>
      <c r="P67" s="1" t="n">
        <f aca="false">(H67-$F$1)*3</f>
        <v>9</v>
      </c>
      <c r="Q67" s="1" t="n">
        <f aca="false">K67*$G$1+L67+N67+O67+P67</f>
        <v>20.5</v>
      </c>
      <c r="R67" s="1" t="n">
        <f aca="false">IFERROR(INDEX(ManualOverrides!$C$2:$C$1000,MATCH(A67&amp;"|"&amp;$A$1,ManualOverrides!$E$2:$E$1000,0)),Q67)</f>
        <v>20.5</v>
      </c>
      <c r="S67" s="1" t="n">
        <f aca="false">IF(OR($A$1="",A67=$A$1),-1000000000000000,R67)</f>
        <v>-1000000000000000</v>
      </c>
      <c r="T67" s="1" t="n">
        <f aca="false">S67+ROW()*0.0000001</f>
        <v>-1000000000000000</v>
      </c>
      <c r="U67" s="1" t="str">
        <f aca="false">Heroes!$M67</f>
        <v>Mid Lane</v>
      </c>
      <c r="V67" s="1" t="n">
        <f aca="false">IF(OR($A$1="",A67=$A$1,U67="",U67&lt;&gt;$J$1),-1000000000000000,R67)+ROW()*0.0000001</f>
        <v>-1000000000000000</v>
      </c>
    </row>
    <row r="68" customFormat="false" ht="15" hidden="false" customHeight="true" outlineLevel="0" collapsed="false">
      <c r="A68" s="1" t="str">
        <f aca="false">Heroes!$B68</f>
        <v>Leomord</v>
      </c>
      <c r="B68" s="1" t="str">
        <f aca="false">Heroes!$C68</f>
        <v>Fighter</v>
      </c>
      <c r="C68" s="1" t="n">
        <f aca="false">Heroes!$D68</f>
        <v>0</v>
      </c>
      <c r="D68" s="1" t="n">
        <f aca="false">Heroes!$E68</f>
        <v>50</v>
      </c>
      <c r="E68" s="1" t="n">
        <f aca="false">Heroes!$F68</f>
        <v>30</v>
      </c>
      <c r="F68" s="1" t="n">
        <f aca="false">Heroes!$H68</f>
        <v>60</v>
      </c>
      <c r="G68" s="1" t="str">
        <f aca="false">Heroes!$K68</f>
        <v>Physical</v>
      </c>
      <c r="H68" s="1" t="n">
        <f aca="false">Heroes!$Q68</f>
        <v>3</v>
      </c>
      <c r="I68" s="1" t="n">
        <f aca="false">IFERROR(INDEX(RoleMatrix!$B$2:$G$7,MATCH(B68,RoleMatrix!$A$2:$A$7,0),MATCH($B$1,RoleMatrix!$B$1:$G$1,0)),0)</f>
        <v>0</v>
      </c>
      <c r="J68" s="1" t="n">
        <f aca="false">IF(C68&lt;&gt;"",IFERROR(INDEX(RoleMatrix!$B$2:$G$7,MATCH(C68,RoleMatrix!$A$2:$A$7,0),MATCH($B$1,RoleMatrix!$B$1:$G$1,0)),0),I68)</f>
        <v>0</v>
      </c>
      <c r="K68" s="1" t="n">
        <f aca="false">MAX(I68,J68)</f>
        <v>0</v>
      </c>
      <c r="L68" s="1" t="n">
        <f aca="false">((D68+E68)/2-$C$1)*$H$1</f>
        <v>4</v>
      </c>
      <c r="M68" s="1" t="n">
        <f aca="false">F68-$D$1</f>
        <v>60</v>
      </c>
      <c r="N68" s="1" t="n">
        <f aca="false">IF(M68&gt;20,M68*$I$1,0)</f>
        <v>18</v>
      </c>
      <c r="O68" s="1" t="n">
        <f aca="false">IF(G68="Mixed",5,IF(G68=$E$1,-2,3))</f>
        <v>3</v>
      </c>
      <c r="P68" s="1" t="n">
        <f aca="false">(H68-$F$1)*3</f>
        <v>9</v>
      </c>
      <c r="Q68" s="1" t="n">
        <f aca="false">K68*$G$1+L68+N68+O68+P68</f>
        <v>34</v>
      </c>
      <c r="R68" s="1" t="n">
        <f aca="false">IFERROR(INDEX(ManualOverrides!$C$2:$C$1000,MATCH(A68&amp;"|"&amp;$A$1,ManualOverrides!$E$2:$E$1000,0)),Q68)</f>
        <v>34</v>
      </c>
      <c r="S68" s="1" t="n">
        <f aca="false">IF(OR($A$1="",A68=$A$1),-1000000000000000,R68)</f>
        <v>-1000000000000000</v>
      </c>
      <c r="T68" s="1" t="n">
        <f aca="false">S68+ROW()*0.0000001</f>
        <v>-1000000000000000</v>
      </c>
      <c r="U68" s="1" t="str">
        <f aca="false">Heroes!$M68</f>
        <v>Jungle</v>
      </c>
      <c r="V68" s="1" t="n">
        <f aca="false">IF(OR($A$1="",A68=$A$1,U68="",U68&lt;&gt;$J$1),-1000000000000000,R68)+ROW()*0.0000001</f>
        <v>-1000000000000000</v>
      </c>
    </row>
    <row r="69" customFormat="false" ht="15" hidden="false" customHeight="true" outlineLevel="0" collapsed="false">
      <c r="A69" s="1" t="str">
        <f aca="false">Heroes!$B69</f>
        <v>Lunox</v>
      </c>
      <c r="B69" s="1" t="str">
        <f aca="false">Heroes!$C69</f>
        <v>Mage</v>
      </c>
      <c r="C69" s="1" t="n">
        <f aca="false">Heroes!$D69</f>
        <v>0</v>
      </c>
      <c r="D69" s="1" t="n">
        <f aca="false">Heroes!$E69</f>
        <v>90</v>
      </c>
      <c r="E69" s="1" t="n">
        <f aca="false">Heroes!$F69</f>
        <v>20</v>
      </c>
      <c r="F69" s="1" t="n">
        <f aca="false">Heroes!$H69</f>
        <v>90</v>
      </c>
      <c r="G69" s="1" t="str">
        <f aca="false">Heroes!$K69</f>
        <v>Magic</v>
      </c>
      <c r="H69" s="1" t="n">
        <f aca="false">Heroes!$Q69</f>
        <v>5</v>
      </c>
      <c r="I69" s="1" t="n">
        <f aca="false">IFERROR(INDEX(RoleMatrix!$B$2:$G$7,MATCH(B69,RoleMatrix!$A$2:$A$7,0),MATCH($B$1,RoleMatrix!$B$1:$G$1,0)),0)</f>
        <v>0</v>
      </c>
      <c r="J69" s="1" t="n">
        <f aca="false">IF(C69&lt;&gt;"",IFERROR(INDEX(RoleMatrix!$B$2:$G$7,MATCH(C69,RoleMatrix!$A$2:$A$7,0),MATCH($B$1,RoleMatrix!$B$1:$G$1,0)),0),I69)</f>
        <v>0</v>
      </c>
      <c r="K69" s="1" t="n">
        <f aca="false">MAX(I69,J69)</f>
        <v>0</v>
      </c>
      <c r="L69" s="1" t="n">
        <f aca="false">((D69+E69)/2-$C$1)*$H$1</f>
        <v>5.5</v>
      </c>
      <c r="M69" s="1" t="n">
        <f aca="false">F69-$D$1</f>
        <v>90</v>
      </c>
      <c r="N69" s="1" t="n">
        <f aca="false">IF(M69&gt;20,M69*$I$1,0)</f>
        <v>27</v>
      </c>
      <c r="O69" s="1" t="n">
        <f aca="false">IF(G69="Mixed",5,IF(G69=$E$1,-2,3))</f>
        <v>3</v>
      </c>
      <c r="P69" s="1" t="n">
        <f aca="false">(H69-$F$1)*3</f>
        <v>15</v>
      </c>
      <c r="Q69" s="1" t="n">
        <f aca="false">K69*$G$1+L69+N69+O69+P69</f>
        <v>50.5</v>
      </c>
      <c r="R69" s="1" t="n">
        <f aca="false">IFERROR(INDEX(ManualOverrides!$C$2:$C$1000,MATCH(A69&amp;"|"&amp;$A$1,ManualOverrides!$E$2:$E$1000,0)),Q69)</f>
        <v>50.5</v>
      </c>
      <c r="S69" s="1" t="n">
        <f aca="false">IF(OR($A$1="",A69=$A$1),-1000000000000000,R69)</f>
        <v>-1000000000000000</v>
      </c>
      <c r="T69" s="1" t="n">
        <f aca="false">S69+ROW()*0.0000001</f>
        <v>-1000000000000000</v>
      </c>
      <c r="U69" s="1" t="str">
        <f aca="false">Heroes!$M69</f>
        <v>Mid Lane</v>
      </c>
      <c r="V69" s="1" t="n">
        <f aca="false">IF(OR($A$1="",A69=$A$1,U69="",U69&lt;&gt;$J$1),-1000000000000000,R69)+ROW()*0.0000001</f>
        <v>-1000000000000000</v>
      </c>
    </row>
    <row r="70" customFormat="false" ht="15" hidden="false" customHeight="true" outlineLevel="0" collapsed="false">
      <c r="A70" s="1" t="str">
        <f aca="false">Heroes!$B70</f>
        <v>Hanzo</v>
      </c>
      <c r="B70" s="1" t="str">
        <f aca="false">Heroes!$C70</f>
        <v>Assassin</v>
      </c>
      <c r="C70" s="1" t="n">
        <f aca="false">Heroes!$D70</f>
        <v>0</v>
      </c>
      <c r="D70" s="1" t="n">
        <f aca="false">Heroes!$E70</f>
        <v>80</v>
      </c>
      <c r="E70" s="1" t="n">
        <f aca="false">Heroes!$F70</f>
        <v>20</v>
      </c>
      <c r="F70" s="1" t="n">
        <f aca="false">Heroes!$H70</f>
        <v>80</v>
      </c>
      <c r="G70" s="1" t="str">
        <f aca="false">Heroes!$K70</f>
        <v>Physical</v>
      </c>
      <c r="H70" s="1" t="n">
        <f aca="false">Heroes!$Q70</f>
        <v>3</v>
      </c>
      <c r="I70" s="1" t="n">
        <f aca="false">IFERROR(INDEX(RoleMatrix!$B$2:$G$7,MATCH(B70,RoleMatrix!$A$2:$A$7,0),MATCH($B$1,RoleMatrix!$B$1:$G$1,0)),0)</f>
        <v>0</v>
      </c>
      <c r="J70" s="1" t="n">
        <f aca="false">IF(C70&lt;&gt;"",IFERROR(INDEX(RoleMatrix!$B$2:$G$7,MATCH(C70,RoleMatrix!$A$2:$A$7,0),MATCH($B$1,RoleMatrix!$B$1:$G$1,0)),0),I70)</f>
        <v>0</v>
      </c>
      <c r="K70" s="1" t="n">
        <f aca="false">MAX(I70,J70)</f>
        <v>0</v>
      </c>
      <c r="L70" s="1" t="n">
        <f aca="false">((D70+E70)/2-$C$1)*$H$1</f>
        <v>5</v>
      </c>
      <c r="M70" s="1" t="n">
        <f aca="false">F70-$D$1</f>
        <v>80</v>
      </c>
      <c r="N70" s="1" t="n">
        <f aca="false">IF(M70&gt;20,M70*$I$1,0)</f>
        <v>24</v>
      </c>
      <c r="O70" s="1" t="n">
        <f aca="false">IF(G70="Mixed",5,IF(G70=$E$1,-2,3))</f>
        <v>3</v>
      </c>
      <c r="P70" s="1" t="n">
        <f aca="false">(H70-$F$1)*3</f>
        <v>9</v>
      </c>
      <c r="Q70" s="1" t="n">
        <f aca="false">K70*$G$1+L70+N70+O70+P70</f>
        <v>41</v>
      </c>
      <c r="R70" s="1" t="n">
        <f aca="false">IFERROR(INDEX(ManualOverrides!$C$2:$C$1000,MATCH(A70&amp;"|"&amp;$A$1,ManualOverrides!$E$2:$E$1000,0)),Q70)</f>
        <v>41</v>
      </c>
      <c r="S70" s="1" t="n">
        <f aca="false">IF(OR($A$1="",A70=$A$1),-1000000000000000,R70)</f>
        <v>-1000000000000000</v>
      </c>
      <c r="T70" s="1" t="n">
        <f aca="false">S70+ROW()*0.0000001</f>
        <v>-1000000000000000</v>
      </c>
      <c r="U70" s="1" t="str">
        <f aca="false">Heroes!$M70</f>
        <v>Jungle</v>
      </c>
      <c r="V70" s="1" t="n">
        <f aca="false">IF(OR($A$1="",A70=$A$1,U70="",U70&lt;&gt;$J$1),-1000000000000000,R70)+ROW()*0.0000001</f>
        <v>-1000000000000000</v>
      </c>
    </row>
    <row r="71" customFormat="false" ht="15" hidden="false" customHeight="true" outlineLevel="0" collapsed="false">
      <c r="A71" s="1" t="str">
        <f aca="false">Heroes!$B71</f>
        <v>Belerick</v>
      </c>
      <c r="B71" s="1" t="str">
        <f aca="false">Heroes!$C71</f>
        <v>Tank</v>
      </c>
      <c r="C71" s="1" t="n">
        <f aca="false">Heroes!$D71</f>
        <v>0</v>
      </c>
      <c r="D71" s="1" t="n">
        <f aca="false">Heroes!$E71</f>
        <v>40</v>
      </c>
      <c r="E71" s="1" t="n">
        <f aca="false">Heroes!$F71</f>
        <v>100</v>
      </c>
      <c r="F71" s="1" t="n">
        <f aca="false">Heroes!$H71</f>
        <v>10</v>
      </c>
      <c r="G71" s="1" t="str">
        <f aca="false">Heroes!$K71</f>
        <v>Magic</v>
      </c>
      <c r="H71" s="1" t="n">
        <f aca="false">Heroes!$Q71</f>
        <v>4</v>
      </c>
      <c r="I71" s="1" t="n">
        <f aca="false">IFERROR(INDEX(RoleMatrix!$B$2:$G$7,MATCH(B71,RoleMatrix!$A$2:$A$7,0),MATCH($B$1,RoleMatrix!$B$1:$G$1,0)),0)</f>
        <v>0</v>
      </c>
      <c r="J71" s="1" t="n">
        <f aca="false">IF(C71&lt;&gt;"",IFERROR(INDEX(RoleMatrix!$B$2:$G$7,MATCH(C71,RoleMatrix!$A$2:$A$7,0),MATCH($B$1,RoleMatrix!$B$1:$G$1,0)),0),I71)</f>
        <v>0</v>
      </c>
      <c r="K71" s="1" t="n">
        <f aca="false">MAX(I71,J71)</f>
        <v>0</v>
      </c>
      <c r="L71" s="1" t="n">
        <f aca="false">((D71+E71)/2-$C$1)*$H$1</f>
        <v>7</v>
      </c>
      <c r="M71" s="1" t="n">
        <f aca="false">F71-$D$1</f>
        <v>10</v>
      </c>
      <c r="N71" s="1" t="n">
        <f aca="false">IF(M71&gt;20,M71*$I$1,0)</f>
        <v>0</v>
      </c>
      <c r="O71" s="1" t="n">
        <f aca="false">IF(G71="Mixed",5,IF(G71=$E$1,-2,3))</f>
        <v>3</v>
      </c>
      <c r="P71" s="1" t="n">
        <f aca="false">(H71-$F$1)*3</f>
        <v>12</v>
      </c>
      <c r="Q71" s="1" t="n">
        <f aca="false">K71*$G$1+L71+N71+O71+P71</f>
        <v>22</v>
      </c>
      <c r="R71" s="1" t="n">
        <f aca="false">IFERROR(INDEX(ManualOverrides!$C$2:$C$1000,MATCH(A71&amp;"|"&amp;$A$1,ManualOverrides!$E$2:$E$1000,0)),Q71)</f>
        <v>22</v>
      </c>
      <c r="S71" s="1" t="n">
        <f aca="false">IF(OR($A$1="",A71=$A$1),-1000000000000000,R71)</f>
        <v>-1000000000000000</v>
      </c>
      <c r="T71" s="1" t="n">
        <f aca="false">S71+ROW()*0.0000001</f>
        <v>-1000000000000000</v>
      </c>
      <c r="U71" s="1" t="str">
        <f aca="false">Heroes!$M71</f>
        <v>Roaming</v>
      </c>
      <c r="V71" s="1" t="n">
        <f aca="false">IF(OR($A$1="",A71=$A$1,U71="",U71&lt;&gt;$J$1),-1000000000000000,R71)+ROW()*0.0000001</f>
        <v>-1000000000000000</v>
      </c>
    </row>
    <row r="72" customFormat="false" ht="15" hidden="false" customHeight="true" outlineLevel="0" collapsed="false">
      <c r="A72" s="1" t="str">
        <f aca="false">Heroes!$B72</f>
        <v>Kimmy</v>
      </c>
      <c r="B72" s="1" t="str">
        <f aca="false">Heroes!$C72</f>
        <v>Marksman</v>
      </c>
      <c r="C72" s="1" t="str">
        <f aca="false">Heroes!$D72</f>
        <v>Mage</v>
      </c>
      <c r="D72" s="1" t="n">
        <f aca="false">Heroes!$E72</f>
        <v>100</v>
      </c>
      <c r="E72" s="1" t="n">
        <f aca="false">Heroes!$F72</f>
        <v>10</v>
      </c>
      <c r="F72" s="1" t="n">
        <f aca="false">Heroes!$H72</f>
        <v>90</v>
      </c>
      <c r="G72" s="1" t="str">
        <f aca="false">Heroes!$K72</f>
        <v>Magic</v>
      </c>
      <c r="H72" s="1" t="n">
        <f aca="false">Heroes!$Q72</f>
        <v>3</v>
      </c>
      <c r="I72" s="1" t="n">
        <f aca="false">IFERROR(INDEX(RoleMatrix!$B$2:$G$7,MATCH(B72,RoleMatrix!$A$2:$A$7,0),MATCH($B$1,RoleMatrix!$B$1:$G$1,0)),0)</f>
        <v>0</v>
      </c>
      <c r="J72" s="1" t="n">
        <f aca="false">IF(C72&lt;&gt;"",IFERROR(INDEX(RoleMatrix!$B$2:$G$7,MATCH(C72,RoleMatrix!$A$2:$A$7,0),MATCH($B$1,RoleMatrix!$B$1:$G$1,0)),0),I72)</f>
        <v>0</v>
      </c>
      <c r="K72" s="1" t="n">
        <f aca="false">MAX(I72,J72)</f>
        <v>0</v>
      </c>
      <c r="L72" s="1" t="n">
        <f aca="false">((D72+E72)/2-$C$1)*$H$1</f>
        <v>5.5</v>
      </c>
      <c r="M72" s="1" t="n">
        <f aca="false">F72-$D$1</f>
        <v>90</v>
      </c>
      <c r="N72" s="1" t="n">
        <f aca="false">IF(M72&gt;20,M72*$I$1,0)</f>
        <v>27</v>
      </c>
      <c r="O72" s="1" t="n">
        <f aca="false">IF(G72="Mixed",5,IF(G72=$E$1,-2,3))</f>
        <v>3</v>
      </c>
      <c r="P72" s="1" t="n">
        <f aca="false">(H72-$F$1)*3</f>
        <v>9</v>
      </c>
      <c r="Q72" s="1" t="n">
        <f aca="false">K72*$G$1+L72+N72+O72+P72</f>
        <v>44.5</v>
      </c>
      <c r="R72" s="1" t="n">
        <f aca="false">IFERROR(INDEX(ManualOverrides!$C$2:$C$1000,MATCH(A72&amp;"|"&amp;$A$1,ManualOverrides!$E$2:$E$1000,0)),Q72)</f>
        <v>44.5</v>
      </c>
      <c r="S72" s="1" t="n">
        <f aca="false">IF(OR($A$1="",A72=$A$1),-1000000000000000,R72)</f>
        <v>-1000000000000000</v>
      </c>
      <c r="T72" s="1" t="n">
        <f aca="false">S72+ROW()*0.0000001</f>
        <v>-1000000000000000</v>
      </c>
      <c r="U72" s="1" t="str">
        <f aca="false">Heroes!$M72</f>
        <v>Mid Lane</v>
      </c>
      <c r="V72" s="1" t="n">
        <f aca="false">IF(OR($A$1="",A72=$A$1,U72="",U72&lt;&gt;$J$1),-1000000000000000,R72)+ROW()*0.0000001</f>
        <v>-1000000000000000</v>
      </c>
    </row>
    <row r="73" customFormat="false" ht="15" hidden="false" customHeight="true" outlineLevel="0" collapsed="false">
      <c r="A73" s="1" t="str">
        <f aca="false">Heroes!$B73</f>
        <v>Thamuz</v>
      </c>
      <c r="B73" s="1" t="str">
        <f aca="false">Heroes!$C73</f>
        <v>Fighter</v>
      </c>
      <c r="C73" s="1" t="n">
        <f aca="false">Heroes!$D73</f>
        <v>0</v>
      </c>
      <c r="D73" s="1" t="n">
        <f aca="false">Heroes!$E73</f>
        <v>40</v>
      </c>
      <c r="E73" s="1" t="n">
        <f aca="false">Heroes!$F73</f>
        <v>20</v>
      </c>
      <c r="F73" s="1" t="n">
        <f aca="false">Heroes!$H73</f>
        <v>40</v>
      </c>
      <c r="G73" s="1" t="str">
        <f aca="false">Heroes!$K73</f>
        <v>Physical</v>
      </c>
      <c r="H73" s="1" t="n">
        <f aca="false">Heroes!$Q73</f>
        <v>3</v>
      </c>
      <c r="I73" s="1" t="n">
        <f aca="false">IFERROR(INDEX(RoleMatrix!$B$2:$G$7,MATCH(B73,RoleMatrix!$A$2:$A$7,0),MATCH($B$1,RoleMatrix!$B$1:$G$1,0)),0)</f>
        <v>0</v>
      </c>
      <c r="J73" s="1" t="n">
        <f aca="false">IF(C73&lt;&gt;"",IFERROR(INDEX(RoleMatrix!$B$2:$G$7,MATCH(C73,RoleMatrix!$A$2:$A$7,0),MATCH($B$1,RoleMatrix!$B$1:$G$1,0)),0),I73)</f>
        <v>0</v>
      </c>
      <c r="K73" s="1" t="n">
        <f aca="false">MAX(I73,J73)</f>
        <v>0</v>
      </c>
      <c r="L73" s="1" t="n">
        <f aca="false">((D73+E73)/2-$C$1)*$H$1</f>
        <v>3</v>
      </c>
      <c r="M73" s="1" t="n">
        <f aca="false">F73-$D$1</f>
        <v>40</v>
      </c>
      <c r="N73" s="1" t="n">
        <f aca="false">IF(M73&gt;20,M73*$I$1,0)</f>
        <v>12</v>
      </c>
      <c r="O73" s="1" t="n">
        <f aca="false">IF(G73="Mixed",5,IF(G73=$E$1,-2,3))</f>
        <v>3</v>
      </c>
      <c r="P73" s="1" t="n">
        <f aca="false">(H73-$F$1)*3</f>
        <v>9</v>
      </c>
      <c r="Q73" s="1" t="n">
        <f aca="false">K73*$G$1+L73+N73+O73+P73</f>
        <v>27</v>
      </c>
      <c r="R73" s="1" t="n">
        <f aca="false">IFERROR(INDEX(ManualOverrides!$C$2:$C$1000,MATCH(A73&amp;"|"&amp;$A$1,ManualOverrides!$E$2:$E$1000,0)),Q73)</f>
        <v>27</v>
      </c>
      <c r="S73" s="1" t="n">
        <f aca="false">IF(OR($A$1="",A73=$A$1),-1000000000000000,R73)</f>
        <v>-1000000000000000</v>
      </c>
      <c r="T73" s="1" t="n">
        <f aca="false">S73+ROW()*0.0000001</f>
        <v>-1000000000000000</v>
      </c>
      <c r="U73" s="1" t="str">
        <f aca="false">Heroes!$M73</f>
        <v>EXP Lane</v>
      </c>
      <c r="V73" s="1" t="n">
        <f aca="false">IF(OR($A$1="",A73=$A$1,U73="",U73&lt;&gt;$J$1),-1000000000000000,R73)+ROW()*0.0000001</f>
        <v>-1000000000000000</v>
      </c>
    </row>
    <row r="74" customFormat="false" ht="15" hidden="false" customHeight="true" outlineLevel="0" collapsed="false">
      <c r="A74" s="1" t="str">
        <f aca="false">Heroes!$B74</f>
        <v>Harith</v>
      </c>
      <c r="B74" s="1" t="str">
        <f aca="false">Heroes!$C74</f>
        <v>Mage</v>
      </c>
      <c r="C74" s="1" t="n">
        <f aca="false">Heroes!$D74</f>
        <v>0</v>
      </c>
      <c r="D74" s="1" t="n">
        <f aca="false">Heroes!$E74</f>
        <v>50</v>
      </c>
      <c r="E74" s="1" t="n">
        <f aca="false">Heroes!$F74</f>
        <v>10</v>
      </c>
      <c r="F74" s="1" t="n">
        <f aca="false">Heroes!$H74</f>
        <v>50</v>
      </c>
      <c r="G74" s="1" t="str">
        <f aca="false">Heroes!$K74</f>
        <v>Magic</v>
      </c>
      <c r="H74" s="1" t="n">
        <f aca="false">Heroes!$Q74</f>
        <v>3</v>
      </c>
      <c r="I74" s="1" t="n">
        <f aca="false">IFERROR(INDEX(RoleMatrix!$B$2:$G$7,MATCH(B74,RoleMatrix!$A$2:$A$7,0),MATCH($B$1,RoleMatrix!$B$1:$G$1,0)),0)</f>
        <v>0</v>
      </c>
      <c r="J74" s="1" t="n">
        <f aca="false">IF(C74&lt;&gt;"",IFERROR(INDEX(RoleMatrix!$B$2:$G$7,MATCH(C74,RoleMatrix!$A$2:$A$7,0),MATCH($B$1,RoleMatrix!$B$1:$G$1,0)),0),I74)</f>
        <v>0</v>
      </c>
      <c r="K74" s="1" t="n">
        <f aca="false">MAX(I74,J74)</f>
        <v>0</v>
      </c>
      <c r="L74" s="1" t="n">
        <f aca="false">((D74+E74)/2-$C$1)*$H$1</f>
        <v>3</v>
      </c>
      <c r="M74" s="1" t="n">
        <f aca="false">F74-$D$1</f>
        <v>50</v>
      </c>
      <c r="N74" s="1" t="n">
        <f aca="false">IF(M74&gt;20,M74*$I$1,0)</f>
        <v>15</v>
      </c>
      <c r="O74" s="1" t="n">
        <f aca="false">IF(G74="Mixed",5,IF(G74=$E$1,-2,3))</f>
        <v>3</v>
      </c>
      <c r="P74" s="1" t="n">
        <f aca="false">(H74-$F$1)*3</f>
        <v>9</v>
      </c>
      <c r="Q74" s="1" t="n">
        <f aca="false">K74*$G$1+L74+N74+O74+P74</f>
        <v>30</v>
      </c>
      <c r="R74" s="1" t="n">
        <f aca="false">IFERROR(INDEX(ManualOverrides!$C$2:$C$1000,MATCH(A74&amp;"|"&amp;$A$1,ManualOverrides!$E$2:$E$1000,0)),Q74)</f>
        <v>30</v>
      </c>
      <c r="S74" s="1" t="n">
        <f aca="false">IF(OR($A$1="",A74=$A$1),-1000000000000000,R74)</f>
        <v>-1000000000000000</v>
      </c>
      <c r="T74" s="1" t="n">
        <f aca="false">S74+ROW()*0.0000001</f>
        <v>-1000000000000000</v>
      </c>
      <c r="U74" s="1" t="str">
        <f aca="false">Heroes!$M74</f>
        <v>Gold Lane</v>
      </c>
      <c r="V74" s="1" t="n">
        <f aca="false">IF(OR($A$1="",A74=$A$1,U74="",U74&lt;&gt;$J$1),-1000000000000000,R74)+ROW()*0.0000001</f>
        <v>-1000000000000000</v>
      </c>
    </row>
    <row r="75" customFormat="false" ht="15" hidden="false" customHeight="true" outlineLevel="0" collapsed="false">
      <c r="A75" s="1" t="str">
        <f aca="false">Heroes!$B75</f>
        <v>Minsitthar</v>
      </c>
      <c r="B75" s="1" t="str">
        <f aca="false">Heroes!$C75</f>
        <v>Fighter</v>
      </c>
      <c r="C75" s="1" t="n">
        <f aca="false">Heroes!$D75</f>
        <v>0</v>
      </c>
      <c r="D75" s="1" t="n">
        <f aca="false">Heroes!$E75</f>
        <v>40</v>
      </c>
      <c r="E75" s="1" t="n">
        <f aca="false">Heroes!$F75</f>
        <v>80</v>
      </c>
      <c r="F75" s="1" t="n">
        <f aca="false">Heroes!$H75</f>
        <v>40</v>
      </c>
      <c r="G75" s="1" t="str">
        <f aca="false">Heroes!$K75</f>
        <v>Physical</v>
      </c>
      <c r="H75" s="1" t="n">
        <f aca="false">Heroes!$Q75</f>
        <v>3</v>
      </c>
      <c r="I75" s="1" t="n">
        <f aca="false">IFERROR(INDEX(RoleMatrix!$B$2:$G$7,MATCH(B75,RoleMatrix!$A$2:$A$7,0),MATCH($B$1,RoleMatrix!$B$1:$G$1,0)),0)</f>
        <v>0</v>
      </c>
      <c r="J75" s="1" t="n">
        <f aca="false">IF(C75&lt;&gt;"",IFERROR(INDEX(RoleMatrix!$B$2:$G$7,MATCH(C75,RoleMatrix!$A$2:$A$7,0),MATCH($B$1,RoleMatrix!$B$1:$G$1,0)),0),I75)</f>
        <v>0</v>
      </c>
      <c r="K75" s="1" t="n">
        <f aca="false">MAX(I75,J75)</f>
        <v>0</v>
      </c>
      <c r="L75" s="1" t="n">
        <f aca="false">((D75+E75)/2-$C$1)*$H$1</f>
        <v>6</v>
      </c>
      <c r="M75" s="1" t="n">
        <f aca="false">F75-$D$1</f>
        <v>40</v>
      </c>
      <c r="N75" s="1" t="n">
        <f aca="false">IF(M75&gt;20,M75*$I$1,0)</f>
        <v>12</v>
      </c>
      <c r="O75" s="1" t="n">
        <f aca="false">IF(G75="Mixed",5,IF(G75=$E$1,-2,3))</f>
        <v>3</v>
      </c>
      <c r="P75" s="1" t="n">
        <f aca="false">(H75-$F$1)*3</f>
        <v>9</v>
      </c>
      <c r="Q75" s="1" t="n">
        <f aca="false">K75*$G$1+L75+N75+O75+P75</f>
        <v>30</v>
      </c>
      <c r="R75" s="1" t="n">
        <f aca="false">IFERROR(INDEX(ManualOverrides!$C$2:$C$1000,MATCH(A75&amp;"|"&amp;$A$1,ManualOverrides!$E$2:$E$1000,0)),Q75)</f>
        <v>30</v>
      </c>
      <c r="S75" s="1" t="n">
        <f aca="false">IF(OR($A$1="",A75=$A$1),-1000000000000000,R75)</f>
        <v>-1000000000000000</v>
      </c>
      <c r="T75" s="1" t="n">
        <f aca="false">S75+ROW()*0.0000001</f>
        <v>-1000000000000000</v>
      </c>
      <c r="U75" s="1" t="str">
        <f aca="false">Heroes!$M75</f>
        <v>EXP Lane</v>
      </c>
      <c r="V75" s="1" t="n">
        <f aca="false">IF(OR($A$1="",A75=$A$1,U75="",U75&lt;&gt;$J$1),-1000000000000000,R75)+ROW()*0.0000001</f>
        <v>-1000000000000000</v>
      </c>
    </row>
    <row r="76" customFormat="false" ht="15" hidden="false" customHeight="true" outlineLevel="0" collapsed="false">
      <c r="A76" s="1" t="str">
        <f aca="false">Heroes!$B76</f>
        <v>Kadita</v>
      </c>
      <c r="B76" s="1" t="str">
        <f aca="false">Heroes!$C76</f>
        <v>Mage</v>
      </c>
      <c r="C76" s="1" t="str">
        <f aca="false">Heroes!$D76</f>
        <v>Assassin</v>
      </c>
      <c r="D76" s="1" t="n">
        <f aca="false">Heroes!$E76</f>
        <v>80</v>
      </c>
      <c r="E76" s="1" t="n">
        <f aca="false">Heroes!$F76</f>
        <v>80</v>
      </c>
      <c r="F76" s="1" t="n">
        <f aca="false">Heroes!$H76</f>
        <v>60</v>
      </c>
      <c r="G76" s="1" t="str">
        <f aca="false">Heroes!$K76</f>
        <v>Magic</v>
      </c>
      <c r="H76" s="1" t="n">
        <f aca="false">Heroes!$Q76</f>
        <v>2</v>
      </c>
      <c r="I76" s="1" t="n">
        <f aca="false">IFERROR(INDEX(RoleMatrix!$B$2:$G$7,MATCH(B76,RoleMatrix!$A$2:$A$7,0),MATCH($B$1,RoleMatrix!$B$1:$G$1,0)),0)</f>
        <v>0</v>
      </c>
      <c r="J76" s="1" t="n">
        <f aca="false">IF(C76&lt;&gt;"",IFERROR(INDEX(RoleMatrix!$B$2:$G$7,MATCH(C76,RoleMatrix!$A$2:$A$7,0),MATCH($B$1,RoleMatrix!$B$1:$G$1,0)),0),I76)</f>
        <v>0</v>
      </c>
      <c r="K76" s="1" t="n">
        <f aca="false">MAX(I76,J76)</f>
        <v>0</v>
      </c>
      <c r="L76" s="1" t="n">
        <f aca="false">((D76+E76)/2-$C$1)*$H$1</f>
        <v>8</v>
      </c>
      <c r="M76" s="1" t="n">
        <f aca="false">F76-$D$1</f>
        <v>60</v>
      </c>
      <c r="N76" s="1" t="n">
        <f aca="false">IF(M76&gt;20,M76*$I$1,0)</f>
        <v>18</v>
      </c>
      <c r="O76" s="1" t="n">
        <f aca="false">IF(G76="Mixed",5,IF(G76=$E$1,-2,3))</f>
        <v>3</v>
      </c>
      <c r="P76" s="1" t="n">
        <f aca="false">(H76-$F$1)*3</f>
        <v>6</v>
      </c>
      <c r="Q76" s="1" t="n">
        <f aca="false">K76*$G$1+L76+N76+O76+P76</f>
        <v>35</v>
      </c>
      <c r="R76" s="1" t="n">
        <f aca="false">IFERROR(INDEX(ManualOverrides!$C$2:$C$1000,MATCH(A76&amp;"|"&amp;$A$1,ManualOverrides!$E$2:$E$1000,0)),Q76)</f>
        <v>35</v>
      </c>
      <c r="S76" s="1" t="n">
        <f aca="false">IF(OR($A$1="",A76=$A$1),-1000000000000000,R76)</f>
        <v>-1000000000000000</v>
      </c>
      <c r="T76" s="1" t="n">
        <f aca="false">S76+ROW()*0.0000001</f>
        <v>-1000000000000000</v>
      </c>
      <c r="U76" s="1" t="str">
        <f aca="false">Heroes!$M76</f>
        <v>Mid Lane</v>
      </c>
      <c r="V76" s="1" t="n">
        <f aca="false">IF(OR($A$1="",A76=$A$1,U76="",U76&lt;&gt;$J$1),-1000000000000000,R76)+ROW()*0.0000001</f>
        <v>-1000000000000000</v>
      </c>
    </row>
    <row r="77" customFormat="false" ht="15" hidden="false" customHeight="true" outlineLevel="0" collapsed="false">
      <c r="A77" s="1" t="str">
        <f aca="false">Heroes!$B77</f>
        <v>Faramis</v>
      </c>
      <c r="B77" s="1" t="str">
        <f aca="false">Heroes!$C77</f>
        <v>Support</v>
      </c>
      <c r="C77" s="1" t="str">
        <f aca="false">Heroes!$D77</f>
        <v>Mage</v>
      </c>
      <c r="D77" s="1" t="n">
        <f aca="false">Heroes!$E77</f>
        <v>60</v>
      </c>
      <c r="E77" s="1" t="n">
        <f aca="false">Heroes!$F77</f>
        <v>10</v>
      </c>
      <c r="F77" s="1" t="n">
        <f aca="false">Heroes!$H77</f>
        <v>40</v>
      </c>
      <c r="G77" s="1" t="str">
        <f aca="false">Heroes!$K77</f>
        <v>Magic</v>
      </c>
      <c r="H77" s="1" t="n">
        <f aca="false">Heroes!$Q77</f>
        <v>5</v>
      </c>
      <c r="I77" s="1" t="n">
        <f aca="false">IFERROR(INDEX(RoleMatrix!$B$2:$G$7,MATCH(B77,RoleMatrix!$A$2:$A$7,0),MATCH($B$1,RoleMatrix!$B$1:$G$1,0)),0)</f>
        <v>0</v>
      </c>
      <c r="J77" s="1" t="n">
        <f aca="false">IF(C77&lt;&gt;"",IFERROR(INDEX(RoleMatrix!$B$2:$G$7,MATCH(C77,RoleMatrix!$A$2:$A$7,0),MATCH($B$1,RoleMatrix!$B$1:$G$1,0)),0),I77)</f>
        <v>0</v>
      </c>
      <c r="K77" s="1" t="n">
        <f aca="false">MAX(I77,J77)</f>
        <v>0</v>
      </c>
      <c r="L77" s="1" t="n">
        <f aca="false">((D77+E77)/2-$C$1)*$H$1</f>
        <v>3.5</v>
      </c>
      <c r="M77" s="1" t="n">
        <f aca="false">F77-$D$1</f>
        <v>40</v>
      </c>
      <c r="N77" s="1" t="n">
        <f aca="false">IF(M77&gt;20,M77*$I$1,0)</f>
        <v>12</v>
      </c>
      <c r="O77" s="1" t="n">
        <f aca="false">IF(G77="Mixed",5,IF(G77=$E$1,-2,3))</f>
        <v>3</v>
      </c>
      <c r="P77" s="1" t="n">
        <f aca="false">(H77-$F$1)*3</f>
        <v>15</v>
      </c>
      <c r="Q77" s="1" t="n">
        <f aca="false">K77*$G$1+L77+N77+O77+P77</f>
        <v>33.5</v>
      </c>
      <c r="R77" s="1" t="n">
        <f aca="false">IFERROR(INDEX(ManualOverrides!$C$2:$C$1000,MATCH(A77&amp;"|"&amp;$A$1,ManualOverrides!$E$2:$E$1000,0)),Q77)</f>
        <v>33.5</v>
      </c>
      <c r="S77" s="1" t="n">
        <f aca="false">IF(OR($A$1="",A77=$A$1),-1000000000000000,R77)</f>
        <v>-1000000000000000</v>
      </c>
      <c r="T77" s="1" t="n">
        <f aca="false">S77+ROW()*0.0000001</f>
        <v>-1000000000000000</v>
      </c>
      <c r="U77" s="1" t="str">
        <f aca="false">Heroes!$M77</f>
        <v>Mid Lane</v>
      </c>
      <c r="V77" s="1" t="n">
        <f aca="false">IF(OR($A$1="",A77=$A$1,U77="",U77&lt;&gt;$J$1),-1000000000000000,R77)+ROW()*0.0000001</f>
        <v>-1000000000000000</v>
      </c>
    </row>
    <row r="78" customFormat="false" ht="15" hidden="false" customHeight="true" outlineLevel="0" collapsed="false">
      <c r="A78" s="1" t="str">
        <f aca="false">Heroes!$B78</f>
        <v>Badang</v>
      </c>
      <c r="B78" s="1" t="str">
        <f aca="false">Heroes!$C78</f>
        <v>Fighter</v>
      </c>
      <c r="C78" s="1" t="n">
        <f aca="false">Heroes!$D78</f>
        <v>0</v>
      </c>
      <c r="D78" s="1" t="n">
        <f aca="false">Heroes!$E78</f>
        <v>70</v>
      </c>
      <c r="E78" s="1" t="n">
        <f aca="false">Heroes!$F78</f>
        <v>50</v>
      </c>
      <c r="F78" s="1" t="n">
        <f aca="false">Heroes!$H78</f>
        <v>10</v>
      </c>
      <c r="G78" s="1" t="str">
        <f aca="false">Heroes!$K78</f>
        <v>Physical</v>
      </c>
      <c r="H78" s="1" t="n">
        <f aca="false">Heroes!$Q78</f>
        <v>2</v>
      </c>
      <c r="I78" s="1" t="n">
        <f aca="false">IFERROR(INDEX(RoleMatrix!$B$2:$G$7,MATCH(B78,RoleMatrix!$A$2:$A$7,0),MATCH($B$1,RoleMatrix!$B$1:$G$1,0)),0)</f>
        <v>0</v>
      </c>
      <c r="J78" s="1" t="n">
        <f aca="false">IF(C78&lt;&gt;"",IFERROR(INDEX(RoleMatrix!$B$2:$G$7,MATCH(C78,RoleMatrix!$A$2:$A$7,0),MATCH($B$1,RoleMatrix!$B$1:$G$1,0)),0),I78)</f>
        <v>0</v>
      </c>
      <c r="K78" s="1" t="n">
        <f aca="false">MAX(I78,J78)</f>
        <v>0</v>
      </c>
      <c r="L78" s="1" t="n">
        <f aca="false">((D78+E78)/2-$C$1)*$H$1</f>
        <v>6</v>
      </c>
      <c r="M78" s="1" t="n">
        <f aca="false">F78-$D$1</f>
        <v>10</v>
      </c>
      <c r="N78" s="1" t="n">
        <f aca="false">IF(M78&gt;20,M78*$I$1,0)</f>
        <v>0</v>
      </c>
      <c r="O78" s="1" t="n">
        <f aca="false">IF(G78="Mixed",5,IF(G78=$E$1,-2,3))</f>
        <v>3</v>
      </c>
      <c r="P78" s="1" t="n">
        <f aca="false">(H78-$F$1)*3</f>
        <v>6</v>
      </c>
      <c r="Q78" s="1" t="n">
        <f aca="false">K78*$G$1+L78+N78+O78+P78</f>
        <v>15</v>
      </c>
      <c r="R78" s="1" t="n">
        <f aca="false">IFERROR(INDEX(ManualOverrides!$C$2:$C$1000,MATCH(A78&amp;"|"&amp;$A$1,ManualOverrides!$E$2:$E$1000,0)),Q78)</f>
        <v>15</v>
      </c>
      <c r="S78" s="1" t="n">
        <f aca="false">IF(OR($A$1="",A78=$A$1),-1000000000000000,R78)</f>
        <v>-1000000000000000</v>
      </c>
      <c r="T78" s="1" t="n">
        <f aca="false">S78+ROW()*0.0000001</f>
        <v>-1000000000000000</v>
      </c>
      <c r="U78" s="1" t="str">
        <f aca="false">Heroes!$M78</f>
        <v>Roaming</v>
      </c>
      <c r="V78" s="1" t="n">
        <f aca="false">IF(OR($A$1="",A78=$A$1,U78="",U78&lt;&gt;$J$1),-1000000000000000,R78)+ROW()*0.0000001</f>
        <v>-1000000000000000</v>
      </c>
    </row>
    <row r="79" customFormat="false" ht="15" hidden="false" customHeight="true" outlineLevel="0" collapsed="false">
      <c r="A79" s="1" t="str">
        <f aca="false">Heroes!$B79</f>
        <v>Khufra</v>
      </c>
      <c r="B79" s="1" t="str">
        <f aca="false">Heroes!$C79</f>
        <v>Tank</v>
      </c>
      <c r="C79" s="1" t="n">
        <f aca="false">Heroes!$D79</f>
        <v>0</v>
      </c>
      <c r="D79" s="1" t="n">
        <f aca="false">Heroes!$E79</f>
        <v>20</v>
      </c>
      <c r="E79" s="1" t="n">
        <f aca="false">Heroes!$F79</f>
        <v>100</v>
      </c>
      <c r="F79" s="1" t="n">
        <f aca="false">Heroes!$H79</f>
        <v>50</v>
      </c>
      <c r="G79" s="1" t="str">
        <f aca="false">Heroes!$K79</f>
        <v>Mixed</v>
      </c>
      <c r="H79" s="1" t="n">
        <f aca="false">Heroes!$Q79</f>
        <v>2</v>
      </c>
      <c r="I79" s="1" t="n">
        <f aca="false">IFERROR(INDEX(RoleMatrix!$B$2:$G$7,MATCH(B79,RoleMatrix!$A$2:$A$7,0),MATCH($B$1,RoleMatrix!$B$1:$G$1,0)),0)</f>
        <v>0</v>
      </c>
      <c r="J79" s="1" t="n">
        <f aca="false">IF(C79&lt;&gt;"",IFERROR(INDEX(RoleMatrix!$B$2:$G$7,MATCH(C79,RoleMatrix!$A$2:$A$7,0),MATCH($B$1,RoleMatrix!$B$1:$G$1,0)),0),I79)</f>
        <v>0</v>
      </c>
      <c r="K79" s="1" t="n">
        <f aca="false">MAX(I79,J79)</f>
        <v>0</v>
      </c>
      <c r="L79" s="1" t="n">
        <f aca="false">((D79+E79)/2-$C$1)*$H$1</f>
        <v>6</v>
      </c>
      <c r="M79" s="1" t="n">
        <f aca="false">F79-$D$1</f>
        <v>50</v>
      </c>
      <c r="N79" s="1" t="n">
        <f aca="false">IF(M79&gt;20,M79*$I$1,0)</f>
        <v>15</v>
      </c>
      <c r="O79" s="1" t="n">
        <f aca="false">IF(G79="Mixed",5,IF(G79=$E$1,-2,3))</f>
        <v>5</v>
      </c>
      <c r="P79" s="1" t="n">
        <f aca="false">(H79-$F$1)*3</f>
        <v>6</v>
      </c>
      <c r="Q79" s="1" t="n">
        <f aca="false">K79*$G$1+L79+N79+O79+P79</f>
        <v>32</v>
      </c>
      <c r="R79" s="1" t="n">
        <f aca="false">IFERROR(INDEX(ManualOverrides!$C$2:$C$1000,MATCH(A79&amp;"|"&amp;$A$1,ManualOverrides!$E$2:$E$1000,0)),Q79)</f>
        <v>32</v>
      </c>
      <c r="S79" s="1" t="n">
        <f aca="false">IF(OR($A$1="",A79=$A$1),-1000000000000000,R79)</f>
        <v>-1000000000000000</v>
      </c>
      <c r="T79" s="1" t="n">
        <f aca="false">S79+ROW()*0.0000001</f>
        <v>-1000000000000000</v>
      </c>
      <c r="U79" s="1" t="str">
        <f aca="false">Heroes!$M79</f>
        <v>Roaming</v>
      </c>
      <c r="V79" s="1" t="n">
        <f aca="false">IF(OR($A$1="",A79=$A$1,U79="",U79&lt;&gt;$J$1),-1000000000000000,R79)+ROW()*0.0000001</f>
        <v>-1000000000000000</v>
      </c>
    </row>
    <row r="80" customFormat="false" ht="15" hidden="false" customHeight="true" outlineLevel="0" collapsed="false">
      <c r="A80" s="1" t="str">
        <f aca="false">Heroes!$B80</f>
        <v>Granger</v>
      </c>
      <c r="B80" s="1" t="str">
        <f aca="false">Heroes!$C80</f>
        <v>Marksman</v>
      </c>
      <c r="C80" s="1" t="n">
        <f aca="false">Heroes!$D80</f>
        <v>0</v>
      </c>
      <c r="D80" s="1" t="n">
        <f aca="false">Heroes!$E80</f>
        <v>70</v>
      </c>
      <c r="E80" s="1" t="n">
        <f aca="false">Heroes!$F80</f>
        <v>10</v>
      </c>
      <c r="F80" s="1" t="n">
        <f aca="false">Heroes!$H80</f>
        <v>40</v>
      </c>
      <c r="G80" s="1" t="str">
        <f aca="false">Heroes!$K80</f>
        <v>Physical</v>
      </c>
      <c r="H80" s="1" t="n">
        <f aca="false">Heroes!$Q80</f>
        <v>4</v>
      </c>
      <c r="I80" s="1" t="n">
        <f aca="false">IFERROR(INDEX(RoleMatrix!$B$2:$G$7,MATCH(B80,RoleMatrix!$A$2:$A$7,0),MATCH($B$1,RoleMatrix!$B$1:$G$1,0)),0)</f>
        <v>0</v>
      </c>
      <c r="J80" s="1" t="n">
        <f aca="false">IF(C80&lt;&gt;"",IFERROR(INDEX(RoleMatrix!$B$2:$G$7,MATCH(C80,RoleMatrix!$A$2:$A$7,0),MATCH($B$1,RoleMatrix!$B$1:$G$1,0)),0),I80)</f>
        <v>0</v>
      </c>
      <c r="K80" s="1" t="n">
        <f aca="false">MAX(I80,J80)</f>
        <v>0</v>
      </c>
      <c r="L80" s="1" t="n">
        <f aca="false">((D80+E80)/2-$C$1)*$H$1</f>
        <v>4</v>
      </c>
      <c r="M80" s="1" t="n">
        <f aca="false">F80-$D$1</f>
        <v>40</v>
      </c>
      <c r="N80" s="1" t="n">
        <f aca="false">IF(M80&gt;20,M80*$I$1,0)</f>
        <v>12</v>
      </c>
      <c r="O80" s="1" t="n">
        <f aca="false">IF(G80="Mixed",5,IF(G80=$E$1,-2,3))</f>
        <v>3</v>
      </c>
      <c r="P80" s="1" t="n">
        <f aca="false">(H80-$F$1)*3</f>
        <v>12</v>
      </c>
      <c r="Q80" s="1" t="n">
        <f aca="false">K80*$G$1+L80+N80+O80+P80</f>
        <v>31</v>
      </c>
      <c r="R80" s="1" t="n">
        <f aca="false">IFERROR(INDEX(ManualOverrides!$C$2:$C$1000,MATCH(A80&amp;"|"&amp;$A$1,ManualOverrides!$E$2:$E$1000,0)),Q80)</f>
        <v>31</v>
      </c>
      <c r="S80" s="1" t="n">
        <f aca="false">IF(OR($A$1="",A80=$A$1),-1000000000000000,R80)</f>
        <v>-1000000000000000</v>
      </c>
      <c r="T80" s="1" t="n">
        <f aca="false">S80+ROW()*0.0000001</f>
        <v>-1000000000000000</v>
      </c>
      <c r="U80" s="1" t="str">
        <f aca="false">Heroes!$M80</f>
        <v>Gold Lane</v>
      </c>
      <c r="V80" s="1" t="n">
        <f aca="false">IF(OR($A$1="",A80=$A$1,U80="",U80&lt;&gt;$J$1),-1000000000000000,R80)+ROW()*0.0000001</f>
        <v>-1000000000000000</v>
      </c>
    </row>
    <row r="81" customFormat="false" ht="15" hidden="false" customHeight="true" outlineLevel="0" collapsed="false">
      <c r="A81" s="1" t="str">
        <f aca="false">Heroes!$B81</f>
        <v>Guinevere</v>
      </c>
      <c r="B81" s="1" t="str">
        <f aca="false">Heroes!$C81</f>
        <v>Fighter</v>
      </c>
      <c r="C81" s="1" t="n">
        <f aca="false">Heroes!$D81</f>
        <v>0</v>
      </c>
      <c r="D81" s="1" t="n">
        <f aca="false">Heroes!$E81</f>
        <v>50</v>
      </c>
      <c r="E81" s="1" t="n">
        <f aca="false">Heroes!$F81</f>
        <v>70</v>
      </c>
      <c r="F81" s="1" t="n">
        <f aca="false">Heroes!$H81</f>
        <v>40</v>
      </c>
      <c r="G81" s="1" t="str">
        <f aca="false">Heroes!$K81</f>
        <v>Magic</v>
      </c>
      <c r="H81" s="1" t="n">
        <f aca="false">Heroes!$Q81</f>
        <v>3</v>
      </c>
      <c r="I81" s="1" t="n">
        <f aca="false">IFERROR(INDEX(RoleMatrix!$B$2:$G$7,MATCH(B81,RoleMatrix!$A$2:$A$7,0),MATCH($B$1,RoleMatrix!$B$1:$G$1,0)),0)</f>
        <v>0</v>
      </c>
      <c r="J81" s="1" t="n">
        <f aca="false">IF(C81&lt;&gt;"",IFERROR(INDEX(RoleMatrix!$B$2:$G$7,MATCH(C81,RoleMatrix!$A$2:$A$7,0),MATCH($B$1,RoleMatrix!$B$1:$G$1,0)),0),I81)</f>
        <v>0</v>
      </c>
      <c r="K81" s="1" t="n">
        <f aca="false">MAX(I81,J81)</f>
        <v>0</v>
      </c>
      <c r="L81" s="1" t="n">
        <f aca="false">((D81+E81)/2-$C$1)*$H$1</f>
        <v>6</v>
      </c>
      <c r="M81" s="1" t="n">
        <f aca="false">F81-$D$1</f>
        <v>40</v>
      </c>
      <c r="N81" s="1" t="n">
        <f aca="false">IF(M81&gt;20,M81*$I$1,0)</f>
        <v>12</v>
      </c>
      <c r="O81" s="1" t="n">
        <f aca="false">IF(G81="Mixed",5,IF(G81=$E$1,-2,3))</f>
        <v>3</v>
      </c>
      <c r="P81" s="1" t="n">
        <f aca="false">(H81-$F$1)*3</f>
        <v>9</v>
      </c>
      <c r="Q81" s="1" t="n">
        <f aca="false">K81*$G$1+L81+N81+O81+P81</f>
        <v>30</v>
      </c>
      <c r="R81" s="1" t="n">
        <f aca="false">IFERROR(INDEX(ManualOverrides!$C$2:$C$1000,MATCH(A81&amp;"|"&amp;$A$1,ManualOverrides!$E$2:$E$1000,0)),Q81)</f>
        <v>30</v>
      </c>
      <c r="S81" s="1" t="n">
        <f aca="false">IF(OR($A$1="",A81=$A$1),-1000000000000000,R81)</f>
        <v>-1000000000000000</v>
      </c>
      <c r="T81" s="1" t="n">
        <f aca="false">S81+ROW()*0.0000001</f>
        <v>-1000000000000000</v>
      </c>
      <c r="U81" s="1" t="str">
        <f aca="false">Heroes!$M81</f>
        <v>EXP Lane</v>
      </c>
      <c r="V81" s="1" t="n">
        <f aca="false">IF(OR($A$1="",A81=$A$1,U81="",U81&lt;&gt;$J$1),-1000000000000000,R81)+ROW()*0.0000001</f>
        <v>-1000000000000000</v>
      </c>
    </row>
    <row r="82" customFormat="false" ht="15" hidden="false" customHeight="true" outlineLevel="0" collapsed="false">
      <c r="A82" s="1" t="str">
        <f aca="false">Heroes!$B82</f>
        <v>Esmeralda</v>
      </c>
      <c r="B82" s="1" t="str">
        <f aca="false">Heroes!$C82</f>
        <v>Mage</v>
      </c>
      <c r="C82" s="1" t="n">
        <f aca="false">Heroes!$D82</f>
        <v>0</v>
      </c>
      <c r="D82" s="1" t="n">
        <f aca="false">Heroes!$E82</f>
        <v>30</v>
      </c>
      <c r="E82" s="1" t="n">
        <f aca="false">Heroes!$F82</f>
        <v>60</v>
      </c>
      <c r="F82" s="1" t="n">
        <f aca="false">Heroes!$H82</f>
        <v>60</v>
      </c>
      <c r="G82" s="1" t="str">
        <f aca="false">Heroes!$K82</f>
        <v>Mixed</v>
      </c>
      <c r="H82" s="1" t="n">
        <f aca="false">Heroes!$Q82</f>
        <v>3</v>
      </c>
      <c r="I82" s="1" t="n">
        <f aca="false">IFERROR(INDEX(RoleMatrix!$B$2:$G$7,MATCH(B82,RoleMatrix!$A$2:$A$7,0),MATCH($B$1,RoleMatrix!$B$1:$G$1,0)),0)</f>
        <v>0</v>
      </c>
      <c r="J82" s="1" t="n">
        <f aca="false">IF(C82&lt;&gt;"",IFERROR(INDEX(RoleMatrix!$B$2:$G$7,MATCH(C82,RoleMatrix!$A$2:$A$7,0),MATCH($B$1,RoleMatrix!$B$1:$G$1,0)),0),I82)</f>
        <v>0</v>
      </c>
      <c r="K82" s="1" t="n">
        <f aca="false">MAX(I82,J82)</f>
        <v>0</v>
      </c>
      <c r="L82" s="1" t="n">
        <f aca="false">((D82+E82)/2-$C$1)*$H$1</f>
        <v>4.5</v>
      </c>
      <c r="M82" s="1" t="n">
        <f aca="false">F82-$D$1</f>
        <v>60</v>
      </c>
      <c r="N82" s="1" t="n">
        <f aca="false">IF(M82&gt;20,M82*$I$1,0)</f>
        <v>18</v>
      </c>
      <c r="O82" s="1" t="n">
        <f aca="false">IF(G82="Mixed",5,IF(G82=$E$1,-2,3))</f>
        <v>5</v>
      </c>
      <c r="P82" s="1" t="n">
        <f aca="false">(H82-$F$1)*3</f>
        <v>9</v>
      </c>
      <c r="Q82" s="1" t="n">
        <f aca="false">K82*$G$1+L82+N82+O82+P82</f>
        <v>36.5</v>
      </c>
      <c r="R82" s="1" t="n">
        <f aca="false">IFERROR(INDEX(ManualOverrides!$C$2:$C$1000,MATCH(A82&amp;"|"&amp;$A$1,ManualOverrides!$E$2:$E$1000,0)),Q82)</f>
        <v>36.5</v>
      </c>
      <c r="S82" s="1" t="n">
        <f aca="false">IF(OR($A$1="",A82=$A$1),-1000000000000000,R82)</f>
        <v>-1000000000000000</v>
      </c>
      <c r="T82" s="1" t="n">
        <f aca="false">S82+ROW()*0.0000001</f>
        <v>-1000000000000000</v>
      </c>
      <c r="U82" s="1" t="str">
        <f aca="false">Heroes!$M82</f>
        <v>EXP Lane</v>
      </c>
      <c r="V82" s="1" t="n">
        <f aca="false">IF(OR($A$1="",A82=$A$1,U82="",U82&lt;&gt;$J$1),-1000000000000000,R82)+ROW()*0.0000001</f>
        <v>-1000000000000000</v>
      </c>
    </row>
    <row r="83" customFormat="false" ht="15" hidden="false" customHeight="true" outlineLevel="0" collapsed="false">
      <c r="A83" s="1" t="str">
        <f aca="false">Heroes!$B83</f>
        <v>Terizla</v>
      </c>
      <c r="B83" s="1" t="str">
        <f aca="false">Heroes!$C83</f>
        <v>Fighter</v>
      </c>
      <c r="C83" s="1" t="str">
        <f aca="false">Heroes!$D83</f>
        <v>Tank</v>
      </c>
      <c r="D83" s="1" t="n">
        <f aca="false">Heroes!$E83</f>
        <v>30</v>
      </c>
      <c r="E83" s="1" t="n">
        <f aca="false">Heroes!$F83</f>
        <v>40</v>
      </c>
      <c r="F83" s="1" t="n">
        <f aca="false">Heroes!$H83</f>
        <v>20</v>
      </c>
      <c r="G83" s="1" t="str">
        <f aca="false">Heroes!$K83</f>
        <v>Physical</v>
      </c>
      <c r="H83" s="1" t="n">
        <f aca="false">Heroes!$Q83</f>
        <v>3</v>
      </c>
      <c r="I83" s="1" t="n">
        <f aca="false">IFERROR(INDEX(RoleMatrix!$B$2:$G$7,MATCH(B83,RoleMatrix!$A$2:$A$7,0),MATCH($B$1,RoleMatrix!$B$1:$G$1,0)),0)</f>
        <v>0</v>
      </c>
      <c r="J83" s="1" t="n">
        <f aca="false">IF(C83&lt;&gt;"",IFERROR(INDEX(RoleMatrix!$B$2:$G$7,MATCH(C83,RoleMatrix!$A$2:$A$7,0),MATCH($B$1,RoleMatrix!$B$1:$G$1,0)),0),I83)</f>
        <v>0</v>
      </c>
      <c r="K83" s="1" t="n">
        <f aca="false">MAX(I83,J83)</f>
        <v>0</v>
      </c>
      <c r="L83" s="1" t="n">
        <f aca="false">((D83+E83)/2-$C$1)*$H$1</f>
        <v>3.5</v>
      </c>
      <c r="M83" s="1" t="n">
        <f aca="false">F83-$D$1</f>
        <v>20</v>
      </c>
      <c r="N83" s="1" t="n">
        <f aca="false">IF(M83&gt;20,M83*$I$1,0)</f>
        <v>0</v>
      </c>
      <c r="O83" s="1" t="n">
        <f aca="false">IF(G83="Mixed",5,IF(G83=$E$1,-2,3))</f>
        <v>3</v>
      </c>
      <c r="P83" s="1" t="n">
        <f aca="false">(H83-$F$1)*3</f>
        <v>9</v>
      </c>
      <c r="Q83" s="1" t="n">
        <f aca="false">K83*$G$1+L83+N83+O83+P83</f>
        <v>15.5</v>
      </c>
      <c r="R83" s="1" t="n">
        <f aca="false">IFERROR(INDEX(ManualOverrides!$C$2:$C$1000,MATCH(A83&amp;"|"&amp;$A$1,ManualOverrides!$E$2:$E$1000,0)),Q83)</f>
        <v>15.5</v>
      </c>
      <c r="S83" s="1" t="n">
        <f aca="false">IF(OR($A$1="",A83=$A$1),-1000000000000000,R83)</f>
        <v>-1000000000000000</v>
      </c>
      <c r="T83" s="1" t="n">
        <f aca="false">S83+ROW()*0.0000001</f>
        <v>-1000000000000000</v>
      </c>
      <c r="U83" s="1" t="str">
        <f aca="false">Heroes!$M83</f>
        <v>EXP Lane</v>
      </c>
      <c r="V83" s="1" t="n">
        <f aca="false">IF(OR($A$1="",A83=$A$1,U83="",U83&lt;&gt;$J$1),-1000000000000000,R83)+ROW()*0.0000001</f>
        <v>-1000000000000000</v>
      </c>
    </row>
    <row r="84" customFormat="false" ht="15" hidden="false" customHeight="true" outlineLevel="0" collapsed="false">
      <c r="A84" s="1" t="str">
        <f aca="false">Heroes!$B84</f>
        <v>X.Borg</v>
      </c>
      <c r="B84" s="1" t="str">
        <f aca="false">Heroes!$C84</f>
        <v>Fighter</v>
      </c>
      <c r="C84" s="1" t="n">
        <f aca="false">Heroes!$D84</f>
        <v>0</v>
      </c>
      <c r="D84" s="1" t="n">
        <f aca="false">Heroes!$E84</f>
        <v>30</v>
      </c>
      <c r="E84" s="1" t="n">
        <f aca="false">Heroes!$F84</f>
        <v>10</v>
      </c>
      <c r="F84" s="1" t="n">
        <f aca="false">Heroes!$H84</f>
        <v>40</v>
      </c>
      <c r="G84" s="1" t="str">
        <f aca="false">Heroes!$K84</f>
        <v>Physical</v>
      </c>
      <c r="H84" s="1" t="n">
        <f aca="false">Heroes!$Q84</f>
        <v>3</v>
      </c>
      <c r="I84" s="1" t="n">
        <f aca="false">IFERROR(INDEX(RoleMatrix!$B$2:$G$7,MATCH(B84,RoleMatrix!$A$2:$A$7,0),MATCH($B$1,RoleMatrix!$B$1:$G$1,0)),0)</f>
        <v>0</v>
      </c>
      <c r="J84" s="1" t="n">
        <f aca="false">IF(C84&lt;&gt;"",IFERROR(INDEX(RoleMatrix!$B$2:$G$7,MATCH(C84,RoleMatrix!$A$2:$A$7,0),MATCH($B$1,RoleMatrix!$B$1:$G$1,0)),0),I84)</f>
        <v>0</v>
      </c>
      <c r="K84" s="1" t="n">
        <f aca="false">MAX(I84,J84)</f>
        <v>0</v>
      </c>
      <c r="L84" s="1" t="n">
        <f aca="false">((D84+E84)/2-$C$1)*$H$1</f>
        <v>2</v>
      </c>
      <c r="M84" s="1" t="n">
        <f aca="false">F84-$D$1</f>
        <v>40</v>
      </c>
      <c r="N84" s="1" t="n">
        <f aca="false">IF(M84&gt;20,M84*$I$1,0)</f>
        <v>12</v>
      </c>
      <c r="O84" s="1" t="n">
        <f aca="false">IF(G84="Mixed",5,IF(G84=$E$1,-2,3))</f>
        <v>3</v>
      </c>
      <c r="P84" s="1" t="n">
        <f aca="false">(H84-$F$1)*3</f>
        <v>9</v>
      </c>
      <c r="Q84" s="1" t="n">
        <f aca="false">K84*$G$1+L84+N84+O84+P84</f>
        <v>26</v>
      </c>
      <c r="R84" s="1" t="n">
        <f aca="false">IFERROR(INDEX(ManualOverrides!$C$2:$C$1000,MATCH(A84&amp;"|"&amp;$A$1,ManualOverrides!$E$2:$E$1000,0)),Q84)</f>
        <v>26</v>
      </c>
      <c r="S84" s="1" t="n">
        <f aca="false">IF(OR($A$1="",A84=$A$1),-1000000000000000,R84)</f>
        <v>-1000000000000000</v>
      </c>
      <c r="T84" s="1" t="n">
        <f aca="false">S84+ROW()*0.0000001</f>
        <v>-1000000000000000</v>
      </c>
      <c r="U84" s="1" t="str">
        <f aca="false">Heroes!$M84</f>
        <v>EXP Lane</v>
      </c>
      <c r="V84" s="1" t="n">
        <f aca="false">IF(OR($A$1="",A84=$A$1,U84="",U84&lt;&gt;$J$1),-1000000000000000,R84)+ROW()*0.0000001</f>
        <v>-1000000000000000</v>
      </c>
    </row>
    <row r="85" customFormat="false" ht="15" hidden="false" customHeight="true" outlineLevel="0" collapsed="false">
      <c r="A85" s="1" t="str">
        <f aca="false">Heroes!$B85</f>
        <v>Ling</v>
      </c>
      <c r="B85" s="1" t="str">
        <f aca="false">Heroes!$C85</f>
        <v>Assassin</v>
      </c>
      <c r="C85" s="1" t="n">
        <f aca="false">Heroes!$D85</f>
        <v>0</v>
      </c>
      <c r="D85" s="1" t="n">
        <f aca="false">Heroes!$E85</f>
        <v>60</v>
      </c>
      <c r="E85" s="1" t="n">
        <f aca="false">Heroes!$F85</f>
        <v>30</v>
      </c>
      <c r="F85" s="1" t="n">
        <f aca="false">Heroes!$H85</f>
        <v>70</v>
      </c>
      <c r="G85" s="1" t="str">
        <f aca="false">Heroes!$K85</f>
        <v>Physical</v>
      </c>
      <c r="H85" s="1" t="n">
        <f aca="false">Heroes!$Q85</f>
        <v>2</v>
      </c>
      <c r="I85" s="1" t="n">
        <f aca="false">IFERROR(INDEX(RoleMatrix!$B$2:$G$7,MATCH(B85,RoleMatrix!$A$2:$A$7,0),MATCH($B$1,RoleMatrix!$B$1:$G$1,0)),0)</f>
        <v>0</v>
      </c>
      <c r="J85" s="1" t="n">
        <f aca="false">IF(C85&lt;&gt;"",IFERROR(INDEX(RoleMatrix!$B$2:$G$7,MATCH(C85,RoleMatrix!$A$2:$A$7,0),MATCH($B$1,RoleMatrix!$B$1:$G$1,0)),0),I85)</f>
        <v>0</v>
      </c>
      <c r="K85" s="1" t="n">
        <f aca="false">MAX(I85,J85)</f>
        <v>0</v>
      </c>
      <c r="L85" s="1" t="n">
        <f aca="false">((D85+E85)/2-$C$1)*$H$1</f>
        <v>4.5</v>
      </c>
      <c r="M85" s="1" t="n">
        <f aca="false">F85-$D$1</f>
        <v>70</v>
      </c>
      <c r="N85" s="1" t="n">
        <f aca="false">IF(M85&gt;20,M85*$I$1,0)</f>
        <v>21</v>
      </c>
      <c r="O85" s="1" t="n">
        <f aca="false">IF(G85="Mixed",5,IF(G85=$E$1,-2,3))</f>
        <v>3</v>
      </c>
      <c r="P85" s="1" t="n">
        <f aca="false">(H85-$F$1)*3</f>
        <v>6</v>
      </c>
      <c r="Q85" s="1" t="n">
        <f aca="false">K85*$G$1+L85+N85+O85+P85</f>
        <v>34.5</v>
      </c>
      <c r="R85" s="1" t="n">
        <f aca="false">IFERROR(INDEX(ManualOverrides!$C$2:$C$1000,MATCH(A85&amp;"|"&amp;$A$1,ManualOverrides!$E$2:$E$1000,0)),Q85)</f>
        <v>34.5</v>
      </c>
      <c r="S85" s="1" t="n">
        <f aca="false">IF(OR($A$1="",A85=$A$1),-1000000000000000,R85)</f>
        <v>-1000000000000000</v>
      </c>
      <c r="T85" s="1" t="n">
        <f aca="false">S85+ROW()*0.0000001</f>
        <v>-1000000000000000</v>
      </c>
      <c r="U85" s="1" t="str">
        <f aca="false">Heroes!$M85</f>
        <v>Jungle</v>
      </c>
      <c r="V85" s="1" t="n">
        <f aca="false">IF(OR($A$1="",A85=$A$1,U85="",U85&lt;&gt;$J$1),-1000000000000000,R85)+ROW()*0.0000001</f>
        <v>-1000000000000000</v>
      </c>
    </row>
    <row r="86" customFormat="false" ht="15" hidden="false" customHeight="true" outlineLevel="0" collapsed="false">
      <c r="A86" s="1" t="str">
        <f aca="false">Heroes!$B86</f>
        <v>Dyrroth</v>
      </c>
      <c r="B86" s="1" t="str">
        <f aca="false">Heroes!$C86</f>
        <v>Fighter</v>
      </c>
      <c r="C86" s="1" t="n">
        <f aca="false">Heroes!$D86</f>
        <v>0</v>
      </c>
      <c r="D86" s="1" t="n">
        <f aca="false">Heroes!$E86</f>
        <v>50</v>
      </c>
      <c r="E86" s="1" t="n">
        <f aca="false">Heroes!$F86</f>
        <v>20</v>
      </c>
      <c r="F86" s="1" t="n">
        <f aca="false">Heroes!$H86</f>
        <v>40</v>
      </c>
      <c r="G86" s="1" t="str">
        <f aca="false">Heroes!$K86</f>
        <v>Physical</v>
      </c>
      <c r="H86" s="1" t="n">
        <f aca="false">Heroes!$Q86</f>
        <v>3</v>
      </c>
      <c r="I86" s="1" t="n">
        <f aca="false">IFERROR(INDEX(RoleMatrix!$B$2:$G$7,MATCH(B86,RoleMatrix!$A$2:$A$7,0),MATCH($B$1,RoleMatrix!$B$1:$G$1,0)),0)</f>
        <v>0</v>
      </c>
      <c r="J86" s="1" t="n">
        <f aca="false">IF(C86&lt;&gt;"",IFERROR(INDEX(RoleMatrix!$B$2:$G$7,MATCH(C86,RoleMatrix!$A$2:$A$7,0),MATCH($B$1,RoleMatrix!$B$1:$G$1,0)),0),I86)</f>
        <v>0</v>
      </c>
      <c r="K86" s="1" t="n">
        <f aca="false">MAX(I86,J86)</f>
        <v>0</v>
      </c>
      <c r="L86" s="1" t="n">
        <f aca="false">((D86+E86)/2-$C$1)*$H$1</f>
        <v>3.5</v>
      </c>
      <c r="M86" s="1" t="n">
        <f aca="false">F86-$D$1</f>
        <v>40</v>
      </c>
      <c r="N86" s="1" t="n">
        <f aca="false">IF(M86&gt;20,M86*$I$1,0)</f>
        <v>12</v>
      </c>
      <c r="O86" s="1" t="n">
        <f aca="false">IF(G86="Mixed",5,IF(G86=$E$1,-2,3))</f>
        <v>3</v>
      </c>
      <c r="P86" s="1" t="n">
        <f aca="false">(H86-$F$1)*3</f>
        <v>9</v>
      </c>
      <c r="Q86" s="1" t="n">
        <f aca="false">K86*$G$1+L86+N86+O86+P86</f>
        <v>27.5</v>
      </c>
      <c r="R86" s="1" t="n">
        <f aca="false">IFERROR(INDEX(ManualOverrides!$C$2:$C$1000,MATCH(A86&amp;"|"&amp;$A$1,ManualOverrides!$E$2:$E$1000,0)),Q86)</f>
        <v>27.5</v>
      </c>
      <c r="S86" s="1" t="n">
        <f aca="false">IF(OR($A$1="",A86=$A$1),-1000000000000000,R86)</f>
        <v>-1000000000000000</v>
      </c>
      <c r="T86" s="1" t="n">
        <f aca="false">S86+ROW()*0.0000001</f>
        <v>-1000000000000000</v>
      </c>
      <c r="U86" s="1" t="str">
        <f aca="false">Heroes!$M86</f>
        <v>EXP Lane</v>
      </c>
      <c r="V86" s="1" t="n">
        <f aca="false">IF(OR($A$1="",A86=$A$1,U86="",U86&lt;&gt;$J$1),-1000000000000000,R86)+ROW()*0.0000001</f>
        <v>-1000000000000000</v>
      </c>
    </row>
    <row r="87" customFormat="false" ht="15" hidden="false" customHeight="true" outlineLevel="0" collapsed="false">
      <c r="A87" s="1" t="str">
        <f aca="false">Heroes!$B87</f>
        <v>Lylia</v>
      </c>
      <c r="B87" s="1" t="str">
        <f aca="false">Heroes!$C87</f>
        <v>Mage</v>
      </c>
      <c r="C87" s="1" t="n">
        <f aca="false">Heroes!$D87</f>
        <v>0</v>
      </c>
      <c r="D87" s="1" t="n">
        <f aca="false">Heroes!$E87</f>
        <v>100</v>
      </c>
      <c r="E87" s="1" t="n">
        <f aca="false">Heroes!$F87</f>
        <v>20</v>
      </c>
      <c r="F87" s="1" t="n">
        <f aca="false">Heroes!$H87</f>
        <v>50</v>
      </c>
      <c r="G87" s="1" t="str">
        <f aca="false">Heroes!$K87</f>
        <v>Magic</v>
      </c>
      <c r="H87" s="1" t="n">
        <f aca="false">Heroes!$Q87</f>
        <v>3</v>
      </c>
      <c r="I87" s="1" t="n">
        <f aca="false">IFERROR(INDEX(RoleMatrix!$B$2:$G$7,MATCH(B87,RoleMatrix!$A$2:$A$7,0),MATCH($B$1,RoleMatrix!$B$1:$G$1,0)),0)</f>
        <v>0</v>
      </c>
      <c r="J87" s="1" t="n">
        <f aca="false">IF(C87&lt;&gt;"",IFERROR(INDEX(RoleMatrix!$B$2:$G$7,MATCH(C87,RoleMatrix!$A$2:$A$7,0),MATCH($B$1,RoleMatrix!$B$1:$G$1,0)),0),I87)</f>
        <v>0</v>
      </c>
      <c r="K87" s="1" t="n">
        <f aca="false">MAX(I87,J87)</f>
        <v>0</v>
      </c>
      <c r="L87" s="1" t="n">
        <f aca="false">((D87+E87)/2-$C$1)*$H$1</f>
        <v>6</v>
      </c>
      <c r="M87" s="1" t="n">
        <f aca="false">F87-$D$1</f>
        <v>50</v>
      </c>
      <c r="N87" s="1" t="n">
        <f aca="false">IF(M87&gt;20,M87*$I$1,0)</f>
        <v>15</v>
      </c>
      <c r="O87" s="1" t="n">
        <f aca="false">IF(G87="Mixed",5,IF(G87=$E$1,-2,3))</f>
        <v>3</v>
      </c>
      <c r="P87" s="1" t="n">
        <f aca="false">(H87-$F$1)*3</f>
        <v>9</v>
      </c>
      <c r="Q87" s="1" t="n">
        <f aca="false">K87*$G$1+L87+N87+O87+P87</f>
        <v>33</v>
      </c>
      <c r="R87" s="1" t="n">
        <f aca="false">IFERROR(INDEX(ManualOverrides!$C$2:$C$1000,MATCH(A87&amp;"|"&amp;$A$1,ManualOverrides!$E$2:$E$1000,0)),Q87)</f>
        <v>33</v>
      </c>
      <c r="S87" s="1" t="n">
        <f aca="false">IF(OR($A$1="",A87=$A$1),-1000000000000000,R87)</f>
        <v>-1000000000000000</v>
      </c>
      <c r="T87" s="1" t="n">
        <f aca="false">S87+ROW()*0.0000001</f>
        <v>-1000000000000000</v>
      </c>
      <c r="U87" s="1" t="str">
        <f aca="false">Heroes!$M87</f>
        <v>Mid Lane</v>
      </c>
      <c r="V87" s="1" t="n">
        <f aca="false">IF(OR($A$1="",A87=$A$1,U87="",U87&lt;&gt;$J$1),-1000000000000000,R87)+ROW()*0.0000001</f>
        <v>-1000000000000000</v>
      </c>
    </row>
    <row r="88" customFormat="false" ht="15" hidden="false" customHeight="true" outlineLevel="0" collapsed="false">
      <c r="A88" s="1" t="str">
        <f aca="false">Heroes!$B88</f>
        <v>Baxia</v>
      </c>
      <c r="B88" s="1" t="str">
        <f aca="false">Heroes!$C88</f>
        <v>Tank</v>
      </c>
      <c r="C88" s="1" t="n">
        <f aca="false">Heroes!$D88</f>
        <v>0</v>
      </c>
      <c r="D88" s="1" t="n">
        <f aca="false">Heroes!$E88</f>
        <v>30</v>
      </c>
      <c r="E88" s="1" t="n">
        <f aca="false">Heroes!$F88</f>
        <v>60</v>
      </c>
      <c r="F88" s="1" t="n">
        <f aca="false">Heroes!$H88</f>
        <v>20</v>
      </c>
      <c r="G88" s="1" t="str">
        <f aca="false">Heroes!$K88</f>
        <v>Magic</v>
      </c>
      <c r="H88" s="1" t="n">
        <f aca="false">Heroes!$Q88</f>
        <v>3</v>
      </c>
      <c r="I88" s="1" t="n">
        <f aca="false">IFERROR(INDEX(RoleMatrix!$B$2:$G$7,MATCH(B88,RoleMatrix!$A$2:$A$7,0),MATCH($B$1,RoleMatrix!$B$1:$G$1,0)),0)</f>
        <v>0</v>
      </c>
      <c r="J88" s="1" t="n">
        <f aca="false">IF(C88&lt;&gt;"",IFERROR(INDEX(RoleMatrix!$B$2:$G$7,MATCH(C88,RoleMatrix!$A$2:$A$7,0),MATCH($B$1,RoleMatrix!$B$1:$G$1,0)),0),I88)</f>
        <v>0</v>
      </c>
      <c r="K88" s="1" t="n">
        <f aca="false">MAX(I88,J88)</f>
        <v>0</v>
      </c>
      <c r="L88" s="1" t="n">
        <f aca="false">((D88+E88)/2-$C$1)*$H$1</f>
        <v>4.5</v>
      </c>
      <c r="M88" s="1" t="n">
        <f aca="false">F88-$D$1</f>
        <v>20</v>
      </c>
      <c r="N88" s="1" t="n">
        <f aca="false">IF(M88&gt;20,M88*$I$1,0)</f>
        <v>0</v>
      </c>
      <c r="O88" s="1" t="n">
        <f aca="false">IF(G88="Mixed",5,IF(G88=$E$1,-2,3))</f>
        <v>3</v>
      </c>
      <c r="P88" s="1" t="n">
        <f aca="false">(H88-$F$1)*3</f>
        <v>9</v>
      </c>
      <c r="Q88" s="1" t="n">
        <f aca="false">K88*$G$1+L88+N88+O88+P88</f>
        <v>16.5</v>
      </c>
      <c r="R88" s="1" t="n">
        <f aca="false">IFERROR(INDEX(ManualOverrides!$C$2:$C$1000,MATCH(A88&amp;"|"&amp;$A$1,ManualOverrides!$E$2:$E$1000,0)),Q88)</f>
        <v>16.5</v>
      </c>
      <c r="S88" s="1" t="n">
        <f aca="false">IF(OR($A$1="",A88=$A$1),-1000000000000000,R88)</f>
        <v>-1000000000000000</v>
      </c>
      <c r="T88" s="1" t="n">
        <f aca="false">S88+ROW()*0.0000001</f>
        <v>-1000000000000000</v>
      </c>
      <c r="U88" s="1" t="str">
        <f aca="false">Heroes!$M88</f>
        <v>Jungle</v>
      </c>
      <c r="V88" s="1" t="n">
        <f aca="false">IF(OR($A$1="",A88=$A$1,U88="",U88&lt;&gt;$J$1),-1000000000000000,R88)+ROW()*0.0000001</f>
        <v>-1000000000000000</v>
      </c>
    </row>
    <row r="89" customFormat="false" ht="15" hidden="false" customHeight="true" outlineLevel="0" collapsed="false">
      <c r="A89" s="1" t="str">
        <f aca="false">Heroes!$B89</f>
        <v>Masha</v>
      </c>
      <c r="B89" s="1" t="str">
        <f aca="false">Heroes!$C89</f>
        <v>Fighter</v>
      </c>
      <c r="C89" s="1" t="str">
        <f aca="false">Heroes!$D89</f>
        <v>Tank</v>
      </c>
      <c r="D89" s="1" t="n">
        <f aca="false">Heroes!$E89</f>
        <v>70</v>
      </c>
      <c r="E89" s="1" t="n">
        <f aca="false">Heroes!$F89</f>
        <v>30</v>
      </c>
      <c r="F89" s="1" t="n">
        <f aca="false">Heroes!$H89</f>
        <v>30</v>
      </c>
      <c r="G89" s="1" t="str">
        <f aca="false">Heroes!$K89</f>
        <v>Physical</v>
      </c>
      <c r="H89" s="1" t="n">
        <f aca="false">Heroes!$Q89</f>
        <v>2</v>
      </c>
      <c r="I89" s="1" t="n">
        <f aca="false">IFERROR(INDEX(RoleMatrix!$B$2:$G$7,MATCH(B89,RoleMatrix!$A$2:$A$7,0),MATCH($B$1,RoleMatrix!$B$1:$G$1,0)),0)</f>
        <v>0</v>
      </c>
      <c r="J89" s="1" t="n">
        <f aca="false">IF(C89&lt;&gt;"",IFERROR(INDEX(RoleMatrix!$B$2:$G$7,MATCH(C89,RoleMatrix!$A$2:$A$7,0),MATCH($B$1,RoleMatrix!$B$1:$G$1,0)),0),I89)</f>
        <v>0</v>
      </c>
      <c r="K89" s="1" t="n">
        <f aca="false">MAX(I89,J89)</f>
        <v>0</v>
      </c>
      <c r="L89" s="1" t="n">
        <f aca="false">((D89+E89)/2-$C$1)*$H$1</f>
        <v>5</v>
      </c>
      <c r="M89" s="1" t="n">
        <f aca="false">F89-$D$1</f>
        <v>30</v>
      </c>
      <c r="N89" s="1" t="n">
        <f aca="false">IF(M89&gt;20,M89*$I$1,0)</f>
        <v>9</v>
      </c>
      <c r="O89" s="1" t="n">
        <f aca="false">IF(G89="Mixed",5,IF(G89=$E$1,-2,3))</f>
        <v>3</v>
      </c>
      <c r="P89" s="1" t="n">
        <f aca="false">(H89-$F$1)*3</f>
        <v>6</v>
      </c>
      <c r="Q89" s="1" t="n">
        <f aca="false">K89*$G$1+L89+N89+O89+P89</f>
        <v>23</v>
      </c>
      <c r="R89" s="1" t="n">
        <f aca="false">IFERROR(INDEX(ManualOverrides!$C$2:$C$1000,MATCH(A89&amp;"|"&amp;$A$1,ManualOverrides!$E$2:$E$1000,0)),Q89)</f>
        <v>23</v>
      </c>
      <c r="S89" s="1" t="n">
        <f aca="false">IF(OR($A$1="",A89=$A$1),-1000000000000000,R89)</f>
        <v>-1000000000000000</v>
      </c>
      <c r="T89" s="1" t="n">
        <f aca="false">S89+ROW()*0.0000001</f>
        <v>-1000000000000000</v>
      </c>
      <c r="U89" s="1" t="str">
        <f aca="false">Heroes!$M89</f>
        <v>EXP Lane</v>
      </c>
      <c r="V89" s="1" t="n">
        <f aca="false">IF(OR($A$1="",A89=$A$1,U89="",U89&lt;&gt;$J$1),-1000000000000000,R89)+ROW()*0.0000001</f>
        <v>-1000000000000000</v>
      </c>
    </row>
    <row r="90" customFormat="false" ht="15" hidden="false" customHeight="true" outlineLevel="0" collapsed="false">
      <c r="A90" s="1" t="str">
        <f aca="false">Heroes!$B90</f>
        <v>Wanwan</v>
      </c>
      <c r="B90" s="1" t="str">
        <f aca="false">Heroes!$C90</f>
        <v>Marksman</v>
      </c>
      <c r="C90" s="1" t="n">
        <f aca="false">Heroes!$D90</f>
        <v>0</v>
      </c>
      <c r="D90" s="1" t="n">
        <f aca="false">Heroes!$E90</f>
        <v>60</v>
      </c>
      <c r="E90" s="1" t="n">
        <f aca="false">Heroes!$F90</f>
        <v>30</v>
      </c>
      <c r="F90" s="1" t="n">
        <f aca="false">Heroes!$H90</f>
        <v>60</v>
      </c>
      <c r="G90" s="1" t="str">
        <f aca="false">Heroes!$K90</f>
        <v>Physical</v>
      </c>
      <c r="H90" s="1" t="n">
        <f aca="false">Heroes!$Q90</f>
        <v>4</v>
      </c>
      <c r="I90" s="1" t="n">
        <f aca="false">IFERROR(INDEX(RoleMatrix!$B$2:$G$7,MATCH(B90,RoleMatrix!$A$2:$A$7,0),MATCH($B$1,RoleMatrix!$B$1:$G$1,0)),0)</f>
        <v>0</v>
      </c>
      <c r="J90" s="1" t="n">
        <f aca="false">IF(C90&lt;&gt;"",IFERROR(INDEX(RoleMatrix!$B$2:$G$7,MATCH(C90,RoleMatrix!$A$2:$A$7,0),MATCH($B$1,RoleMatrix!$B$1:$G$1,0)),0),I90)</f>
        <v>0</v>
      </c>
      <c r="K90" s="1" t="n">
        <f aca="false">MAX(I90,J90)</f>
        <v>0</v>
      </c>
      <c r="L90" s="1" t="n">
        <f aca="false">((D90+E90)/2-$C$1)*$H$1</f>
        <v>4.5</v>
      </c>
      <c r="M90" s="1" t="n">
        <f aca="false">F90-$D$1</f>
        <v>60</v>
      </c>
      <c r="N90" s="1" t="n">
        <f aca="false">IF(M90&gt;20,M90*$I$1,0)</f>
        <v>18</v>
      </c>
      <c r="O90" s="1" t="n">
        <f aca="false">IF(G90="Mixed",5,IF(G90=$E$1,-2,3))</f>
        <v>3</v>
      </c>
      <c r="P90" s="1" t="n">
        <f aca="false">(H90-$F$1)*3</f>
        <v>12</v>
      </c>
      <c r="Q90" s="1" t="n">
        <f aca="false">K90*$G$1+L90+N90+O90+P90</f>
        <v>37.5</v>
      </c>
      <c r="R90" s="1" t="n">
        <f aca="false">IFERROR(INDEX(ManualOverrides!$C$2:$C$1000,MATCH(A90&amp;"|"&amp;$A$1,ManualOverrides!$E$2:$E$1000,0)),Q90)</f>
        <v>37.5</v>
      </c>
      <c r="S90" s="1" t="n">
        <f aca="false">IF(OR($A$1="",A90=$A$1),-1000000000000000,R90)</f>
        <v>-1000000000000000</v>
      </c>
      <c r="T90" s="1" t="n">
        <f aca="false">S90+ROW()*0.0000001</f>
        <v>-1000000000000000</v>
      </c>
      <c r="U90" s="1" t="str">
        <f aca="false">Heroes!$M90</f>
        <v>Gold Lane</v>
      </c>
      <c r="V90" s="1" t="n">
        <f aca="false">IF(OR($A$1="",A90=$A$1,U90="",U90&lt;&gt;$J$1),-1000000000000000,R90)+ROW()*0.0000001</f>
        <v>-1000000000000000</v>
      </c>
    </row>
    <row r="91" customFormat="false" ht="15" hidden="false" customHeight="true" outlineLevel="0" collapsed="false">
      <c r="A91" s="1" t="str">
        <f aca="false">Heroes!$B91</f>
        <v>Silvanna</v>
      </c>
      <c r="B91" s="1" t="str">
        <f aca="false">Heroes!$C91</f>
        <v>Fighter</v>
      </c>
      <c r="C91" s="1" t="n">
        <f aca="false">Heroes!$D91</f>
        <v>0</v>
      </c>
      <c r="D91" s="1" t="n">
        <f aca="false">Heroes!$E91</f>
        <v>40</v>
      </c>
      <c r="E91" s="1" t="n">
        <f aca="false">Heroes!$F91</f>
        <v>70</v>
      </c>
      <c r="F91" s="1" t="n">
        <f aca="false">Heroes!$H91</f>
        <v>20</v>
      </c>
      <c r="G91" s="1" t="str">
        <f aca="false">Heroes!$K91</f>
        <v>Magic</v>
      </c>
      <c r="H91" s="1" t="n">
        <f aca="false">Heroes!$Q91</f>
        <v>3</v>
      </c>
      <c r="I91" s="1" t="n">
        <f aca="false">IFERROR(INDEX(RoleMatrix!$B$2:$G$7,MATCH(B91,RoleMatrix!$A$2:$A$7,0),MATCH($B$1,RoleMatrix!$B$1:$G$1,0)),0)</f>
        <v>0</v>
      </c>
      <c r="J91" s="1" t="n">
        <f aca="false">IF(C91&lt;&gt;"",IFERROR(INDEX(RoleMatrix!$B$2:$G$7,MATCH(C91,RoleMatrix!$A$2:$A$7,0),MATCH($B$1,RoleMatrix!$B$1:$G$1,0)),0),I91)</f>
        <v>0</v>
      </c>
      <c r="K91" s="1" t="n">
        <f aca="false">MAX(I91,J91)</f>
        <v>0</v>
      </c>
      <c r="L91" s="1" t="n">
        <f aca="false">((D91+E91)/2-$C$1)*$H$1</f>
        <v>5.5</v>
      </c>
      <c r="M91" s="1" t="n">
        <f aca="false">F91-$D$1</f>
        <v>20</v>
      </c>
      <c r="N91" s="1" t="n">
        <f aca="false">IF(M91&gt;20,M91*$I$1,0)</f>
        <v>0</v>
      </c>
      <c r="O91" s="1" t="n">
        <f aca="false">IF(G91="Mixed",5,IF(G91=$E$1,-2,3))</f>
        <v>3</v>
      </c>
      <c r="P91" s="1" t="n">
        <f aca="false">(H91-$F$1)*3</f>
        <v>9</v>
      </c>
      <c r="Q91" s="1" t="n">
        <f aca="false">K91*$G$1+L91+N91+O91+P91</f>
        <v>17.5</v>
      </c>
      <c r="R91" s="1" t="n">
        <f aca="false">IFERROR(INDEX(ManualOverrides!$C$2:$C$1000,MATCH(A91&amp;"|"&amp;$A$1,ManualOverrides!$E$2:$E$1000,0)),Q91)</f>
        <v>17.5</v>
      </c>
      <c r="S91" s="1" t="n">
        <f aca="false">IF(OR($A$1="",A91=$A$1),-1000000000000000,R91)</f>
        <v>-1000000000000000</v>
      </c>
      <c r="T91" s="1" t="n">
        <f aca="false">S91+ROW()*0.0000001</f>
        <v>-1000000000000000</v>
      </c>
      <c r="U91" s="1" t="str">
        <f aca="false">Heroes!$M91</f>
        <v>EXP Lane</v>
      </c>
      <c r="V91" s="1" t="n">
        <f aca="false">IF(OR($A$1="",A91=$A$1,U91="",U91&lt;&gt;$J$1),-1000000000000000,R91)+ROW()*0.0000001</f>
        <v>-1000000000000000</v>
      </c>
    </row>
    <row r="92" customFormat="false" ht="15" hidden="false" customHeight="true" outlineLevel="0" collapsed="false">
      <c r="A92" s="1" t="str">
        <f aca="false">Heroes!$B92</f>
        <v>Cecilion</v>
      </c>
      <c r="B92" s="1" t="str">
        <f aca="false">Heroes!$C92</f>
        <v>Mage</v>
      </c>
      <c r="C92" s="1" t="n">
        <f aca="false">Heroes!$D92</f>
        <v>0</v>
      </c>
      <c r="D92" s="1" t="n">
        <f aca="false">Heroes!$E92</f>
        <v>100</v>
      </c>
      <c r="E92" s="1" t="n">
        <f aca="false">Heroes!$F92</f>
        <v>50</v>
      </c>
      <c r="F92" s="1" t="n">
        <f aca="false">Heroes!$H92</f>
        <v>40</v>
      </c>
      <c r="G92" s="1" t="str">
        <f aca="false">Heroes!$K92</f>
        <v>Magic</v>
      </c>
      <c r="H92" s="1" t="n">
        <f aca="false">Heroes!$Q92</f>
        <v>5</v>
      </c>
      <c r="I92" s="1" t="n">
        <f aca="false">IFERROR(INDEX(RoleMatrix!$B$2:$G$7,MATCH(B92,RoleMatrix!$A$2:$A$7,0),MATCH($B$1,RoleMatrix!$B$1:$G$1,0)),0)</f>
        <v>0</v>
      </c>
      <c r="J92" s="1" t="n">
        <f aca="false">IF(C92&lt;&gt;"",IFERROR(INDEX(RoleMatrix!$B$2:$G$7,MATCH(C92,RoleMatrix!$A$2:$A$7,0),MATCH($B$1,RoleMatrix!$B$1:$G$1,0)),0),I92)</f>
        <v>0</v>
      </c>
      <c r="K92" s="1" t="n">
        <f aca="false">MAX(I92,J92)</f>
        <v>0</v>
      </c>
      <c r="L92" s="1" t="n">
        <f aca="false">((D92+E92)/2-$C$1)*$H$1</f>
        <v>7.5</v>
      </c>
      <c r="M92" s="1" t="n">
        <f aca="false">F92-$D$1</f>
        <v>40</v>
      </c>
      <c r="N92" s="1" t="n">
        <f aca="false">IF(M92&gt;20,M92*$I$1,0)</f>
        <v>12</v>
      </c>
      <c r="O92" s="1" t="n">
        <f aca="false">IF(G92="Mixed",5,IF(G92=$E$1,-2,3))</f>
        <v>3</v>
      </c>
      <c r="P92" s="1" t="n">
        <f aca="false">(H92-$F$1)*3</f>
        <v>15</v>
      </c>
      <c r="Q92" s="1" t="n">
        <f aca="false">K92*$G$1+L92+N92+O92+P92</f>
        <v>37.5</v>
      </c>
      <c r="R92" s="1" t="n">
        <f aca="false">IFERROR(INDEX(ManualOverrides!$C$2:$C$1000,MATCH(A92&amp;"|"&amp;$A$1,ManualOverrides!$E$2:$E$1000,0)),Q92)</f>
        <v>37.5</v>
      </c>
      <c r="S92" s="1" t="n">
        <f aca="false">IF(OR($A$1="",A92=$A$1),-1000000000000000,R92)</f>
        <v>-1000000000000000</v>
      </c>
      <c r="T92" s="1" t="n">
        <f aca="false">S92+ROW()*0.0000001</f>
        <v>-1000000000000000</v>
      </c>
      <c r="U92" s="1" t="str">
        <f aca="false">Heroes!$M92</f>
        <v>Mid Lane</v>
      </c>
      <c r="V92" s="1" t="n">
        <f aca="false">IF(OR($A$1="",A92=$A$1,U92="",U92&lt;&gt;$J$1),-1000000000000000,R92)+ROW()*0.0000001</f>
        <v>-1000000000000000</v>
      </c>
    </row>
    <row r="93" customFormat="false" ht="15" hidden="false" customHeight="true" outlineLevel="0" collapsed="false">
      <c r="A93" s="1" t="str">
        <f aca="false">Heroes!$B93</f>
        <v>Carmilla</v>
      </c>
      <c r="B93" s="1" t="str">
        <f aca="false">Heroes!$C93</f>
        <v>Support</v>
      </c>
      <c r="C93" s="1" t="str">
        <f aca="false">Heroes!$D93</f>
        <v>Tank</v>
      </c>
      <c r="D93" s="1" t="n">
        <f aca="false">Heroes!$E93</f>
        <v>20</v>
      </c>
      <c r="E93" s="1" t="n">
        <f aca="false">Heroes!$F93</f>
        <v>80</v>
      </c>
      <c r="F93" s="1" t="n">
        <f aca="false">Heroes!$H93</f>
        <v>40</v>
      </c>
      <c r="G93" s="1" t="str">
        <f aca="false">Heroes!$K93</f>
        <v>Magic</v>
      </c>
      <c r="H93" s="1" t="n">
        <f aca="false">Heroes!$Q93</f>
        <v>2</v>
      </c>
      <c r="I93" s="1" t="n">
        <f aca="false">IFERROR(INDEX(RoleMatrix!$B$2:$G$7,MATCH(B93,RoleMatrix!$A$2:$A$7,0),MATCH($B$1,RoleMatrix!$B$1:$G$1,0)),0)</f>
        <v>0</v>
      </c>
      <c r="J93" s="1" t="n">
        <f aca="false">IF(C93&lt;&gt;"",IFERROR(INDEX(RoleMatrix!$B$2:$G$7,MATCH(C93,RoleMatrix!$A$2:$A$7,0),MATCH($B$1,RoleMatrix!$B$1:$G$1,0)),0),I93)</f>
        <v>0</v>
      </c>
      <c r="K93" s="1" t="n">
        <f aca="false">MAX(I93,J93)</f>
        <v>0</v>
      </c>
      <c r="L93" s="1" t="n">
        <f aca="false">((D93+E93)/2-$C$1)*$H$1</f>
        <v>5</v>
      </c>
      <c r="M93" s="1" t="n">
        <f aca="false">F93-$D$1</f>
        <v>40</v>
      </c>
      <c r="N93" s="1" t="n">
        <f aca="false">IF(M93&gt;20,M93*$I$1,0)</f>
        <v>12</v>
      </c>
      <c r="O93" s="1" t="n">
        <f aca="false">IF(G93="Mixed",5,IF(G93=$E$1,-2,3))</f>
        <v>3</v>
      </c>
      <c r="P93" s="1" t="n">
        <f aca="false">(H93-$F$1)*3</f>
        <v>6</v>
      </c>
      <c r="Q93" s="1" t="n">
        <f aca="false">K93*$G$1+L93+N93+O93+P93</f>
        <v>26</v>
      </c>
      <c r="R93" s="1" t="n">
        <f aca="false">IFERROR(INDEX(ManualOverrides!$C$2:$C$1000,MATCH(A93&amp;"|"&amp;$A$1,ManualOverrides!$E$2:$E$1000,0)),Q93)</f>
        <v>26</v>
      </c>
      <c r="S93" s="1" t="n">
        <f aca="false">IF(OR($A$1="",A93=$A$1),-1000000000000000,R93)</f>
        <v>-1000000000000000</v>
      </c>
      <c r="T93" s="1" t="n">
        <f aca="false">S93+ROW()*0.0000001</f>
        <v>-1000000000000000</v>
      </c>
      <c r="U93" s="1" t="str">
        <f aca="false">Heroes!$M93</f>
        <v>Roaming</v>
      </c>
      <c r="V93" s="1" t="n">
        <f aca="false">IF(OR($A$1="",A93=$A$1,U93="",U93&lt;&gt;$J$1),-1000000000000000,R93)+ROW()*0.0000001</f>
        <v>-1000000000000000</v>
      </c>
    </row>
    <row r="94" customFormat="false" ht="15" hidden="false" customHeight="true" outlineLevel="0" collapsed="false">
      <c r="A94" s="1" t="str">
        <f aca="false">Heroes!$B94</f>
        <v>Atlas</v>
      </c>
      <c r="B94" s="1" t="str">
        <f aca="false">Heroes!$C94</f>
        <v>Tank</v>
      </c>
      <c r="C94" s="1" t="n">
        <f aca="false">Heroes!$D94</f>
        <v>0</v>
      </c>
      <c r="D94" s="1" t="n">
        <f aca="false">Heroes!$E94</f>
        <v>10</v>
      </c>
      <c r="E94" s="1" t="n">
        <f aca="false">Heroes!$F94</f>
        <v>90</v>
      </c>
      <c r="F94" s="1" t="n">
        <f aca="false">Heroes!$H94</f>
        <v>50</v>
      </c>
      <c r="G94" s="1" t="str">
        <f aca="false">Heroes!$K94</f>
        <v>Magic</v>
      </c>
      <c r="H94" s="1" t="n">
        <f aca="false">Heroes!$Q94</f>
        <v>2</v>
      </c>
      <c r="I94" s="1" t="n">
        <f aca="false">IFERROR(INDEX(RoleMatrix!$B$2:$G$7,MATCH(B94,RoleMatrix!$A$2:$A$7,0),MATCH($B$1,RoleMatrix!$B$1:$G$1,0)),0)</f>
        <v>0</v>
      </c>
      <c r="J94" s="1" t="n">
        <f aca="false">IF(C94&lt;&gt;"",IFERROR(INDEX(RoleMatrix!$B$2:$G$7,MATCH(C94,RoleMatrix!$A$2:$A$7,0),MATCH($B$1,RoleMatrix!$B$1:$G$1,0)),0),I94)</f>
        <v>0</v>
      </c>
      <c r="K94" s="1" t="n">
        <f aca="false">MAX(I94,J94)</f>
        <v>0</v>
      </c>
      <c r="L94" s="1" t="n">
        <f aca="false">((D94+E94)/2-$C$1)*$H$1</f>
        <v>5</v>
      </c>
      <c r="M94" s="1" t="n">
        <f aca="false">F94-$D$1</f>
        <v>50</v>
      </c>
      <c r="N94" s="1" t="n">
        <f aca="false">IF(M94&gt;20,M94*$I$1,0)</f>
        <v>15</v>
      </c>
      <c r="O94" s="1" t="n">
        <f aca="false">IF(G94="Mixed",5,IF(G94=$E$1,-2,3))</f>
        <v>3</v>
      </c>
      <c r="P94" s="1" t="n">
        <f aca="false">(H94-$F$1)*3</f>
        <v>6</v>
      </c>
      <c r="Q94" s="1" t="n">
        <f aca="false">K94*$G$1+L94+N94+O94+P94</f>
        <v>29</v>
      </c>
      <c r="R94" s="1" t="n">
        <f aca="false">IFERROR(INDEX(ManualOverrides!$C$2:$C$1000,MATCH(A94&amp;"|"&amp;$A$1,ManualOverrides!$E$2:$E$1000,0)),Q94)</f>
        <v>29</v>
      </c>
      <c r="S94" s="1" t="n">
        <f aca="false">IF(OR($A$1="",A94=$A$1),-1000000000000000,R94)</f>
        <v>-1000000000000000</v>
      </c>
      <c r="T94" s="1" t="n">
        <f aca="false">S94+ROW()*0.0000001</f>
        <v>-1000000000000000</v>
      </c>
      <c r="U94" s="1" t="str">
        <f aca="false">Heroes!$M94</f>
        <v>Roaming</v>
      </c>
      <c r="V94" s="1" t="n">
        <f aca="false">IF(OR($A$1="",A94=$A$1,U94="",U94&lt;&gt;$J$1),-1000000000000000,R94)+ROW()*0.0000001</f>
        <v>-1000000000000000</v>
      </c>
    </row>
    <row r="95" customFormat="false" ht="15" hidden="false" customHeight="true" outlineLevel="0" collapsed="false">
      <c r="A95" s="1" t="str">
        <f aca="false">Heroes!$B95</f>
        <v>Popol and Kupa</v>
      </c>
      <c r="B95" s="1" t="str">
        <f aca="false">Heroes!$C95</f>
        <v>Marksman</v>
      </c>
      <c r="C95" s="1" t="n">
        <f aca="false">Heroes!$D95</f>
        <v>0</v>
      </c>
      <c r="D95" s="1" t="n">
        <f aca="false">Heroes!$E95</f>
        <v>70</v>
      </c>
      <c r="E95" s="1" t="n">
        <f aca="false">Heroes!$F95</f>
        <v>70</v>
      </c>
      <c r="F95" s="1" t="n">
        <f aca="false">Heroes!$H95</f>
        <v>50</v>
      </c>
      <c r="G95" s="1" t="str">
        <f aca="false">Heroes!$K95</f>
        <v>Mixed</v>
      </c>
      <c r="H95" s="1" t="n">
        <f aca="false">Heroes!$Q95</f>
        <v>3</v>
      </c>
      <c r="I95" s="1" t="n">
        <f aca="false">IFERROR(INDEX(RoleMatrix!$B$2:$G$7,MATCH(B95,RoleMatrix!$A$2:$A$7,0),MATCH($B$1,RoleMatrix!$B$1:$G$1,0)),0)</f>
        <v>0</v>
      </c>
      <c r="J95" s="1" t="n">
        <f aca="false">IF(C95&lt;&gt;"",IFERROR(INDEX(RoleMatrix!$B$2:$G$7,MATCH(C95,RoleMatrix!$A$2:$A$7,0),MATCH($B$1,RoleMatrix!$B$1:$G$1,0)),0),I95)</f>
        <v>0</v>
      </c>
      <c r="K95" s="1" t="n">
        <f aca="false">MAX(I95,J95)</f>
        <v>0</v>
      </c>
      <c r="L95" s="1" t="n">
        <f aca="false">((D95+E95)/2-$C$1)*$H$1</f>
        <v>7</v>
      </c>
      <c r="M95" s="1" t="n">
        <f aca="false">F95-$D$1</f>
        <v>50</v>
      </c>
      <c r="N95" s="1" t="n">
        <f aca="false">IF(M95&gt;20,M95*$I$1,0)</f>
        <v>15</v>
      </c>
      <c r="O95" s="1" t="n">
        <f aca="false">IF(G95="Mixed",5,IF(G95=$E$1,-2,3))</f>
        <v>5</v>
      </c>
      <c r="P95" s="1" t="n">
        <f aca="false">(H95-$F$1)*3</f>
        <v>9</v>
      </c>
      <c r="Q95" s="1" t="n">
        <f aca="false">K95*$G$1+L95+N95+O95+P95</f>
        <v>36</v>
      </c>
      <c r="R95" s="1" t="n">
        <f aca="false">IFERROR(INDEX(ManualOverrides!$C$2:$C$1000,MATCH(A95&amp;"|"&amp;$A$1,ManualOverrides!$E$2:$E$1000,0)),Q95)</f>
        <v>36</v>
      </c>
      <c r="S95" s="1" t="n">
        <f aca="false">IF(OR($A$1="",A95=$A$1),-1000000000000000,R95)</f>
        <v>-1000000000000000</v>
      </c>
      <c r="T95" s="1" t="n">
        <f aca="false">S95+ROW()*0.0000001</f>
        <v>-1000000000000000</v>
      </c>
      <c r="U95" s="1" t="str">
        <f aca="false">Heroes!$M95</f>
        <v>Jungle</v>
      </c>
      <c r="V95" s="1" t="n">
        <f aca="false">IF(OR($A$1="",A95=$A$1,U95="",U95&lt;&gt;$J$1),-1000000000000000,R95)+ROW()*0.0000001</f>
        <v>-1000000000000000</v>
      </c>
    </row>
    <row r="96" customFormat="false" ht="15" hidden="false" customHeight="true" outlineLevel="0" collapsed="false">
      <c r="A96" s="1" t="str">
        <f aca="false">Heroes!$B96</f>
        <v>Yu Zhong</v>
      </c>
      <c r="B96" s="1" t="str">
        <f aca="false">Heroes!$C96</f>
        <v>Fighter</v>
      </c>
      <c r="C96" s="1" t="n">
        <f aca="false">Heroes!$D96</f>
        <v>0</v>
      </c>
      <c r="D96" s="1" t="n">
        <f aca="false">Heroes!$E96</f>
        <v>40</v>
      </c>
      <c r="E96" s="1" t="n">
        <f aca="false">Heroes!$F96</f>
        <v>70</v>
      </c>
      <c r="F96" s="1" t="n">
        <f aca="false">Heroes!$H96</f>
        <v>70</v>
      </c>
      <c r="G96" s="1" t="str">
        <f aca="false">Heroes!$K96</f>
        <v>Physical</v>
      </c>
      <c r="H96" s="1" t="n">
        <f aca="false">Heroes!$Q96</f>
        <v>3</v>
      </c>
      <c r="I96" s="1" t="n">
        <f aca="false">IFERROR(INDEX(RoleMatrix!$B$2:$G$7,MATCH(B96,RoleMatrix!$A$2:$A$7,0),MATCH($B$1,RoleMatrix!$B$1:$G$1,0)),0)</f>
        <v>0</v>
      </c>
      <c r="J96" s="1" t="n">
        <f aca="false">IF(C96&lt;&gt;"",IFERROR(INDEX(RoleMatrix!$B$2:$G$7,MATCH(C96,RoleMatrix!$A$2:$A$7,0),MATCH($B$1,RoleMatrix!$B$1:$G$1,0)),0),I96)</f>
        <v>0</v>
      </c>
      <c r="K96" s="1" t="n">
        <f aca="false">MAX(I96,J96)</f>
        <v>0</v>
      </c>
      <c r="L96" s="1" t="n">
        <f aca="false">((D96+E96)/2-$C$1)*$H$1</f>
        <v>5.5</v>
      </c>
      <c r="M96" s="1" t="n">
        <f aca="false">F96-$D$1</f>
        <v>70</v>
      </c>
      <c r="N96" s="1" t="n">
        <f aca="false">IF(M96&gt;20,M96*$I$1,0)</f>
        <v>21</v>
      </c>
      <c r="O96" s="1" t="n">
        <f aca="false">IF(G96="Mixed",5,IF(G96=$E$1,-2,3))</f>
        <v>3</v>
      </c>
      <c r="P96" s="1" t="n">
        <f aca="false">(H96-$F$1)*3</f>
        <v>9</v>
      </c>
      <c r="Q96" s="1" t="n">
        <f aca="false">K96*$G$1+L96+N96+O96+P96</f>
        <v>38.5</v>
      </c>
      <c r="R96" s="1" t="n">
        <f aca="false">IFERROR(INDEX(ManualOverrides!$C$2:$C$1000,MATCH(A96&amp;"|"&amp;$A$1,ManualOverrides!$E$2:$E$1000,0)),Q96)</f>
        <v>38.5</v>
      </c>
      <c r="S96" s="1" t="n">
        <f aca="false">IF(OR($A$1="",A96=$A$1),-1000000000000000,R96)</f>
        <v>-1000000000000000</v>
      </c>
      <c r="T96" s="1" t="n">
        <f aca="false">S96+ROW()*0.0000001</f>
        <v>-1000000000000000</v>
      </c>
      <c r="U96" s="1" t="str">
        <f aca="false">Heroes!$M96</f>
        <v>EXP Lane</v>
      </c>
      <c r="V96" s="1" t="n">
        <f aca="false">IF(OR($A$1="",A96=$A$1,U96="",U96&lt;&gt;$J$1),-1000000000000000,R96)+ROW()*0.0000001</f>
        <v>-1000000000000000</v>
      </c>
    </row>
    <row r="97" customFormat="false" ht="15" hidden="false" customHeight="true" outlineLevel="0" collapsed="false">
      <c r="A97" s="1" t="str">
        <f aca="false">Heroes!$B97</f>
        <v>Luo Yi</v>
      </c>
      <c r="B97" s="1" t="str">
        <f aca="false">Heroes!$C97</f>
        <v>Mage</v>
      </c>
      <c r="C97" s="1" t="n">
        <f aca="false">Heroes!$D97</f>
        <v>0</v>
      </c>
      <c r="D97" s="1" t="n">
        <f aca="false">Heroes!$E97</f>
        <v>100</v>
      </c>
      <c r="E97" s="1" t="n">
        <f aca="false">Heroes!$F97</f>
        <v>40</v>
      </c>
      <c r="F97" s="1" t="n">
        <f aca="false">Heroes!$H97</f>
        <v>50</v>
      </c>
      <c r="G97" s="1" t="str">
        <f aca="false">Heroes!$K97</f>
        <v>Magic</v>
      </c>
      <c r="H97" s="1" t="n">
        <f aca="false">Heroes!$Q97</f>
        <v>3</v>
      </c>
      <c r="I97" s="1" t="n">
        <f aca="false">IFERROR(INDEX(RoleMatrix!$B$2:$G$7,MATCH(B97,RoleMatrix!$A$2:$A$7,0),MATCH($B$1,RoleMatrix!$B$1:$G$1,0)),0)</f>
        <v>0</v>
      </c>
      <c r="J97" s="1" t="n">
        <f aca="false">IF(C97&lt;&gt;"",IFERROR(INDEX(RoleMatrix!$B$2:$G$7,MATCH(C97,RoleMatrix!$A$2:$A$7,0),MATCH($B$1,RoleMatrix!$B$1:$G$1,0)),0),I97)</f>
        <v>0</v>
      </c>
      <c r="K97" s="1" t="n">
        <f aca="false">MAX(I97,J97)</f>
        <v>0</v>
      </c>
      <c r="L97" s="1" t="n">
        <f aca="false">((D97+E97)/2-$C$1)*$H$1</f>
        <v>7</v>
      </c>
      <c r="M97" s="1" t="n">
        <f aca="false">F97-$D$1</f>
        <v>50</v>
      </c>
      <c r="N97" s="1" t="n">
        <f aca="false">IF(M97&gt;20,M97*$I$1,0)</f>
        <v>15</v>
      </c>
      <c r="O97" s="1" t="n">
        <f aca="false">IF(G97="Mixed",5,IF(G97=$E$1,-2,3))</f>
        <v>3</v>
      </c>
      <c r="P97" s="1" t="n">
        <f aca="false">(H97-$F$1)*3</f>
        <v>9</v>
      </c>
      <c r="Q97" s="1" t="n">
        <f aca="false">K97*$G$1+L97+N97+O97+P97</f>
        <v>34</v>
      </c>
      <c r="R97" s="1" t="n">
        <f aca="false">IFERROR(INDEX(ManualOverrides!$C$2:$C$1000,MATCH(A97&amp;"|"&amp;$A$1,ManualOverrides!$E$2:$E$1000,0)),Q97)</f>
        <v>34</v>
      </c>
      <c r="S97" s="1" t="n">
        <f aca="false">IF(OR($A$1="",A97=$A$1),-1000000000000000,R97)</f>
        <v>-1000000000000000</v>
      </c>
      <c r="T97" s="1" t="n">
        <f aca="false">S97+ROW()*0.0000001</f>
        <v>-1000000000000000</v>
      </c>
      <c r="U97" s="1" t="str">
        <f aca="false">Heroes!$M97</f>
        <v>Mid Lane</v>
      </c>
      <c r="V97" s="1" t="n">
        <f aca="false">IF(OR($A$1="",A97=$A$1,U97="",U97&lt;&gt;$J$1),-1000000000000000,R97)+ROW()*0.0000001</f>
        <v>-1000000000000000</v>
      </c>
    </row>
    <row r="98" customFormat="false" ht="15" hidden="false" customHeight="true" outlineLevel="0" collapsed="false">
      <c r="A98" s="1" t="str">
        <f aca="false">Heroes!$B98</f>
        <v>Benedetta</v>
      </c>
      <c r="B98" s="1" t="str">
        <f aca="false">Heroes!$C98</f>
        <v>Assassin</v>
      </c>
      <c r="C98" s="1" t="str">
        <f aca="false">Heroes!$D98</f>
        <v>Fighter</v>
      </c>
      <c r="D98" s="1" t="n">
        <f aca="false">Heroes!$E98</f>
        <v>50</v>
      </c>
      <c r="E98" s="1" t="n">
        <f aca="false">Heroes!$F98</f>
        <v>20</v>
      </c>
      <c r="F98" s="1" t="n">
        <f aca="false">Heroes!$H98</f>
        <v>70</v>
      </c>
      <c r="G98" s="1" t="str">
        <f aca="false">Heroes!$K98</f>
        <v>Physical</v>
      </c>
      <c r="H98" s="1" t="n">
        <f aca="false">Heroes!$Q98</f>
        <v>2</v>
      </c>
      <c r="I98" s="1" t="n">
        <f aca="false">IFERROR(INDEX(RoleMatrix!$B$2:$G$7,MATCH(B98,RoleMatrix!$A$2:$A$7,0),MATCH($B$1,RoleMatrix!$B$1:$G$1,0)),0)</f>
        <v>0</v>
      </c>
      <c r="J98" s="1" t="n">
        <f aca="false">IF(C98&lt;&gt;"",IFERROR(INDEX(RoleMatrix!$B$2:$G$7,MATCH(C98,RoleMatrix!$A$2:$A$7,0),MATCH($B$1,RoleMatrix!$B$1:$G$1,0)),0),I98)</f>
        <v>0</v>
      </c>
      <c r="K98" s="1" t="n">
        <f aca="false">MAX(I98,J98)</f>
        <v>0</v>
      </c>
      <c r="L98" s="1" t="n">
        <f aca="false">((D98+E98)/2-$C$1)*$H$1</f>
        <v>3.5</v>
      </c>
      <c r="M98" s="1" t="n">
        <f aca="false">F98-$D$1</f>
        <v>70</v>
      </c>
      <c r="N98" s="1" t="n">
        <f aca="false">IF(M98&gt;20,M98*$I$1,0)</f>
        <v>21</v>
      </c>
      <c r="O98" s="1" t="n">
        <f aca="false">IF(G98="Mixed",5,IF(G98=$E$1,-2,3))</f>
        <v>3</v>
      </c>
      <c r="P98" s="1" t="n">
        <f aca="false">(H98-$F$1)*3</f>
        <v>6</v>
      </c>
      <c r="Q98" s="1" t="n">
        <f aca="false">K98*$G$1+L98+N98+O98+P98</f>
        <v>33.5</v>
      </c>
      <c r="R98" s="1" t="n">
        <f aca="false">IFERROR(INDEX(ManualOverrides!$C$2:$C$1000,MATCH(A98&amp;"|"&amp;$A$1,ManualOverrides!$E$2:$E$1000,0)),Q98)</f>
        <v>33.5</v>
      </c>
      <c r="S98" s="1" t="n">
        <f aca="false">IF(OR($A$1="",A98=$A$1),-1000000000000000,R98)</f>
        <v>-1000000000000000</v>
      </c>
      <c r="T98" s="1" t="n">
        <f aca="false">S98+ROW()*0.0000001</f>
        <v>-1000000000000000</v>
      </c>
      <c r="U98" s="1" t="str">
        <f aca="false">Heroes!$M98</f>
        <v>EXP Lane</v>
      </c>
      <c r="V98" s="1" t="n">
        <f aca="false">IF(OR($A$1="",A98=$A$1,U98="",U98&lt;&gt;$J$1),-1000000000000000,R98)+ROW()*0.0000001</f>
        <v>-1000000000000000</v>
      </c>
    </row>
    <row r="99" customFormat="false" ht="15" hidden="false" customHeight="true" outlineLevel="0" collapsed="false">
      <c r="A99" s="1" t="str">
        <f aca="false">Heroes!$B99</f>
        <v>Khaleed</v>
      </c>
      <c r="B99" s="1" t="str">
        <f aca="false">Heroes!$C99</f>
        <v>Fighter</v>
      </c>
      <c r="C99" s="1" t="n">
        <f aca="false">Heroes!$D99</f>
        <v>0</v>
      </c>
      <c r="D99" s="1" t="n">
        <f aca="false">Heroes!$E99</f>
        <v>50</v>
      </c>
      <c r="E99" s="1" t="n">
        <f aca="false">Heroes!$F99</f>
        <v>50</v>
      </c>
      <c r="F99" s="1" t="n">
        <f aca="false">Heroes!$H99</f>
        <v>50</v>
      </c>
      <c r="G99" s="1" t="str">
        <f aca="false">Heroes!$K99</f>
        <v>Physical</v>
      </c>
      <c r="H99" s="1" t="n">
        <f aca="false">Heroes!$Q99</f>
        <v>2</v>
      </c>
      <c r="I99" s="1" t="n">
        <f aca="false">IFERROR(INDEX(RoleMatrix!$B$2:$G$7,MATCH(B99,RoleMatrix!$A$2:$A$7,0),MATCH($B$1,RoleMatrix!$B$1:$G$1,0)),0)</f>
        <v>0</v>
      </c>
      <c r="J99" s="1" t="n">
        <f aca="false">IF(C99&lt;&gt;"",IFERROR(INDEX(RoleMatrix!$B$2:$G$7,MATCH(C99,RoleMatrix!$A$2:$A$7,0),MATCH($B$1,RoleMatrix!$B$1:$G$1,0)),0),I99)</f>
        <v>0</v>
      </c>
      <c r="K99" s="1" t="n">
        <f aca="false">MAX(I99,J99)</f>
        <v>0</v>
      </c>
      <c r="L99" s="1" t="n">
        <f aca="false">((D99+E99)/2-$C$1)*$H$1</f>
        <v>5</v>
      </c>
      <c r="M99" s="1" t="n">
        <f aca="false">F99-$D$1</f>
        <v>50</v>
      </c>
      <c r="N99" s="1" t="n">
        <f aca="false">IF(M99&gt;20,M99*$I$1,0)</f>
        <v>15</v>
      </c>
      <c r="O99" s="1" t="n">
        <f aca="false">IF(G99="Mixed",5,IF(G99=$E$1,-2,3))</f>
        <v>3</v>
      </c>
      <c r="P99" s="1" t="n">
        <f aca="false">(H99-$F$1)*3</f>
        <v>6</v>
      </c>
      <c r="Q99" s="1" t="n">
        <f aca="false">K99*$G$1+L99+N99+O99+P99</f>
        <v>29</v>
      </c>
      <c r="R99" s="1" t="n">
        <f aca="false">IFERROR(INDEX(ManualOverrides!$C$2:$C$1000,MATCH(A99&amp;"|"&amp;$A$1,ManualOverrides!$E$2:$E$1000,0)),Q99)</f>
        <v>29</v>
      </c>
      <c r="S99" s="1" t="n">
        <f aca="false">IF(OR($A$1="",A99=$A$1),-1000000000000000,R99)</f>
        <v>-1000000000000000</v>
      </c>
      <c r="T99" s="1" t="n">
        <f aca="false">S99+ROW()*0.0000001</f>
        <v>-1000000000000000</v>
      </c>
      <c r="U99" s="1" t="str">
        <f aca="false">Heroes!$M99</f>
        <v>Roaming</v>
      </c>
      <c r="V99" s="1" t="n">
        <f aca="false">IF(OR($A$1="",A99=$A$1,U99="",U99&lt;&gt;$J$1),-1000000000000000,R99)+ROW()*0.0000001</f>
        <v>-1000000000000000</v>
      </c>
    </row>
    <row r="100" customFormat="false" ht="15" hidden="false" customHeight="true" outlineLevel="0" collapsed="false">
      <c r="A100" s="1" t="str">
        <f aca="false">Heroes!$B100</f>
        <v>Barats</v>
      </c>
      <c r="B100" s="1" t="str">
        <f aca="false">Heroes!$C100</f>
        <v>Tank</v>
      </c>
      <c r="C100" s="1" t="str">
        <f aca="false">Heroes!$D100</f>
        <v>Fighter</v>
      </c>
      <c r="D100" s="1" t="n">
        <f aca="false">Heroes!$E100</f>
        <v>30</v>
      </c>
      <c r="E100" s="1" t="n">
        <f aca="false">Heroes!$F100</f>
        <v>90</v>
      </c>
      <c r="F100" s="1" t="n">
        <f aca="false">Heroes!$H100</f>
        <v>40</v>
      </c>
      <c r="G100" s="1" t="str">
        <f aca="false">Heroes!$K100</f>
        <v>Physical</v>
      </c>
      <c r="H100" s="1" t="n">
        <f aca="false">Heroes!$Q100</f>
        <v>3</v>
      </c>
      <c r="I100" s="1" t="n">
        <f aca="false">IFERROR(INDEX(RoleMatrix!$B$2:$G$7,MATCH(B100,RoleMatrix!$A$2:$A$7,0),MATCH($B$1,RoleMatrix!$B$1:$G$1,0)),0)</f>
        <v>0</v>
      </c>
      <c r="J100" s="1" t="n">
        <f aca="false">IF(C100&lt;&gt;"",IFERROR(INDEX(RoleMatrix!$B$2:$G$7,MATCH(C100,RoleMatrix!$A$2:$A$7,0),MATCH($B$1,RoleMatrix!$B$1:$G$1,0)),0),I100)</f>
        <v>0</v>
      </c>
      <c r="K100" s="1" t="n">
        <f aca="false">MAX(I100,J100)</f>
        <v>0</v>
      </c>
      <c r="L100" s="1" t="n">
        <f aca="false">((D100+E100)/2-$C$1)*$H$1</f>
        <v>6</v>
      </c>
      <c r="M100" s="1" t="n">
        <f aca="false">F100-$D$1</f>
        <v>40</v>
      </c>
      <c r="N100" s="1" t="n">
        <f aca="false">IF(M100&gt;20,M100*$I$1,0)</f>
        <v>12</v>
      </c>
      <c r="O100" s="1" t="n">
        <f aca="false">IF(G100="Mixed",5,IF(G100=$E$1,-2,3))</f>
        <v>3</v>
      </c>
      <c r="P100" s="1" t="n">
        <f aca="false">(H100-$F$1)*3</f>
        <v>9</v>
      </c>
      <c r="Q100" s="1" t="n">
        <f aca="false">K100*$G$1+L100+N100+O100+P100</f>
        <v>30</v>
      </c>
      <c r="R100" s="1" t="n">
        <f aca="false">IFERROR(INDEX(ManualOverrides!$C$2:$C$1000,MATCH(A100&amp;"|"&amp;$A$1,ManualOverrides!$E$2:$E$1000,0)),Q100)</f>
        <v>30</v>
      </c>
      <c r="S100" s="1" t="n">
        <f aca="false">IF(OR($A$1="",A100=$A$1),-1000000000000000,R100)</f>
        <v>-1000000000000000</v>
      </c>
      <c r="T100" s="1" t="n">
        <f aca="false">S100+ROW()*0.0000001</f>
        <v>-1000000000000000</v>
      </c>
      <c r="U100" s="1" t="str">
        <f aca="false">Heroes!$M100</f>
        <v>Jungle</v>
      </c>
      <c r="V100" s="1" t="n">
        <f aca="false">IF(OR($A$1="",A100=$A$1,U100="",U100&lt;&gt;$J$1),-1000000000000000,R100)+ROW()*0.0000001</f>
        <v>-1000000000000000</v>
      </c>
    </row>
    <row r="101" customFormat="false" ht="15" hidden="false" customHeight="true" outlineLevel="0" collapsed="false">
      <c r="A101" s="1" t="str">
        <f aca="false">Heroes!$B101</f>
        <v>Brody</v>
      </c>
      <c r="B101" s="1" t="str">
        <f aca="false">Heroes!$C101</f>
        <v>Marksman</v>
      </c>
      <c r="C101" s="1" t="n">
        <f aca="false">Heroes!$D101</f>
        <v>0</v>
      </c>
      <c r="D101" s="1" t="n">
        <f aca="false">Heroes!$E101</f>
        <v>70</v>
      </c>
      <c r="E101" s="1" t="n">
        <f aca="false">Heroes!$F101</f>
        <v>50</v>
      </c>
      <c r="F101" s="1" t="n">
        <f aca="false">Heroes!$H101</f>
        <v>50</v>
      </c>
      <c r="G101" s="1" t="str">
        <f aca="false">Heroes!$K101</f>
        <v>Physical</v>
      </c>
      <c r="H101" s="1" t="n">
        <f aca="false">Heroes!$Q101</f>
        <v>4</v>
      </c>
      <c r="I101" s="1" t="n">
        <f aca="false">IFERROR(INDEX(RoleMatrix!$B$2:$G$7,MATCH(B101,RoleMatrix!$A$2:$A$7,0),MATCH($B$1,RoleMatrix!$B$1:$G$1,0)),0)</f>
        <v>0</v>
      </c>
      <c r="J101" s="1" t="n">
        <f aca="false">IF(C101&lt;&gt;"",IFERROR(INDEX(RoleMatrix!$B$2:$G$7,MATCH(C101,RoleMatrix!$A$2:$A$7,0),MATCH($B$1,RoleMatrix!$B$1:$G$1,0)),0),I101)</f>
        <v>0</v>
      </c>
      <c r="K101" s="1" t="n">
        <f aca="false">MAX(I101,J101)</f>
        <v>0</v>
      </c>
      <c r="L101" s="1" t="n">
        <f aca="false">((D101+E101)/2-$C$1)*$H$1</f>
        <v>6</v>
      </c>
      <c r="M101" s="1" t="n">
        <f aca="false">F101-$D$1</f>
        <v>50</v>
      </c>
      <c r="N101" s="1" t="n">
        <f aca="false">IF(M101&gt;20,M101*$I$1,0)</f>
        <v>15</v>
      </c>
      <c r="O101" s="1" t="n">
        <f aca="false">IF(G101="Mixed",5,IF(G101=$E$1,-2,3))</f>
        <v>3</v>
      </c>
      <c r="P101" s="1" t="n">
        <f aca="false">(H101-$F$1)*3</f>
        <v>12</v>
      </c>
      <c r="Q101" s="1" t="n">
        <f aca="false">K101*$G$1+L101+N101+O101+P101</f>
        <v>36</v>
      </c>
      <c r="R101" s="1" t="n">
        <f aca="false">IFERROR(INDEX(ManualOverrides!$C$2:$C$1000,MATCH(A101&amp;"|"&amp;$A$1,ManualOverrides!$E$2:$E$1000,0)),Q101)</f>
        <v>36</v>
      </c>
      <c r="S101" s="1" t="n">
        <f aca="false">IF(OR($A$1="",A101=$A$1),-1000000000000000,R101)</f>
        <v>-1000000000000000</v>
      </c>
      <c r="T101" s="1" t="n">
        <f aca="false">S101+ROW()*0.0000001</f>
        <v>-1000000000000000</v>
      </c>
      <c r="U101" s="1" t="str">
        <f aca="false">Heroes!$M101</f>
        <v>Gold Lane</v>
      </c>
      <c r="V101" s="1" t="n">
        <f aca="false">IF(OR($A$1="",A101=$A$1,U101="",U101&lt;&gt;$J$1),-1000000000000000,R101)+ROW()*0.0000001</f>
        <v>-1000000000000000</v>
      </c>
    </row>
    <row r="102" customFormat="false" ht="15" hidden="false" customHeight="true" outlineLevel="0" collapsed="false">
      <c r="A102" s="1" t="str">
        <f aca="false">Heroes!$B102</f>
        <v>Yve</v>
      </c>
      <c r="B102" s="1" t="str">
        <f aca="false">Heroes!$C102</f>
        <v>Mage</v>
      </c>
      <c r="C102" s="1" t="n">
        <f aca="false">Heroes!$D102</f>
        <v>0</v>
      </c>
      <c r="D102" s="1" t="n">
        <f aca="false">Heroes!$E102</f>
        <v>80</v>
      </c>
      <c r="E102" s="1" t="n">
        <f aca="false">Heroes!$F102</f>
        <v>40</v>
      </c>
      <c r="F102" s="1" t="n">
        <f aca="false">Heroes!$H102</f>
        <v>70</v>
      </c>
      <c r="G102" s="1" t="str">
        <f aca="false">Heroes!$K102</f>
        <v>Magic</v>
      </c>
      <c r="H102" s="1" t="n">
        <f aca="false">Heroes!$Q102</f>
        <v>3</v>
      </c>
      <c r="I102" s="1" t="n">
        <f aca="false">IFERROR(INDEX(RoleMatrix!$B$2:$G$7,MATCH(B102,RoleMatrix!$A$2:$A$7,0),MATCH($B$1,RoleMatrix!$B$1:$G$1,0)),0)</f>
        <v>0</v>
      </c>
      <c r="J102" s="1" t="n">
        <f aca="false">IF(C102&lt;&gt;"",IFERROR(INDEX(RoleMatrix!$B$2:$G$7,MATCH(C102,RoleMatrix!$A$2:$A$7,0),MATCH($B$1,RoleMatrix!$B$1:$G$1,0)),0),I102)</f>
        <v>0</v>
      </c>
      <c r="K102" s="1" t="n">
        <f aca="false">MAX(I102,J102)</f>
        <v>0</v>
      </c>
      <c r="L102" s="1" t="n">
        <f aca="false">((D102+E102)/2-$C$1)*$H$1</f>
        <v>6</v>
      </c>
      <c r="M102" s="1" t="n">
        <f aca="false">F102-$D$1</f>
        <v>70</v>
      </c>
      <c r="N102" s="1" t="n">
        <f aca="false">IF(M102&gt;20,M102*$I$1,0)</f>
        <v>21</v>
      </c>
      <c r="O102" s="1" t="n">
        <f aca="false">IF(G102="Mixed",5,IF(G102=$E$1,-2,3))</f>
        <v>3</v>
      </c>
      <c r="P102" s="1" t="n">
        <f aca="false">(H102-$F$1)*3</f>
        <v>9</v>
      </c>
      <c r="Q102" s="1" t="n">
        <f aca="false">K102*$G$1+L102+N102+O102+P102</f>
        <v>39</v>
      </c>
      <c r="R102" s="1" t="n">
        <f aca="false">IFERROR(INDEX(ManualOverrides!$C$2:$C$1000,MATCH(A102&amp;"|"&amp;$A$1,ManualOverrides!$E$2:$E$1000,0)),Q102)</f>
        <v>39</v>
      </c>
      <c r="S102" s="1" t="n">
        <f aca="false">IF(OR($A$1="",A102=$A$1),-1000000000000000,R102)</f>
        <v>-1000000000000000</v>
      </c>
      <c r="T102" s="1" t="n">
        <f aca="false">S102+ROW()*0.0000001</f>
        <v>-1000000000000000</v>
      </c>
      <c r="U102" s="1" t="str">
        <f aca="false">Heroes!$M102</f>
        <v>Mid Lane</v>
      </c>
      <c r="V102" s="1" t="n">
        <f aca="false">IF(OR($A$1="",A102=$A$1,U102="",U102&lt;&gt;$J$1),-1000000000000000,R102)+ROW()*0.0000001</f>
        <v>-1000000000000000</v>
      </c>
    </row>
    <row r="103" customFormat="false" ht="15" hidden="false" customHeight="true" outlineLevel="0" collapsed="false">
      <c r="A103" s="1" t="str">
        <f aca="false">Heroes!$B103</f>
        <v>Mathilda</v>
      </c>
      <c r="B103" s="1" t="str">
        <f aca="false">Heroes!$C103</f>
        <v>Support</v>
      </c>
      <c r="C103" s="1" t="str">
        <f aca="false">Heroes!$D103</f>
        <v>Assassin</v>
      </c>
      <c r="D103" s="1" t="n">
        <f aca="false">Heroes!$E103</f>
        <v>20</v>
      </c>
      <c r="E103" s="1" t="n">
        <f aca="false">Heroes!$F103</f>
        <v>40</v>
      </c>
      <c r="F103" s="1" t="n">
        <f aca="false">Heroes!$H103</f>
        <v>40</v>
      </c>
      <c r="G103" s="1" t="str">
        <f aca="false">Heroes!$K103</f>
        <v>Magic</v>
      </c>
      <c r="H103" s="1" t="n">
        <f aca="false">Heroes!$Q103</f>
        <v>2</v>
      </c>
      <c r="I103" s="1" t="n">
        <f aca="false">IFERROR(INDEX(RoleMatrix!$B$2:$G$7,MATCH(B103,RoleMatrix!$A$2:$A$7,0),MATCH($B$1,RoleMatrix!$B$1:$G$1,0)),0)</f>
        <v>0</v>
      </c>
      <c r="J103" s="1" t="n">
        <f aca="false">IF(C103&lt;&gt;"",IFERROR(INDEX(RoleMatrix!$B$2:$G$7,MATCH(C103,RoleMatrix!$A$2:$A$7,0),MATCH($B$1,RoleMatrix!$B$1:$G$1,0)),0),I103)</f>
        <v>0</v>
      </c>
      <c r="K103" s="1" t="n">
        <f aca="false">MAX(I103,J103)</f>
        <v>0</v>
      </c>
      <c r="L103" s="1" t="n">
        <f aca="false">((D103+E103)/2-$C$1)*$H$1</f>
        <v>3</v>
      </c>
      <c r="M103" s="1" t="n">
        <f aca="false">F103-$D$1</f>
        <v>40</v>
      </c>
      <c r="N103" s="1" t="n">
        <f aca="false">IF(M103&gt;20,M103*$I$1,0)</f>
        <v>12</v>
      </c>
      <c r="O103" s="1" t="n">
        <f aca="false">IF(G103="Mixed",5,IF(G103=$E$1,-2,3))</f>
        <v>3</v>
      </c>
      <c r="P103" s="1" t="n">
        <f aca="false">(H103-$F$1)*3</f>
        <v>6</v>
      </c>
      <c r="Q103" s="1" t="n">
        <f aca="false">K103*$G$1+L103+N103+O103+P103</f>
        <v>24</v>
      </c>
      <c r="R103" s="1" t="n">
        <f aca="false">IFERROR(INDEX(ManualOverrides!$C$2:$C$1000,MATCH(A103&amp;"|"&amp;$A$1,ManualOverrides!$E$2:$E$1000,0)),Q103)</f>
        <v>24</v>
      </c>
      <c r="S103" s="1" t="n">
        <f aca="false">IF(OR($A$1="",A103=$A$1),-1000000000000000,R103)</f>
        <v>-1000000000000000</v>
      </c>
      <c r="T103" s="1" t="n">
        <f aca="false">S103+ROW()*0.0000001</f>
        <v>-1000000000000000</v>
      </c>
      <c r="U103" s="1" t="str">
        <f aca="false">Heroes!$M103</f>
        <v>Roaming</v>
      </c>
      <c r="V103" s="1" t="n">
        <f aca="false">IF(OR($A$1="",A103=$A$1,U103="",U103&lt;&gt;$J$1),-1000000000000000,R103)+ROW()*0.0000001</f>
        <v>-1000000000000000</v>
      </c>
    </row>
    <row r="104" customFormat="false" ht="15" hidden="false" customHeight="true" outlineLevel="0" collapsed="false">
      <c r="A104" s="1" t="str">
        <f aca="false">Heroes!$B104</f>
        <v>Paquito</v>
      </c>
      <c r="B104" s="1" t="str">
        <f aca="false">Heroes!$C104</f>
        <v>Fighter</v>
      </c>
      <c r="C104" s="1" t="str">
        <f aca="false">Heroes!$D104</f>
        <v>Assassin</v>
      </c>
      <c r="D104" s="1" t="n">
        <f aca="false">Heroes!$E104</f>
        <v>50</v>
      </c>
      <c r="E104" s="1" t="n">
        <f aca="false">Heroes!$F104</f>
        <v>40</v>
      </c>
      <c r="F104" s="1" t="n">
        <f aca="false">Heroes!$H104</f>
        <v>80</v>
      </c>
      <c r="G104" s="1" t="str">
        <f aca="false">Heroes!$K104</f>
        <v>Physical</v>
      </c>
      <c r="H104" s="1" t="n">
        <f aca="false">Heroes!$Q104</f>
        <v>1</v>
      </c>
      <c r="I104" s="1" t="n">
        <f aca="false">IFERROR(INDEX(RoleMatrix!$B$2:$G$7,MATCH(B104,RoleMatrix!$A$2:$A$7,0),MATCH($B$1,RoleMatrix!$B$1:$G$1,0)),0)</f>
        <v>0</v>
      </c>
      <c r="J104" s="1" t="n">
        <f aca="false">IF(C104&lt;&gt;"",IFERROR(INDEX(RoleMatrix!$B$2:$G$7,MATCH(C104,RoleMatrix!$A$2:$A$7,0),MATCH($B$1,RoleMatrix!$B$1:$G$1,0)),0),I104)</f>
        <v>0</v>
      </c>
      <c r="K104" s="1" t="n">
        <f aca="false">MAX(I104,J104)</f>
        <v>0</v>
      </c>
      <c r="L104" s="1" t="n">
        <f aca="false">((D104+E104)/2-$C$1)*$H$1</f>
        <v>4.5</v>
      </c>
      <c r="M104" s="1" t="n">
        <f aca="false">F104-$D$1</f>
        <v>80</v>
      </c>
      <c r="N104" s="1" t="n">
        <f aca="false">IF(M104&gt;20,M104*$I$1,0)</f>
        <v>24</v>
      </c>
      <c r="O104" s="1" t="n">
        <f aca="false">IF(G104="Mixed",5,IF(G104=$E$1,-2,3))</f>
        <v>3</v>
      </c>
      <c r="P104" s="1" t="n">
        <f aca="false">(H104-$F$1)*3</f>
        <v>3</v>
      </c>
      <c r="Q104" s="1" t="n">
        <f aca="false">K104*$G$1+L104+N104+O104+P104</f>
        <v>34.5</v>
      </c>
      <c r="R104" s="1" t="n">
        <f aca="false">IFERROR(INDEX(ManualOverrides!$C$2:$C$1000,MATCH(A104&amp;"|"&amp;$A$1,ManualOverrides!$E$2:$E$1000,0)),Q104)</f>
        <v>34.5</v>
      </c>
      <c r="S104" s="1" t="n">
        <f aca="false">IF(OR($A$1="",A104=$A$1),-1000000000000000,R104)</f>
        <v>-1000000000000000</v>
      </c>
      <c r="T104" s="1" t="n">
        <f aca="false">S104+ROW()*0.0000001</f>
        <v>-1000000000000000</v>
      </c>
      <c r="U104" s="1" t="str">
        <f aca="false">Heroes!$M104</f>
        <v>EXP Lane</v>
      </c>
      <c r="V104" s="1" t="n">
        <f aca="false">IF(OR($A$1="",A104=$A$1,U104="",U104&lt;&gt;$J$1),-1000000000000000,R104)+ROW()*0.0000001</f>
        <v>-1000000000000000</v>
      </c>
    </row>
    <row r="105" customFormat="false" ht="15" hidden="false" customHeight="true" outlineLevel="0" collapsed="false">
      <c r="A105" s="1" t="str">
        <f aca="false">Heroes!$B105</f>
        <v>Gloo</v>
      </c>
      <c r="B105" s="1" t="str">
        <f aca="false">Heroes!$C105</f>
        <v>Tank</v>
      </c>
      <c r="C105" s="1" t="n">
        <f aca="false">Heroes!$D105</f>
        <v>0</v>
      </c>
      <c r="D105" s="1" t="n">
        <f aca="false">Heroes!$E105</f>
        <v>30</v>
      </c>
      <c r="E105" s="1" t="n">
        <f aca="false">Heroes!$F105</f>
        <v>100</v>
      </c>
      <c r="F105" s="1" t="n">
        <f aca="false">Heroes!$H105</f>
        <v>70</v>
      </c>
      <c r="G105" s="1" t="str">
        <f aca="false">Heroes!$K105</f>
        <v>Magic</v>
      </c>
      <c r="H105" s="1" t="n">
        <f aca="false">Heroes!$Q105</f>
        <v>2</v>
      </c>
      <c r="I105" s="1" t="n">
        <f aca="false">IFERROR(INDEX(RoleMatrix!$B$2:$G$7,MATCH(B105,RoleMatrix!$A$2:$A$7,0),MATCH($B$1,RoleMatrix!$B$1:$G$1,0)),0)</f>
        <v>0</v>
      </c>
      <c r="J105" s="1" t="n">
        <f aca="false">IF(C105&lt;&gt;"",IFERROR(INDEX(RoleMatrix!$B$2:$G$7,MATCH(C105,RoleMatrix!$A$2:$A$7,0),MATCH($B$1,RoleMatrix!$B$1:$G$1,0)),0),I105)</f>
        <v>0</v>
      </c>
      <c r="K105" s="1" t="n">
        <f aca="false">MAX(I105,J105)</f>
        <v>0</v>
      </c>
      <c r="L105" s="1" t="n">
        <f aca="false">((D105+E105)/2-$C$1)*$H$1</f>
        <v>6.5</v>
      </c>
      <c r="M105" s="1" t="n">
        <f aca="false">F105-$D$1</f>
        <v>70</v>
      </c>
      <c r="N105" s="1" t="n">
        <f aca="false">IF(M105&gt;20,M105*$I$1,0)</f>
        <v>21</v>
      </c>
      <c r="O105" s="1" t="n">
        <f aca="false">IF(G105="Mixed",5,IF(G105=$E$1,-2,3))</f>
        <v>3</v>
      </c>
      <c r="P105" s="1" t="n">
        <f aca="false">(H105-$F$1)*3</f>
        <v>6</v>
      </c>
      <c r="Q105" s="1" t="n">
        <f aca="false">K105*$G$1+L105+N105+O105+P105</f>
        <v>36.5</v>
      </c>
      <c r="R105" s="1" t="n">
        <f aca="false">IFERROR(INDEX(ManualOverrides!$C$2:$C$1000,MATCH(A105&amp;"|"&amp;$A$1,ManualOverrides!$E$2:$E$1000,0)),Q105)</f>
        <v>36.5</v>
      </c>
      <c r="S105" s="1" t="n">
        <f aca="false">IF(OR($A$1="",A105=$A$1),-1000000000000000,R105)</f>
        <v>-1000000000000000</v>
      </c>
      <c r="T105" s="1" t="n">
        <f aca="false">S105+ROW()*0.0000001</f>
        <v>-1000000000000000</v>
      </c>
      <c r="U105" s="1" t="str">
        <f aca="false">Heroes!$M105</f>
        <v>Roaming</v>
      </c>
      <c r="V105" s="1" t="n">
        <f aca="false">IF(OR($A$1="",A105=$A$1,U105="",U105&lt;&gt;$J$1),-1000000000000000,R105)+ROW()*0.0000001</f>
        <v>-1000000000000000</v>
      </c>
    </row>
    <row r="106" customFormat="false" ht="15" hidden="false" customHeight="true" outlineLevel="0" collapsed="false">
      <c r="A106" s="1" t="str">
        <f aca="false">Heroes!$B106</f>
        <v>Beatrix</v>
      </c>
      <c r="B106" s="1" t="str">
        <f aca="false">Heroes!$C106</f>
        <v>Marksman</v>
      </c>
      <c r="C106" s="1" t="n">
        <f aca="false">Heroes!$D106</f>
        <v>0</v>
      </c>
      <c r="D106" s="1" t="n">
        <f aca="false">Heroes!$E106</f>
        <v>80</v>
      </c>
      <c r="E106" s="1" t="n">
        <f aca="false">Heroes!$F106</f>
        <v>10</v>
      </c>
      <c r="F106" s="1" t="n">
        <f aca="false">Heroes!$H106</f>
        <v>70</v>
      </c>
      <c r="G106" s="1" t="str">
        <f aca="false">Heroes!$K106</f>
        <v>Physical</v>
      </c>
      <c r="H106" s="1" t="n">
        <f aca="false">Heroes!$Q106</f>
        <v>4</v>
      </c>
      <c r="I106" s="1" t="n">
        <f aca="false">IFERROR(INDEX(RoleMatrix!$B$2:$G$7,MATCH(B106,RoleMatrix!$A$2:$A$7,0),MATCH($B$1,RoleMatrix!$B$1:$G$1,0)),0)</f>
        <v>0</v>
      </c>
      <c r="J106" s="1" t="n">
        <f aca="false">IF(C106&lt;&gt;"",IFERROR(INDEX(RoleMatrix!$B$2:$G$7,MATCH(C106,RoleMatrix!$A$2:$A$7,0),MATCH($B$1,RoleMatrix!$B$1:$G$1,0)),0),I106)</f>
        <v>0</v>
      </c>
      <c r="K106" s="1" t="n">
        <f aca="false">MAX(I106,J106)</f>
        <v>0</v>
      </c>
      <c r="L106" s="1" t="n">
        <f aca="false">((D106+E106)/2-$C$1)*$H$1</f>
        <v>4.5</v>
      </c>
      <c r="M106" s="1" t="n">
        <f aca="false">F106-$D$1</f>
        <v>70</v>
      </c>
      <c r="N106" s="1" t="n">
        <f aca="false">IF(M106&gt;20,M106*$I$1,0)</f>
        <v>21</v>
      </c>
      <c r="O106" s="1" t="n">
        <f aca="false">IF(G106="Mixed",5,IF(G106=$E$1,-2,3))</f>
        <v>3</v>
      </c>
      <c r="P106" s="1" t="n">
        <f aca="false">(H106-$F$1)*3</f>
        <v>12</v>
      </c>
      <c r="Q106" s="1" t="n">
        <f aca="false">K106*$G$1+L106+N106+O106+P106</f>
        <v>40.5</v>
      </c>
      <c r="R106" s="1" t="n">
        <f aca="false">IFERROR(INDEX(ManualOverrides!$C$2:$C$1000,MATCH(A106&amp;"|"&amp;$A$1,ManualOverrides!$E$2:$E$1000,0)),Q106)</f>
        <v>40.5</v>
      </c>
      <c r="S106" s="1" t="n">
        <f aca="false">IF(OR($A$1="",A106=$A$1),-1000000000000000,R106)</f>
        <v>-1000000000000000</v>
      </c>
      <c r="T106" s="1" t="n">
        <f aca="false">S106+ROW()*0.0000001</f>
        <v>-1000000000000000</v>
      </c>
      <c r="U106" s="1" t="str">
        <f aca="false">Heroes!$M106</f>
        <v>Gold Lane</v>
      </c>
      <c r="V106" s="1" t="n">
        <f aca="false">IF(OR($A$1="",A106=$A$1,U106="",U106&lt;&gt;$J$1),-1000000000000000,R106)+ROW()*0.0000001</f>
        <v>-1000000000000000</v>
      </c>
    </row>
    <row r="107" customFormat="false" ht="15" hidden="false" customHeight="true" outlineLevel="0" collapsed="false">
      <c r="A107" s="1" t="str">
        <f aca="false">Heroes!$B107</f>
        <v>Phoveus</v>
      </c>
      <c r="B107" s="1" t="str">
        <f aca="false">Heroes!$C107</f>
        <v>Fighter</v>
      </c>
      <c r="C107" s="1" t="n">
        <f aca="false">Heroes!$D107</f>
        <v>0</v>
      </c>
      <c r="D107" s="1" t="n">
        <f aca="false">Heroes!$E107</f>
        <v>70</v>
      </c>
      <c r="E107" s="1" t="n">
        <f aca="false">Heroes!$F107</f>
        <v>30</v>
      </c>
      <c r="F107" s="1" t="n">
        <f aca="false">Heroes!$H107</f>
        <v>30</v>
      </c>
      <c r="G107" s="1" t="str">
        <f aca="false">Heroes!$K107</f>
        <v>Mixed</v>
      </c>
      <c r="H107" s="1" t="n">
        <f aca="false">Heroes!$Q107</f>
        <v>3</v>
      </c>
      <c r="I107" s="1" t="n">
        <f aca="false">IFERROR(INDEX(RoleMatrix!$B$2:$G$7,MATCH(B107,RoleMatrix!$A$2:$A$7,0),MATCH($B$1,RoleMatrix!$B$1:$G$1,0)),0)</f>
        <v>0</v>
      </c>
      <c r="J107" s="1" t="n">
        <f aca="false">IF(C107&lt;&gt;"",IFERROR(INDEX(RoleMatrix!$B$2:$G$7,MATCH(C107,RoleMatrix!$A$2:$A$7,0),MATCH($B$1,RoleMatrix!$B$1:$G$1,0)),0),I107)</f>
        <v>0</v>
      </c>
      <c r="K107" s="1" t="n">
        <f aca="false">MAX(I107,J107)</f>
        <v>0</v>
      </c>
      <c r="L107" s="1" t="n">
        <f aca="false">((D107+E107)/2-$C$1)*$H$1</f>
        <v>5</v>
      </c>
      <c r="M107" s="1" t="n">
        <f aca="false">F107-$D$1</f>
        <v>30</v>
      </c>
      <c r="N107" s="1" t="n">
        <f aca="false">IF(M107&gt;20,M107*$I$1,0)</f>
        <v>9</v>
      </c>
      <c r="O107" s="1" t="n">
        <f aca="false">IF(G107="Mixed",5,IF(G107=$E$1,-2,3))</f>
        <v>5</v>
      </c>
      <c r="P107" s="1" t="n">
        <f aca="false">(H107-$F$1)*3</f>
        <v>9</v>
      </c>
      <c r="Q107" s="1" t="n">
        <f aca="false">K107*$G$1+L107+N107+O107+P107</f>
        <v>28</v>
      </c>
      <c r="R107" s="1" t="n">
        <f aca="false">IFERROR(INDEX(ManualOverrides!$C$2:$C$1000,MATCH(A107&amp;"|"&amp;$A$1,ManualOverrides!$E$2:$E$1000,0)),Q107)</f>
        <v>28</v>
      </c>
      <c r="S107" s="1" t="n">
        <f aca="false">IF(OR($A$1="",A107=$A$1),-1000000000000000,R107)</f>
        <v>-1000000000000000</v>
      </c>
      <c r="T107" s="1" t="n">
        <f aca="false">S107+ROW()*0.0000001</f>
        <v>-1000000000000000</v>
      </c>
      <c r="U107" s="1" t="str">
        <f aca="false">Heroes!$M107</f>
        <v>EXP Lane</v>
      </c>
      <c r="V107" s="1" t="n">
        <f aca="false">IF(OR($A$1="",A107=$A$1,U107="",U107&lt;&gt;$J$1),-1000000000000000,R107)+ROW()*0.0000001</f>
        <v>-1000000000000000</v>
      </c>
    </row>
    <row r="108" customFormat="false" ht="15" hidden="false" customHeight="true" outlineLevel="0" collapsed="false">
      <c r="A108" s="1" t="str">
        <f aca="false">Heroes!$B108</f>
        <v>Natan</v>
      </c>
      <c r="B108" s="1" t="str">
        <f aca="false">Heroes!$C108</f>
        <v>Marksman</v>
      </c>
      <c r="C108" s="1" t="n">
        <f aca="false">Heroes!$D108</f>
        <v>0</v>
      </c>
      <c r="D108" s="1" t="n">
        <f aca="false">Heroes!$E108</f>
        <v>60</v>
      </c>
      <c r="E108" s="1" t="n">
        <f aca="false">Heroes!$F108</f>
        <v>20</v>
      </c>
      <c r="F108" s="1" t="n">
        <f aca="false">Heroes!$H108</f>
        <v>20</v>
      </c>
      <c r="G108" s="1" t="str">
        <f aca="false">Heroes!$K108</f>
        <v>Magic</v>
      </c>
      <c r="H108" s="1" t="n">
        <f aca="false">Heroes!$Q108</f>
        <v>4</v>
      </c>
      <c r="I108" s="1" t="n">
        <f aca="false">IFERROR(INDEX(RoleMatrix!$B$2:$G$7,MATCH(B108,RoleMatrix!$A$2:$A$7,0),MATCH($B$1,RoleMatrix!$B$1:$G$1,0)),0)</f>
        <v>0</v>
      </c>
      <c r="J108" s="1" t="n">
        <f aca="false">IF(C108&lt;&gt;"",IFERROR(INDEX(RoleMatrix!$B$2:$G$7,MATCH(C108,RoleMatrix!$A$2:$A$7,0),MATCH($B$1,RoleMatrix!$B$1:$G$1,0)),0),I108)</f>
        <v>0</v>
      </c>
      <c r="K108" s="1" t="n">
        <f aca="false">MAX(I108,J108)</f>
        <v>0</v>
      </c>
      <c r="L108" s="1" t="n">
        <f aca="false">((D108+E108)/2-$C$1)*$H$1</f>
        <v>4</v>
      </c>
      <c r="M108" s="1" t="n">
        <f aca="false">F108-$D$1</f>
        <v>20</v>
      </c>
      <c r="N108" s="1" t="n">
        <f aca="false">IF(M108&gt;20,M108*$I$1,0)</f>
        <v>0</v>
      </c>
      <c r="O108" s="1" t="n">
        <f aca="false">IF(G108="Mixed",5,IF(G108=$E$1,-2,3))</f>
        <v>3</v>
      </c>
      <c r="P108" s="1" t="n">
        <f aca="false">(H108-$F$1)*3</f>
        <v>12</v>
      </c>
      <c r="Q108" s="1" t="n">
        <f aca="false">K108*$G$1+L108+N108+O108+P108</f>
        <v>19</v>
      </c>
      <c r="R108" s="1" t="n">
        <f aca="false">IFERROR(INDEX(ManualOverrides!$C$2:$C$1000,MATCH(A108&amp;"|"&amp;$A$1,ManualOverrides!$E$2:$E$1000,0)),Q108)</f>
        <v>19</v>
      </c>
      <c r="S108" s="1" t="n">
        <f aca="false">IF(OR($A$1="",A108=$A$1),-1000000000000000,R108)</f>
        <v>-1000000000000000</v>
      </c>
      <c r="T108" s="1" t="n">
        <f aca="false">S108+ROW()*0.0000001</f>
        <v>-1000000000000000</v>
      </c>
      <c r="U108" s="1" t="str">
        <f aca="false">Heroes!$M108</f>
        <v>Gold Lane</v>
      </c>
      <c r="V108" s="1" t="n">
        <f aca="false">IF(OR($A$1="",A108=$A$1,U108="",U108&lt;&gt;$J$1),-1000000000000000,R108)+ROW()*0.0000001</f>
        <v>-1000000000000000</v>
      </c>
    </row>
    <row r="109" customFormat="false" ht="15" hidden="false" customHeight="true" outlineLevel="0" collapsed="false">
      <c r="A109" s="1" t="str">
        <f aca="false">Heroes!$B109</f>
        <v>Aulus</v>
      </c>
      <c r="B109" s="1" t="str">
        <f aca="false">Heroes!$C109</f>
        <v>Fighter</v>
      </c>
      <c r="C109" s="1" t="n">
        <f aca="false">Heroes!$D109</f>
        <v>0</v>
      </c>
      <c r="D109" s="1" t="n">
        <f aca="false">Heroes!$E109</f>
        <v>60</v>
      </c>
      <c r="E109" s="1" t="n">
        <f aca="false">Heroes!$F109</f>
        <v>10</v>
      </c>
      <c r="F109" s="1" t="n">
        <f aca="false">Heroes!$H109</f>
        <v>40</v>
      </c>
      <c r="G109" s="1" t="str">
        <f aca="false">Heroes!$K109</f>
        <v>Physical</v>
      </c>
      <c r="H109" s="1" t="n">
        <f aca="false">Heroes!$Q109</f>
        <v>3</v>
      </c>
      <c r="I109" s="1" t="n">
        <f aca="false">IFERROR(INDEX(RoleMatrix!$B$2:$G$7,MATCH(B109,RoleMatrix!$A$2:$A$7,0),MATCH($B$1,RoleMatrix!$B$1:$G$1,0)),0)</f>
        <v>0</v>
      </c>
      <c r="J109" s="1" t="n">
        <f aca="false">IF(C109&lt;&gt;"",IFERROR(INDEX(RoleMatrix!$B$2:$G$7,MATCH(C109,RoleMatrix!$A$2:$A$7,0),MATCH($B$1,RoleMatrix!$B$1:$G$1,0)),0),I109)</f>
        <v>0</v>
      </c>
      <c r="K109" s="1" t="n">
        <f aca="false">MAX(I109,J109)</f>
        <v>0</v>
      </c>
      <c r="L109" s="1" t="n">
        <f aca="false">((D109+E109)/2-$C$1)*$H$1</f>
        <v>3.5</v>
      </c>
      <c r="M109" s="1" t="n">
        <f aca="false">F109-$D$1</f>
        <v>40</v>
      </c>
      <c r="N109" s="1" t="n">
        <f aca="false">IF(M109&gt;20,M109*$I$1,0)</f>
        <v>12</v>
      </c>
      <c r="O109" s="1" t="n">
        <f aca="false">IF(G109="Mixed",5,IF(G109=$E$1,-2,3))</f>
        <v>3</v>
      </c>
      <c r="P109" s="1" t="n">
        <f aca="false">(H109-$F$1)*3</f>
        <v>9</v>
      </c>
      <c r="Q109" s="1" t="n">
        <f aca="false">K109*$G$1+L109+N109+O109+P109</f>
        <v>27.5</v>
      </c>
      <c r="R109" s="1" t="n">
        <f aca="false">IFERROR(INDEX(ManualOverrides!$C$2:$C$1000,MATCH(A109&amp;"|"&amp;$A$1,ManualOverrides!$E$2:$E$1000,0)),Q109)</f>
        <v>27.5</v>
      </c>
      <c r="S109" s="1" t="n">
        <f aca="false">IF(OR($A$1="",A109=$A$1),-1000000000000000,R109)</f>
        <v>-1000000000000000</v>
      </c>
      <c r="T109" s="1" t="n">
        <f aca="false">S109+ROW()*0.0000001</f>
        <v>-1000000000000000</v>
      </c>
      <c r="U109" s="1" t="str">
        <f aca="false">Heroes!$M109</f>
        <v>Jungle</v>
      </c>
      <c r="V109" s="1" t="n">
        <f aca="false">IF(OR($A$1="",A109=$A$1,U109="",U109&lt;&gt;$J$1),-1000000000000000,R109)+ROW()*0.0000001</f>
        <v>-1000000000000000</v>
      </c>
    </row>
    <row r="110" customFormat="false" ht="15" hidden="false" customHeight="true" outlineLevel="0" collapsed="false">
      <c r="A110" s="1" t="str">
        <f aca="false">Heroes!$B110</f>
        <v>Aamon</v>
      </c>
      <c r="B110" s="1" t="str">
        <f aca="false">Heroes!$C110</f>
        <v>Assassin</v>
      </c>
      <c r="C110" s="1" t="n">
        <f aca="false">Heroes!$D110</f>
        <v>0</v>
      </c>
      <c r="D110" s="1" t="n">
        <f aca="false">Heroes!$E110</f>
        <v>70</v>
      </c>
      <c r="E110" s="1" t="n">
        <f aca="false">Heroes!$F110</f>
        <v>10</v>
      </c>
      <c r="F110" s="1" t="n">
        <f aca="false">Heroes!$H110</f>
        <v>50</v>
      </c>
      <c r="G110" s="1" t="str">
        <f aca="false">Heroes!$K110</f>
        <v>Magic</v>
      </c>
      <c r="H110" s="1" t="n">
        <f aca="false">Heroes!$Q110</f>
        <v>2</v>
      </c>
      <c r="I110" s="1" t="n">
        <f aca="false">IFERROR(INDEX(RoleMatrix!$B$2:$G$7,MATCH(B110,RoleMatrix!$A$2:$A$7,0),MATCH($B$1,RoleMatrix!$B$1:$G$1,0)),0)</f>
        <v>0</v>
      </c>
      <c r="J110" s="1" t="n">
        <f aca="false">IF(C110&lt;&gt;"",IFERROR(INDEX(RoleMatrix!$B$2:$G$7,MATCH(C110,RoleMatrix!$A$2:$A$7,0),MATCH($B$1,RoleMatrix!$B$1:$G$1,0)),0),I110)</f>
        <v>0</v>
      </c>
      <c r="K110" s="1" t="n">
        <f aca="false">MAX(I110,J110)</f>
        <v>0</v>
      </c>
      <c r="L110" s="1" t="n">
        <f aca="false">((D110+E110)/2-$C$1)*$H$1</f>
        <v>4</v>
      </c>
      <c r="M110" s="1" t="n">
        <f aca="false">F110-$D$1</f>
        <v>50</v>
      </c>
      <c r="N110" s="1" t="n">
        <f aca="false">IF(M110&gt;20,M110*$I$1,0)</f>
        <v>15</v>
      </c>
      <c r="O110" s="1" t="n">
        <f aca="false">IF(G110="Mixed",5,IF(G110=$E$1,-2,3))</f>
        <v>3</v>
      </c>
      <c r="P110" s="1" t="n">
        <f aca="false">(H110-$F$1)*3</f>
        <v>6</v>
      </c>
      <c r="Q110" s="1" t="n">
        <f aca="false">K110*$G$1+L110+N110+O110+P110</f>
        <v>28</v>
      </c>
      <c r="R110" s="1" t="n">
        <f aca="false">IFERROR(INDEX(ManualOverrides!$C$2:$C$1000,MATCH(A110&amp;"|"&amp;$A$1,ManualOverrides!$E$2:$E$1000,0)),Q110)</f>
        <v>28</v>
      </c>
      <c r="S110" s="1" t="n">
        <f aca="false">IF(OR($A$1="",A110=$A$1),-1000000000000000,R110)</f>
        <v>-1000000000000000</v>
      </c>
      <c r="T110" s="1" t="n">
        <f aca="false">S110+ROW()*0.0000001</f>
        <v>-1000000000000000</v>
      </c>
      <c r="U110" s="1" t="str">
        <f aca="false">Heroes!$M110</f>
        <v>Jungle</v>
      </c>
      <c r="V110" s="1" t="n">
        <f aca="false">IF(OR($A$1="",A110=$A$1,U110="",U110&lt;&gt;$J$1),-1000000000000000,R110)+ROW()*0.0000001</f>
        <v>-1000000000000000</v>
      </c>
    </row>
    <row r="111" customFormat="false" ht="15" hidden="false" customHeight="true" outlineLevel="0" collapsed="false">
      <c r="A111" s="1" t="str">
        <f aca="false">Heroes!$B111</f>
        <v>Valentina</v>
      </c>
      <c r="B111" s="1" t="str">
        <f aca="false">Heroes!$C111</f>
        <v>Mage</v>
      </c>
      <c r="C111" s="1" t="n">
        <f aca="false">Heroes!$D111</f>
        <v>0</v>
      </c>
      <c r="D111" s="1" t="n">
        <f aca="false">Heroes!$E111</f>
        <v>90</v>
      </c>
      <c r="E111" s="1" t="n">
        <f aca="false">Heroes!$F111</f>
        <v>80</v>
      </c>
      <c r="F111" s="1" t="n">
        <f aca="false">Heroes!$H111</f>
        <v>80</v>
      </c>
      <c r="G111" s="1" t="str">
        <f aca="false">Heroes!$K111</f>
        <v>Magic</v>
      </c>
      <c r="H111" s="1" t="n">
        <f aca="false">Heroes!$Q111</f>
        <v>3</v>
      </c>
      <c r="I111" s="1" t="n">
        <f aca="false">IFERROR(INDEX(RoleMatrix!$B$2:$G$7,MATCH(B111,RoleMatrix!$A$2:$A$7,0),MATCH($B$1,RoleMatrix!$B$1:$G$1,0)),0)</f>
        <v>0</v>
      </c>
      <c r="J111" s="1" t="n">
        <f aca="false">IF(C111&lt;&gt;"",IFERROR(INDEX(RoleMatrix!$B$2:$G$7,MATCH(C111,RoleMatrix!$A$2:$A$7,0),MATCH($B$1,RoleMatrix!$B$1:$G$1,0)),0),I111)</f>
        <v>0</v>
      </c>
      <c r="K111" s="1" t="n">
        <f aca="false">MAX(I111,J111)</f>
        <v>0</v>
      </c>
      <c r="L111" s="1" t="n">
        <f aca="false">((D111+E111)/2-$C$1)*$H$1</f>
        <v>8.5</v>
      </c>
      <c r="M111" s="1" t="n">
        <f aca="false">F111-$D$1</f>
        <v>80</v>
      </c>
      <c r="N111" s="1" t="n">
        <f aca="false">IF(M111&gt;20,M111*$I$1,0)</f>
        <v>24</v>
      </c>
      <c r="O111" s="1" t="n">
        <f aca="false">IF(G111="Mixed",5,IF(G111=$E$1,-2,3))</f>
        <v>3</v>
      </c>
      <c r="P111" s="1" t="n">
        <f aca="false">(H111-$F$1)*3</f>
        <v>9</v>
      </c>
      <c r="Q111" s="1" t="n">
        <f aca="false">K111*$G$1+L111+N111+O111+P111</f>
        <v>44.5</v>
      </c>
      <c r="R111" s="1" t="n">
        <f aca="false">IFERROR(INDEX(ManualOverrides!$C$2:$C$1000,MATCH(A111&amp;"|"&amp;$A$1,ManualOverrides!$E$2:$E$1000,0)),Q111)</f>
        <v>44.5</v>
      </c>
      <c r="S111" s="1" t="n">
        <f aca="false">IF(OR($A$1="",A111=$A$1),-1000000000000000,R111)</f>
        <v>-1000000000000000</v>
      </c>
      <c r="T111" s="1" t="n">
        <f aca="false">S111+ROW()*0.0000001</f>
        <v>-1000000000000000</v>
      </c>
      <c r="U111" s="1" t="str">
        <f aca="false">Heroes!$M111</f>
        <v>Mid Lane</v>
      </c>
      <c r="V111" s="1" t="n">
        <f aca="false">IF(OR($A$1="",A111=$A$1,U111="",U111&lt;&gt;$J$1),-1000000000000000,R111)+ROW()*0.0000001</f>
        <v>-1000000000000000</v>
      </c>
    </row>
    <row r="112" customFormat="false" ht="15" hidden="false" customHeight="true" outlineLevel="0" collapsed="false">
      <c r="A112" s="1" t="str">
        <f aca="false">Heroes!$B112</f>
        <v>Edith</v>
      </c>
      <c r="B112" s="1" t="str">
        <f aca="false">Heroes!$C112</f>
        <v>Tank</v>
      </c>
      <c r="C112" s="1" t="str">
        <f aca="false">Heroes!$D112</f>
        <v>Marksman</v>
      </c>
      <c r="D112" s="1" t="n">
        <f aca="false">Heroes!$E112</f>
        <v>30</v>
      </c>
      <c r="E112" s="1" t="n">
        <f aca="false">Heroes!$F112</f>
        <v>100</v>
      </c>
      <c r="F112" s="1" t="n">
        <f aca="false">Heroes!$H112</f>
        <v>30</v>
      </c>
      <c r="G112" s="1" t="str">
        <f aca="false">Heroes!$K112</f>
        <v>Mixed</v>
      </c>
      <c r="H112" s="1" t="n">
        <f aca="false">Heroes!$Q112</f>
        <v>5</v>
      </c>
      <c r="I112" s="1" t="n">
        <f aca="false">IFERROR(INDEX(RoleMatrix!$B$2:$G$7,MATCH(B112,RoleMatrix!$A$2:$A$7,0),MATCH($B$1,RoleMatrix!$B$1:$G$1,0)),0)</f>
        <v>0</v>
      </c>
      <c r="J112" s="1" t="n">
        <f aca="false">IF(C112&lt;&gt;"",IFERROR(INDEX(RoleMatrix!$B$2:$G$7,MATCH(C112,RoleMatrix!$A$2:$A$7,0),MATCH($B$1,RoleMatrix!$B$1:$G$1,0)),0),I112)</f>
        <v>0</v>
      </c>
      <c r="K112" s="1" t="n">
        <f aca="false">MAX(I112,J112)</f>
        <v>0</v>
      </c>
      <c r="L112" s="1" t="n">
        <f aca="false">((D112+E112)/2-$C$1)*$H$1</f>
        <v>6.5</v>
      </c>
      <c r="M112" s="1" t="n">
        <f aca="false">F112-$D$1</f>
        <v>30</v>
      </c>
      <c r="N112" s="1" t="n">
        <f aca="false">IF(M112&gt;20,M112*$I$1,0)</f>
        <v>9</v>
      </c>
      <c r="O112" s="1" t="n">
        <f aca="false">IF(G112="Mixed",5,IF(G112=$E$1,-2,3))</f>
        <v>5</v>
      </c>
      <c r="P112" s="1" t="n">
        <f aca="false">(H112-$F$1)*3</f>
        <v>15</v>
      </c>
      <c r="Q112" s="1" t="n">
        <f aca="false">K112*$G$1+L112+N112+O112+P112</f>
        <v>35.5</v>
      </c>
      <c r="R112" s="1" t="n">
        <f aca="false">IFERROR(INDEX(ManualOverrides!$C$2:$C$1000,MATCH(A112&amp;"|"&amp;$A$1,ManualOverrides!$E$2:$E$1000,0)),Q112)</f>
        <v>35.5</v>
      </c>
      <c r="S112" s="1" t="n">
        <f aca="false">IF(OR($A$1="",A112=$A$1),-1000000000000000,R112)</f>
        <v>-1000000000000000</v>
      </c>
      <c r="T112" s="1" t="n">
        <f aca="false">S112+ROW()*0.0000001</f>
        <v>-1000000000000000</v>
      </c>
      <c r="U112" s="1" t="str">
        <f aca="false">Heroes!$M112</f>
        <v>EXP Lane</v>
      </c>
      <c r="V112" s="1" t="n">
        <f aca="false">IF(OR($A$1="",A112=$A$1,U112="",U112&lt;&gt;$J$1),-1000000000000000,R112)+ROW()*0.0000001</f>
        <v>-1000000000000000</v>
      </c>
    </row>
    <row r="113" customFormat="false" ht="15" hidden="false" customHeight="true" outlineLevel="0" collapsed="false">
      <c r="A113" s="1" t="str">
        <f aca="false">Heroes!$B113</f>
        <v>Floryn</v>
      </c>
      <c r="B113" s="1" t="str">
        <f aca="false">Heroes!$C113</f>
        <v>Support</v>
      </c>
      <c r="C113" s="1" t="n">
        <f aca="false">Heroes!$D113</f>
        <v>0</v>
      </c>
      <c r="D113" s="1" t="n">
        <f aca="false">Heroes!$E113</f>
        <v>10</v>
      </c>
      <c r="E113" s="1" t="n">
        <f aca="false">Heroes!$F113</f>
        <v>70</v>
      </c>
      <c r="F113" s="1" t="n">
        <f aca="false">Heroes!$H113</f>
        <v>10</v>
      </c>
      <c r="G113" s="1" t="str">
        <f aca="false">Heroes!$K113</f>
        <v>Magic</v>
      </c>
      <c r="H113" s="1" t="n">
        <f aca="false">Heroes!$Q113</f>
        <v>3</v>
      </c>
      <c r="I113" s="1" t="n">
        <f aca="false">IFERROR(INDEX(RoleMatrix!$B$2:$G$7,MATCH(B113,RoleMatrix!$A$2:$A$7,0),MATCH($B$1,RoleMatrix!$B$1:$G$1,0)),0)</f>
        <v>0</v>
      </c>
      <c r="J113" s="1" t="n">
        <f aca="false">IF(C113&lt;&gt;"",IFERROR(INDEX(RoleMatrix!$B$2:$G$7,MATCH(C113,RoleMatrix!$A$2:$A$7,0),MATCH($B$1,RoleMatrix!$B$1:$G$1,0)),0),I113)</f>
        <v>0</v>
      </c>
      <c r="K113" s="1" t="n">
        <f aca="false">MAX(I113,J113)</f>
        <v>0</v>
      </c>
      <c r="L113" s="1" t="n">
        <f aca="false">((D113+E113)/2-$C$1)*$H$1</f>
        <v>4</v>
      </c>
      <c r="M113" s="1" t="n">
        <f aca="false">F113-$D$1</f>
        <v>10</v>
      </c>
      <c r="N113" s="1" t="n">
        <f aca="false">IF(M113&gt;20,M113*$I$1,0)</f>
        <v>0</v>
      </c>
      <c r="O113" s="1" t="n">
        <f aca="false">IF(G113="Mixed",5,IF(G113=$E$1,-2,3))</f>
        <v>3</v>
      </c>
      <c r="P113" s="1" t="n">
        <f aca="false">(H113-$F$1)*3</f>
        <v>9</v>
      </c>
      <c r="Q113" s="1" t="n">
        <f aca="false">K113*$G$1+L113+N113+O113+P113</f>
        <v>16</v>
      </c>
      <c r="R113" s="1" t="n">
        <f aca="false">IFERROR(INDEX(ManualOverrides!$C$2:$C$1000,MATCH(A113&amp;"|"&amp;$A$1,ManualOverrides!$E$2:$E$1000,0)),Q113)</f>
        <v>16</v>
      </c>
      <c r="S113" s="1" t="n">
        <f aca="false">IF(OR($A$1="",A113=$A$1),-1000000000000000,R113)</f>
        <v>-1000000000000000</v>
      </c>
      <c r="T113" s="1" t="n">
        <f aca="false">S113+ROW()*0.0000001</f>
        <v>-1000000000000000</v>
      </c>
      <c r="U113" s="1" t="str">
        <f aca="false">Heroes!$M113</f>
        <v>Roaming</v>
      </c>
      <c r="V113" s="1" t="n">
        <f aca="false">IF(OR($A$1="",A113=$A$1,U113="",U113&lt;&gt;$J$1),-1000000000000000,R113)+ROW()*0.0000001</f>
        <v>-1000000000000000</v>
      </c>
    </row>
    <row r="114" customFormat="false" ht="15" hidden="false" customHeight="true" outlineLevel="0" collapsed="false">
      <c r="A114" s="1" t="str">
        <f aca="false">Heroes!$B114</f>
        <v>Yin</v>
      </c>
      <c r="B114" s="1" t="str">
        <f aca="false">Heroes!$C114</f>
        <v>Fighter</v>
      </c>
      <c r="C114" s="1" t="str">
        <f aca="false">Heroes!$D114</f>
        <v>Assassin</v>
      </c>
      <c r="D114" s="1" t="n">
        <f aca="false">Heroes!$E114</f>
        <v>60</v>
      </c>
      <c r="E114" s="1" t="n">
        <f aca="false">Heroes!$F114</f>
        <v>80</v>
      </c>
      <c r="F114" s="1" t="n">
        <f aca="false">Heroes!$H114</f>
        <v>40</v>
      </c>
      <c r="G114" s="1" t="str">
        <f aca="false">Heroes!$K114</f>
        <v>Physical</v>
      </c>
      <c r="H114" s="1" t="n">
        <f aca="false">Heroes!$Q114</f>
        <v>3</v>
      </c>
      <c r="I114" s="1" t="n">
        <f aca="false">IFERROR(INDEX(RoleMatrix!$B$2:$G$7,MATCH(B114,RoleMatrix!$A$2:$A$7,0),MATCH($B$1,RoleMatrix!$B$1:$G$1,0)),0)</f>
        <v>0</v>
      </c>
      <c r="J114" s="1" t="n">
        <f aca="false">IF(C114&lt;&gt;"",IFERROR(INDEX(RoleMatrix!$B$2:$G$7,MATCH(C114,RoleMatrix!$A$2:$A$7,0),MATCH($B$1,RoleMatrix!$B$1:$G$1,0)),0),I114)</f>
        <v>0</v>
      </c>
      <c r="K114" s="1" t="n">
        <f aca="false">MAX(I114,J114)</f>
        <v>0</v>
      </c>
      <c r="L114" s="1" t="n">
        <f aca="false">((D114+E114)/2-$C$1)*$H$1</f>
        <v>7</v>
      </c>
      <c r="M114" s="1" t="n">
        <f aca="false">F114-$D$1</f>
        <v>40</v>
      </c>
      <c r="N114" s="1" t="n">
        <f aca="false">IF(M114&gt;20,M114*$I$1,0)</f>
        <v>12</v>
      </c>
      <c r="O114" s="1" t="n">
        <f aca="false">IF(G114="Mixed",5,IF(G114=$E$1,-2,3))</f>
        <v>3</v>
      </c>
      <c r="P114" s="1" t="n">
        <f aca="false">(H114-$F$1)*3</f>
        <v>9</v>
      </c>
      <c r="Q114" s="1" t="n">
        <f aca="false">K114*$G$1+L114+N114+O114+P114</f>
        <v>31</v>
      </c>
      <c r="R114" s="1" t="n">
        <f aca="false">IFERROR(INDEX(ManualOverrides!$C$2:$C$1000,MATCH(A114&amp;"|"&amp;$A$1,ManualOverrides!$E$2:$E$1000,0)),Q114)</f>
        <v>31</v>
      </c>
      <c r="S114" s="1" t="n">
        <f aca="false">IF(OR($A$1="",A114=$A$1),-1000000000000000,R114)</f>
        <v>-1000000000000000</v>
      </c>
      <c r="T114" s="1" t="n">
        <f aca="false">S114+ROW()*0.0000001</f>
        <v>-1000000000000000</v>
      </c>
      <c r="U114" s="1" t="str">
        <f aca="false">Heroes!$M114</f>
        <v>Jungle</v>
      </c>
      <c r="V114" s="1" t="n">
        <f aca="false">IF(OR($A$1="",A114=$A$1,U114="",U114&lt;&gt;$J$1),-1000000000000000,R114)+ROW()*0.0000001</f>
        <v>-1000000000000000</v>
      </c>
    </row>
    <row r="115" customFormat="false" ht="15" hidden="false" customHeight="true" outlineLevel="0" collapsed="false">
      <c r="A115" s="1" t="str">
        <f aca="false">Heroes!$B115</f>
        <v>Melissa</v>
      </c>
      <c r="B115" s="1" t="str">
        <f aca="false">Heroes!$C115</f>
        <v>Marksman</v>
      </c>
      <c r="C115" s="1" t="n">
        <f aca="false">Heroes!$D115</f>
        <v>0</v>
      </c>
      <c r="D115" s="1" t="n">
        <f aca="false">Heroes!$E115</f>
        <v>90</v>
      </c>
      <c r="E115" s="1" t="n">
        <f aca="false">Heroes!$F115</f>
        <v>40</v>
      </c>
      <c r="F115" s="1" t="n">
        <f aca="false">Heroes!$H115</f>
        <v>40</v>
      </c>
      <c r="G115" s="1" t="str">
        <f aca="false">Heroes!$K115</f>
        <v>Mixed</v>
      </c>
      <c r="H115" s="1" t="n">
        <f aca="false">Heroes!$Q115</f>
        <v>4</v>
      </c>
      <c r="I115" s="1" t="n">
        <f aca="false">IFERROR(INDEX(RoleMatrix!$B$2:$G$7,MATCH(B115,RoleMatrix!$A$2:$A$7,0),MATCH($B$1,RoleMatrix!$B$1:$G$1,0)),0)</f>
        <v>0</v>
      </c>
      <c r="J115" s="1" t="n">
        <f aca="false">IF(C115&lt;&gt;"",IFERROR(INDEX(RoleMatrix!$B$2:$G$7,MATCH(C115,RoleMatrix!$A$2:$A$7,0),MATCH($B$1,RoleMatrix!$B$1:$G$1,0)),0),I115)</f>
        <v>0</v>
      </c>
      <c r="K115" s="1" t="n">
        <f aca="false">MAX(I115,J115)</f>
        <v>0</v>
      </c>
      <c r="L115" s="1" t="n">
        <f aca="false">((D115+E115)/2-$C$1)*$H$1</f>
        <v>6.5</v>
      </c>
      <c r="M115" s="1" t="n">
        <f aca="false">F115-$D$1</f>
        <v>40</v>
      </c>
      <c r="N115" s="1" t="n">
        <f aca="false">IF(M115&gt;20,M115*$I$1,0)</f>
        <v>12</v>
      </c>
      <c r="O115" s="1" t="n">
        <f aca="false">IF(G115="Mixed",5,IF(G115=$E$1,-2,3))</f>
        <v>5</v>
      </c>
      <c r="P115" s="1" t="n">
        <f aca="false">(H115-$F$1)*3</f>
        <v>12</v>
      </c>
      <c r="Q115" s="1" t="n">
        <f aca="false">K115*$G$1+L115+N115+O115+P115</f>
        <v>35.5</v>
      </c>
      <c r="R115" s="1" t="n">
        <f aca="false">IFERROR(INDEX(ManualOverrides!$C$2:$C$1000,MATCH(A115&amp;"|"&amp;$A$1,ManualOverrides!$E$2:$E$1000,0)),Q115)</f>
        <v>35.5</v>
      </c>
      <c r="S115" s="1" t="n">
        <f aca="false">IF(OR($A$1="",A115=$A$1),-1000000000000000,R115)</f>
        <v>-1000000000000000</v>
      </c>
      <c r="T115" s="1" t="n">
        <f aca="false">S115+ROW()*0.0000001</f>
        <v>-1000000000000000</v>
      </c>
      <c r="U115" s="1" t="str">
        <f aca="false">Heroes!$M115</f>
        <v>Gold Lane</v>
      </c>
      <c r="V115" s="1" t="n">
        <f aca="false">IF(OR($A$1="",A115=$A$1,U115="",U115&lt;&gt;$J$1),-1000000000000000,R115)+ROW()*0.0000001</f>
        <v>-1000000000000000</v>
      </c>
    </row>
    <row r="116" customFormat="false" ht="15" hidden="false" customHeight="true" outlineLevel="0" collapsed="false">
      <c r="A116" s="1" t="str">
        <f aca="false">Heroes!$B116</f>
        <v>Xavier</v>
      </c>
      <c r="B116" s="1" t="str">
        <f aca="false">Heroes!$C116</f>
        <v>Mage</v>
      </c>
      <c r="C116" s="1" t="n">
        <f aca="false">Heroes!$D116</f>
        <v>0</v>
      </c>
      <c r="D116" s="1" t="n">
        <f aca="false">Heroes!$E116</f>
        <v>100</v>
      </c>
      <c r="E116" s="1" t="n">
        <f aca="false">Heroes!$F116</f>
        <v>80</v>
      </c>
      <c r="F116" s="1" t="n">
        <f aca="false">Heroes!$H116</f>
        <v>30</v>
      </c>
      <c r="G116" s="1" t="str">
        <f aca="false">Heroes!$K116</f>
        <v>Magic</v>
      </c>
      <c r="H116" s="1" t="n">
        <f aca="false">Heroes!$Q116</f>
        <v>3</v>
      </c>
      <c r="I116" s="1" t="n">
        <f aca="false">IFERROR(INDEX(RoleMatrix!$B$2:$G$7,MATCH(B116,RoleMatrix!$A$2:$A$7,0),MATCH($B$1,RoleMatrix!$B$1:$G$1,0)),0)</f>
        <v>0</v>
      </c>
      <c r="J116" s="1" t="n">
        <f aca="false">IF(C116&lt;&gt;"",IFERROR(INDEX(RoleMatrix!$B$2:$G$7,MATCH(C116,RoleMatrix!$A$2:$A$7,0),MATCH($B$1,RoleMatrix!$B$1:$G$1,0)),0),I116)</f>
        <v>0</v>
      </c>
      <c r="K116" s="1" t="n">
        <f aca="false">MAX(I116,J116)</f>
        <v>0</v>
      </c>
      <c r="L116" s="1" t="n">
        <f aca="false">((D116+E116)/2-$C$1)*$H$1</f>
        <v>9</v>
      </c>
      <c r="M116" s="1" t="n">
        <f aca="false">F116-$D$1</f>
        <v>30</v>
      </c>
      <c r="N116" s="1" t="n">
        <f aca="false">IF(M116&gt;20,M116*$I$1,0)</f>
        <v>9</v>
      </c>
      <c r="O116" s="1" t="n">
        <f aca="false">IF(G116="Mixed",5,IF(G116=$E$1,-2,3))</f>
        <v>3</v>
      </c>
      <c r="P116" s="1" t="n">
        <f aca="false">(H116-$F$1)*3</f>
        <v>9</v>
      </c>
      <c r="Q116" s="1" t="n">
        <f aca="false">K116*$G$1+L116+N116+O116+P116</f>
        <v>30</v>
      </c>
      <c r="R116" s="1" t="n">
        <f aca="false">IFERROR(INDEX(ManualOverrides!$C$2:$C$1000,MATCH(A116&amp;"|"&amp;$A$1,ManualOverrides!$E$2:$E$1000,0)),Q116)</f>
        <v>30</v>
      </c>
      <c r="S116" s="1" t="n">
        <f aca="false">IF(OR($A$1="",A116=$A$1),-1000000000000000,R116)</f>
        <v>-1000000000000000</v>
      </c>
      <c r="T116" s="1" t="n">
        <f aca="false">S116+ROW()*0.0000001</f>
        <v>-1000000000000000</v>
      </c>
      <c r="U116" s="1" t="str">
        <f aca="false">Heroes!$M116</f>
        <v>Mid Lane</v>
      </c>
      <c r="V116" s="1" t="n">
        <f aca="false">IF(OR($A$1="",A116=$A$1,U116="",U116&lt;&gt;$J$1),-1000000000000000,R116)+ROW()*0.0000001</f>
        <v>-1000000000000000</v>
      </c>
    </row>
    <row r="117" customFormat="false" ht="15" hidden="false" customHeight="true" outlineLevel="0" collapsed="false">
      <c r="A117" s="1" t="str">
        <f aca="false">Heroes!$B117</f>
        <v>Julian</v>
      </c>
      <c r="B117" s="1" t="str">
        <f aca="false">Heroes!$C117</f>
        <v>Assassin</v>
      </c>
      <c r="C117" s="1" t="str">
        <f aca="false">Heroes!$D117</f>
        <v>Fighter</v>
      </c>
      <c r="D117" s="1" t="n">
        <f aca="false">Heroes!$E117</f>
        <v>60</v>
      </c>
      <c r="E117" s="1" t="n">
        <f aca="false">Heroes!$F117</f>
        <v>70</v>
      </c>
      <c r="F117" s="1" t="n">
        <f aca="false">Heroes!$H117</f>
        <v>20</v>
      </c>
      <c r="G117" s="1" t="str">
        <f aca="false">Heroes!$K117</f>
        <v>Magic</v>
      </c>
      <c r="H117" s="1" t="n">
        <f aca="false">Heroes!$Q117</f>
        <v>2</v>
      </c>
      <c r="I117" s="1" t="n">
        <f aca="false">IFERROR(INDEX(RoleMatrix!$B$2:$G$7,MATCH(B117,RoleMatrix!$A$2:$A$7,0),MATCH($B$1,RoleMatrix!$B$1:$G$1,0)),0)</f>
        <v>0</v>
      </c>
      <c r="J117" s="1" t="n">
        <f aca="false">IF(C117&lt;&gt;"",IFERROR(INDEX(RoleMatrix!$B$2:$G$7,MATCH(C117,RoleMatrix!$A$2:$A$7,0),MATCH($B$1,RoleMatrix!$B$1:$G$1,0)),0),I117)</f>
        <v>0</v>
      </c>
      <c r="K117" s="1" t="n">
        <f aca="false">MAX(I117,J117)</f>
        <v>0</v>
      </c>
      <c r="L117" s="1" t="n">
        <f aca="false">((D117+E117)/2-$C$1)*$H$1</f>
        <v>6.5</v>
      </c>
      <c r="M117" s="1" t="n">
        <f aca="false">F117-$D$1</f>
        <v>20</v>
      </c>
      <c r="N117" s="1" t="n">
        <f aca="false">IF(M117&gt;20,M117*$I$1,0)</f>
        <v>0</v>
      </c>
      <c r="O117" s="1" t="n">
        <f aca="false">IF(G117="Mixed",5,IF(G117=$E$1,-2,3))</f>
        <v>3</v>
      </c>
      <c r="P117" s="1" t="n">
        <f aca="false">(H117-$F$1)*3</f>
        <v>6</v>
      </c>
      <c r="Q117" s="1" t="n">
        <f aca="false">K117*$G$1+L117+N117+O117+P117</f>
        <v>15.5</v>
      </c>
      <c r="R117" s="1" t="n">
        <f aca="false">IFERROR(INDEX(ManualOverrides!$C$2:$C$1000,MATCH(A117&amp;"|"&amp;$A$1,ManualOverrides!$E$2:$E$1000,0)),Q117)</f>
        <v>15.5</v>
      </c>
      <c r="S117" s="1" t="n">
        <f aca="false">IF(OR($A$1="",A117=$A$1),-1000000000000000,R117)</f>
        <v>-1000000000000000</v>
      </c>
      <c r="T117" s="1" t="n">
        <f aca="false">S117+ROW()*0.0000001</f>
        <v>-1000000000000000</v>
      </c>
      <c r="U117" s="1" t="str">
        <f aca="false">Heroes!$M117</f>
        <v>Jungle</v>
      </c>
      <c r="V117" s="1" t="n">
        <f aca="false">IF(OR($A$1="",A117=$A$1,U117="",U117&lt;&gt;$J$1),-1000000000000000,R117)+ROW()*0.0000001</f>
        <v>-1000000000000000</v>
      </c>
    </row>
    <row r="118" customFormat="false" ht="15" hidden="false" customHeight="true" outlineLevel="0" collapsed="false">
      <c r="A118" s="1" t="str">
        <f aca="false">Heroes!$B118</f>
        <v>Fredrinn</v>
      </c>
      <c r="B118" s="1" t="str">
        <f aca="false">Heroes!$C118</f>
        <v>Fighter</v>
      </c>
      <c r="C118" s="1" t="str">
        <f aca="false">Heroes!$D118</f>
        <v>Tank</v>
      </c>
      <c r="D118" s="1" t="n">
        <f aca="false">Heroes!$E118</f>
        <v>50</v>
      </c>
      <c r="E118" s="1" t="n">
        <f aca="false">Heroes!$F118</f>
        <v>60</v>
      </c>
      <c r="F118" s="1" t="n">
        <f aca="false">Heroes!$H118</f>
        <v>40</v>
      </c>
      <c r="G118" s="1" t="str">
        <f aca="false">Heroes!$K118</f>
        <v>Physical</v>
      </c>
      <c r="H118" s="1" t="n">
        <f aca="false">Heroes!$Q118</f>
        <v>3</v>
      </c>
      <c r="I118" s="1" t="n">
        <f aca="false">IFERROR(INDEX(RoleMatrix!$B$2:$G$7,MATCH(B118,RoleMatrix!$A$2:$A$7,0),MATCH($B$1,RoleMatrix!$B$1:$G$1,0)),0)</f>
        <v>0</v>
      </c>
      <c r="J118" s="1" t="n">
        <f aca="false">IF(C118&lt;&gt;"",IFERROR(INDEX(RoleMatrix!$B$2:$G$7,MATCH(C118,RoleMatrix!$A$2:$A$7,0),MATCH($B$1,RoleMatrix!$B$1:$G$1,0)),0),I118)</f>
        <v>0</v>
      </c>
      <c r="K118" s="1" t="n">
        <f aca="false">MAX(I118,J118)</f>
        <v>0</v>
      </c>
      <c r="L118" s="1" t="n">
        <f aca="false">((D118+E118)/2-$C$1)*$H$1</f>
        <v>5.5</v>
      </c>
      <c r="M118" s="1" t="n">
        <f aca="false">F118-$D$1</f>
        <v>40</v>
      </c>
      <c r="N118" s="1" t="n">
        <f aca="false">IF(M118&gt;20,M118*$I$1,0)</f>
        <v>12</v>
      </c>
      <c r="O118" s="1" t="n">
        <f aca="false">IF(G118="Mixed",5,IF(G118=$E$1,-2,3))</f>
        <v>3</v>
      </c>
      <c r="P118" s="1" t="n">
        <f aca="false">(H118-$F$1)*3</f>
        <v>9</v>
      </c>
      <c r="Q118" s="1" t="n">
        <f aca="false">K118*$G$1+L118+N118+O118+P118</f>
        <v>29.5</v>
      </c>
      <c r="R118" s="1" t="n">
        <f aca="false">IFERROR(INDEX(ManualOverrides!$C$2:$C$1000,MATCH(A118&amp;"|"&amp;$A$1,ManualOverrides!$E$2:$E$1000,0)),Q118)</f>
        <v>29.5</v>
      </c>
      <c r="S118" s="1" t="n">
        <f aca="false">IF(OR($A$1="",A118=$A$1),-1000000000000000,R118)</f>
        <v>-1000000000000000</v>
      </c>
      <c r="T118" s="1" t="n">
        <f aca="false">S118+ROW()*0.0000001</f>
        <v>-1000000000000000</v>
      </c>
      <c r="U118" s="1" t="str">
        <f aca="false">Heroes!$M118</f>
        <v>Jungle</v>
      </c>
      <c r="V118" s="1" t="n">
        <f aca="false">IF(OR($A$1="",A118=$A$1,U118="",U118&lt;&gt;$J$1),-1000000000000000,R118)+ROW()*0.0000001</f>
        <v>-1000000000000000</v>
      </c>
    </row>
    <row r="119" customFormat="false" ht="15" hidden="false" customHeight="true" outlineLevel="0" collapsed="false">
      <c r="A119" s="1" t="str">
        <f aca="false">Heroes!$B119</f>
        <v>Joy</v>
      </c>
      <c r="B119" s="1" t="str">
        <f aca="false">Heroes!$C119</f>
        <v>Assassin</v>
      </c>
      <c r="C119" s="1" t="n">
        <f aca="false">Heroes!$D119</f>
        <v>0</v>
      </c>
      <c r="D119" s="1" t="n">
        <f aca="false">Heroes!$E119</f>
        <v>70</v>
      </c>
      <c r="E119" s="1" t="n">
        <f aca="false">Heroes!$F119</f>
        <v>10</v>
      </c>
      <c r="F119" s="1" t="n">
        <f aca="false">Heroes!$H119</f>
        <v>90</v>
      </c>
      <c r="G119" s="1" t="str">
        <f aca="false">Heroes!$K119</f>
        <v>Magic</v>
      </c>
      <c r="H119" s="1" t="n">
        <f aca="false">Heroes!$Q119</f>
        <v>2</v>
      </c>
      <c r="I119" s="1" t="n">
        <f aca="false">IFERROR(INDEX(RoleMatrix!$B$2:$G$7,MATCH(B119,RoleMatrix!$A$2:$A$7,0),MATCH($B$1,RoleMatrix!$B$1:$G$1,0)),0)</f>
        <v>0</v>
      </c>
      <c r="J119" s="1" t="n">
        <f aca="false">IF(C119&lt;&gt;"",IFERROR(INDEX(RoleMatrix!$B$2:$G$7,MATCH(C119,RoleMatrix!$A$2:$A$7,0),MATCH($B$1,RoleMatrix!$B$1:$G$1,0)),0),I119)</f>
        <v>0</v>
      </c>
      <c r="K119" s="1" t="n">
        <f aca="false">MAX(I119,J119)</f>
        <v>0</v>
      </c>
      <c r="L119" s="1" t="n">
        <f aca="false">((D119+E119)/2-$C$1)*$H$1</f>
        <v>4</v>
      </c>
      <c r="M119" s="1" t="n">
        <f aca="false">F119-$D$1</f>
        <v>90</v>
      </c>
      <c r="N119" s="1" t="n">
        <f aca="false">IF(M119&gt;20,M119*$I$1,0)</f>
        <v>27</v>
      </c>
      <c r="O119" s="1" t="n">
        <f aca="false">IF(G119="Mixed",5,IF(G119=$E$1,-2,3))</f>
        <v>3</v>
      </c>
      <c r="P119" s="1" t="n">
        <f aca="false">(H119-$F$1)*3</f>
        <v>6</v>
      </c>
      <c r="Q119" s="1" t="n">
        <f aca="false">K119*$G$1+L119+N119+O119+P119</f>
        <v>40</v>
      </c>
      <c r="R119" s="1" t="n">
        <f aca="false">IFERROR(INDEX(ManualOverrides!$C$2:$C$1000,MATCH(A119&amp;"|"&amp;$A$1,ManualOverrides!$E$2:$E$1000,0)),Q119)</f>
        <v>40</v>
      </c>
      <c r="S119" s="1" t="n">
        <f aca="false">IF(OR($A$1="",A119=$A$1),-1000000000000000,R119)</f>
        <v>-1000000000000000</v>
      </c>
      <c r="T119" s="1" t="n">
        <f aca="false">S119+ROW()*0.0000001</f>
        <v>-1000000000000000</v>
      </c>
      <c r="U119" s="1" t="str">
        <f aca="false">Heroes!$M119</f>
        <v>Jungle</v>
      </c>
      <c r="V119" s="1" t="n">
        <f aca="false">IF(OR($A$1="",A119=$A$1,U119="",U119&lt;&gt;$J$1),-1000000000000000,R119)+ROW()*0.0000001</f>
        <v>-1000000000000000</v>
      </c>
    </row>
    <row r="120" customFormat="false" ht="15" hidden="false" customHeight="true" outlineLevel="0" collapsed="false">
      <c r="A120" s="1" t="str">
        <f aca="false">Heroes!$B120</f>
        <v>Novaria</v>
      </c>
      <c r="B120" s="1" t="str">
        <f aca="false">Heroes!$C120</f>
        <v>Mage</v>
      </c>
      <c r="C120" s="1" t="n">
        <f aca="false">Heroes!$D120</f>
        <v>0</v>
      </c>
      <c r="D120" s="1" t="n">
        <f aca="false">Heroes!$E120</f>
        <v>90</v>
      </c>
      <c r="E120" s="1" t="n">
        <f aca="false">Heroes!$F120</f>
        <v>30</v>
      </c>
      <c r="F120" s="1" t="n">
        <f aca="false">Heroes!$H120</f>
        <v>60</v>
      </c>
      <c r="G120" s="1" t="str">
        <f aca="false">Heroes!$K120</f>
        <v>Magic</v>
      </c>
      <c r="H120" s="1" t="n">
        <f aca="false">Heroes!$Q120</f>
        <v>3</v>
      </c>
      <c r="I120" s="1" t="n">
        <f aca="false">IFERROR(INDEX(RoleMatrix!$B$2:$G$7,MATCH(B120,RoleMatrix!$A$2:$A$7,0),MATCH($B$1,RoleMatrix!$B$1:$G$1,0)),0)</f>
        <v>0</v>
      </c>
      <c r="J120" s="1" t="n">
        <f aca="false">IF(C120&lt;&gt;"",IFERROR(INDEX(RoleMatrix!$B$2:$G$7,MATCH(C120,RoleMatrix!$A$2:$A$7,0),MATCH($B$1,RoleMatrix!$B$1:$G$1,0)),0),I120)</f>
        <v>0</v>
      </c>
      <c r="K120" s="1" t="n">
        <f aca="false">MAX(I120,J120)</f>
        <v>0</v>
      </c>
      <c r="L120" s="1" t="n">
        <f aca="false">((D120+E120)/2-$C$1)*$H$1</f>
        <v>6</v>
      </c>
      <c r="M120" s="1" t="n">
        <f aca="false">F120-$D$1</f>
        <v>60</v>
      </c>
      <c r="N120" s="1" t="n">
        <f aca="false">IF(M120&gt;20,M120*$I$1,0)</f>
        <v>18</v>
      </c>
      <c r="O120" s="1" t="n">
        <f aca="false">IF(G120="Mixed",5,IF(G120=$E$1,-2,3))</f>
        <v>3</v>
      </c>
      <c r="P120" s="1" t="n">
        <f aca="false">(H120-$F$1)*3</f>
        <v>9</v>
      </c>
      <c r="Q120" s="1" t="n">
        <f aca="false">K120*$G$1+L120+N120+O120+P120</f>
        <v>36</v>
      </c>
      <c r="R120" s="1" t="n">
        <f aca="false">IFERROR(INDEX(ManualOverrides!$C$2:$C$1000,MATCH(A120&amp;"|"&amp;$A$1,ManualOverrides!$E$2:$E$1000,0)),Q120)</f>
        <v>36</v>
      </c>
      <c r="S120" s="1" t="n">
        <f aca="false">IF(OR($A$1="",A120=$A$1),-1000000000000000,R120)</f>
        <v>-1000000000000000</v>
      </c>
      <c r="T120" s="1" t="n">
        <f aca="false">S120+ROW()*0.0000001</f>
        <v>-1000000000000000</v>
      </c>
      <c r="U120" s="1" t="str">
        <f aca="false">Heroes!$M120</f>
        <v>Mid Lane</v>
      </c>
      <c r="V120" s="1" t="n">
        <f aca="false">IF(OR($A$1="",A120=$A$1,U120="",U120&lt;&gt;$J$1),-1000000000000000,R120)+ROW()*0.0000001</f>
        <v>-1000000000000000</v>
      </c>
    </row>
    <row r="121" customFormat="false" ht="15" hidden="false" customHeight="true" outlineLevel="0" collapsed="false">
      <c r="A121" s="1" t="str">
        <f aca="false">Heroes!$B121</f>
        <v>Arlott</v>
      </c>
      <c r="B121" s="1" t="str">
        <f aca="false">Heroes!$C121</f>
        <v>Fighter</v>
      </c>
      <c r="C121" s="1" t="str">
        <f aca="false">Heroes!$D121</f>
        <v>Assassin</v>
      </c>
      <c r="D121" s="1" t="n">
        <f aca="false">Heroes!$E121</f>
        <v>60</v>
      </c>
      <c r="E121" s="1" t="n">
        <f aca="false">Heroes!$F121</f>
        <v>50</v>
      </c>
      <c r="F121" s="1" t="n">
        <f aca="false">Heroes!$H121</f>
        <v>50</v>
      </c>
      <c r="G121" s="1" t="str">
        <f aca="false">Heroes!$K121</f>
        <v>Physical</v>
      </c>
      <c r="H121" s="1" t="n">
        <f aca="false">Heroes!$Q121</f>
        <v>3</v>
      </c>
      <c r="I121" s="1" t="n">
        <f aca="false">IFERROR(INDEX(RoleMatrix!$B$2:$G$7,MATCH(B121,RoleMatrix!$A$2:$A$7,0),MATCH($B$1,RoleMatrix!$B$1:$G$1,0)),0)</f>
        <v>0</v>
      </c>
      <c r="J121" s="1" t="n">
        <f aca="false">IF(C121&lt;&gt;"",IFERROR(INDEX(RoleMatrix!$B$2:$G$7,MATCH(C121,RoleMatrix!$A$2:$A$7,0),MATCH($B$1,RoleMatrix!$B$1:$G$1,0)),0),I121)</f>
        <v>0</v>
      </c>
      <c r="K121" s="1" t="n">
        <f aca="false">MAX(I121,J121)</f>
        <v>0</v>
      </c>
      <c r="L121" s="1" t="n">
        <f aca="false">((D121+E121)/2-$C$1)*$H$1</f>
        <v>5.5</v>
      </c>
      <c r="M121" s="1" t="n">
        <f aca="false">F121-$D$1</f>
        <v>50</v>
      </c>
      <c r="N121" s="1" t="n">
        <f aca="false">IF(M121&gt;20,M121*$I$1,0)</f>
        <v>15</v>
      </c>
      <c r="O121" s="1" t="n">
        <f aca="false">IF(G121="Mixed",5,IF(G121=$E$1,-2,3))</f>
        <v>3</v>
      </c>
      <c r="P121" s="1" t="n">
        <f aca="false">(H121-$F$1)*3</f>
        <v>9</v>
      </c>
      <c r="Q121" s="1" t="n">
        <f aca="false">K121*$G$1+L121+N121+O121+P121</f>
        <v>32.5</v>
      </c>
      <c r="R121" s="1" t="n">
        <f aca="false">IFERROR(INDEX(ManualOverrides!$C$2:$C$1000,MATCH(A121&amp;"|"&amp;$A$1,ManualOverrides!$E$2:$E$1000,0)),Q121)</f>
        <v>32.5</v>
      </c>
      <c r="S121" s="1" t="n">
        <f aca="false">IF(OR($A$1="",A121=$A$1),-1000000000000000,R121)</f>
        <v>-1000000000000000</v>
      </c>
      <c r="T121" s="1" t="n">
        <f aca="false">S121+ROW()*0.0000001</f>
        <v>-1000000000000000</v>
      </c>
      <c r="U121" s="1" t="str">
        <f aca="false">Heroes!$M121</f>
        <v>EXP Lane</v>
      </c>
      <c r="V121" s="1" t="n">
        <f aca="false">IF(OR($A$1="",A121=$A$1,U121="",U121&lt;&gt;$J$1),-1000000000000000,R121)+ROW()*0.0000001</f>
        <v>-1000000000000000</v>
      </c>
    </row>
    <row r="122" customFormat="false" ht="15" hidden="false" customHeight="true" outlineLevel="0" collapsed="false">
      <c r="A122" s="1" t="str">
        <f aca="false">Heroes!$B122</f>
        <v>Ixia</v>
      </c>
      <c r="B122" s="1" t="str">
        <f aca="false">Heroes!$C122</f>
        <v>Marksman</v>
      </c>
      <c r="C122" s="1" t="n">
        <f aca="false">Heroes!$D122</f>
        <v>0</v>
      </c>
      <c r="D122" s="1" t="n">
        <f aca="false">Heroes!$E122</f>
        <v>70</v>
      </c>
      <c r="E122" s="1" t="n">
        <f aca="false">Heroes!$F122</f>
        <v>50</v>
      </c>
      <c r="F122" s="1" t="n">
        <f aca="false">Heroes!$H122</f>
        <v>40</v>
      </c>
      <c r="G122" s="1" t="str">
        <f aca="false">Heroes!$K122</f>
        <v>Physical</v>
      </c>
      <c r="H122" s="1" t="n">
        <f aca="false">Heroes!$Q122</f>
        <v>5</v>
      </c>
      <c r="I122" s="1" t="n">
        <f aca="false">IFERROR(INDEX(RoleMatrix!$B$2:$G$7,MATCH(B122,RoleMatrix!$A$2:$A$7,0),MATCH($B$1,RoleMatrix!$B$1:$G$1,0)),0)</f>
        <v>0</v>
      </c>
      <c r="J122" s="1" t="n">
        <f aca="false">IF(C122&lt;&gt;"",IFERROR(INDEX(RoleMatrix!$B$2:$G$7,MATCH(C122,RoleMatrix!$A$2:$A$7,0),MATCH($B$1,RoleMatrix!$B$1:$G$1,0)),0),I122)</f>
        <v>0</v>
      </c>
      <c r="K122" s="1" t="n">
        <f aca="false">MAX(I122,J122)</f>
        <v>0</v>
      </c>
      <c r="L122" s="1" t="n">
        <f aca="false">((D122+E122)/2-$C$1)*$H$1</f>
        <v>6</v>
      </c>
      <c r="M122" s="1" t="n">
        <f aca="false">F122-$D$1</f>
        <v>40</v>
      </c>
      <c r="N122" s="1" t="n">
        <f aca="false">IF(M122&gt;20,M122*$I$1,0)</f>
        <v>12</v>
      </c>
      <c r="O122" s="1" t="n">
        <f aca="false">IF(G122="Mixed",5,IF(G122=$E$1,-2,3))</f>
        <v>3</v>
      </c>
      <c r="P122" s="1" t="n">
        <f aca="false">(H122-$F$1)*3</f>
        <v>15</v>
      </c>
      <c r="Q122" s="1" t="n">
        <f aca="false">K122*$G$1+L122+N122+O122+P122</f>
        <v>36</v>
      </c>
      <c r="R122" s="1" t="n">
        <f aca="false">IFERROR(INDEX(ManualOverrides!$C$2:$C$1000,MATCH(A122&amp;"|"&amp;$A$1,ManualOverrides!$E$2:$E$1000,0)),Q122)</f>
        <v>36</v>
      </c>
      <c r="S122" s="1" t="n">
        <f aca="false">IF(OR($A$1="",A122=$A$1),-1000000000000000,R122)</f>
        <v>-1000000000000000</v>
      </c>
      <c r="T122" s="1" t="n">
        <f aca="false">S122+ROW()*0.0000001</f>
        <v>-1000000000000000</v>
      </c>
      <c r="U122" s="1" t="str">
        <f aca="false">Heroes!$M122</f>
        <v>Gold Lane</v>
      </c>
      <c r="V122" s="1" t="n">
        <f aca="false">IF(OR($A$1="",A122=$A$1,U122="",U122&lt;&gt;$J$1),-1000000000000000,R122)+ROW()*0.0000001</f>
        <v>-1000000000000000</v>
      </c>
    </row>
    <row r="123" customFormat="false" ht="15" hidden="false" customHeight="true" outlineLevel="0" collapsed="false">
      <c r="A123" s="1" t="str">
        <f aca="false">Heroes!$B123</f>
        <v>Nolan</v>
      </c>
      <c r="B123" s="1" t="str">
        <f aca="false">Heroes!$C123</f>
        <v>Assassin</v>
      </c>
      <c r="C123" s="1" t="n">
        <f aca="false">Heroes!$D123</f>
        <v>0</v>
      </c>
      <c r="D123" s="1" t="n">
        <f aca="false">Heroes!$E123</f>
        <v>60</v>
      </c>
      <c r="E123" s="1" t="n">
        <f aca="false">Heroes!$F123</f>
        <v>20</v>
      </c>
      <c r="F123" s="1" t="n">
        <f aca="false">Heroes!$H123</f>
        <v>60</v>
      </c>
      <c r="G123" s="1" t="str">
        <f aca="false">Heroes!$K123</f>
        <v>Physical</v>
      </c>
      <c r="H123" s="1" t="n">
        <f aca="false">Heroes!$Q123</f>
        <v>2</v>
      </c>
      <c r="I123" s="1" t="n">
        <f aca="false">IFERROR(INDEX(RoleMatrix!$B$2:$G$7,MATCH(B123,RoleMatrix!$A$2:$A$7,0),MATCH($B$1,RoleMatrix!$B$1:$G$1,0)),0)</f>
        <v>0</v>
      </c>
      <c r="J123" s="1" t="n">
        <f aca="false">IF(C123&lt;&gt;"",IFERROR(INDEX(RoleMatrix!$B$2:$G$7,MATCH(C123,RoleMatrix!$A$2:$A$7,0),MATCH($B$1,RoleMatrix!$B$1:$G$1,0)),0),I123)</f>
        <v>0</v>
      </c>
      <c r="K123" s="1" t="n">
        <f aca="false">MAX(I123,J123)</f>
        <v>0</v>
      </c>
      <c r="L123" s="1" t="n">
        <f aca="false">((D123+E123)/2-$C$1)*$H$1</f>
        <v>4</v>
      </c>
      <c r="M123" s="1" t="n">
        <f aca="false">F123-$D$1</f>
        <v>60</v>
      </c>
      <c r="N123" s="1" t="n">
        <f aca="false">IF(M123&gt;20,M123*$I$1,0)</f>
        <v>18</v>
      </c>
      <c r="O123" s="1" t="n">
        <f aca="false">IF(G123="Mixed",5,IF(G123=$E$1,-2,3))</f>
        <v>3</v>
      </c>
      <c r="P123" s="1" t="n">
        <f aca="false">(H123-$F$1)*3</f>
        <v>6</v>
      </c>
      <c r="Q123" s="1" t="n">
        <f aca="false">K123*$G$1+L123+N123+O123+P123</f>
        <v>31</v>
      </c>
      <c r="R123" s="1" t="n">
        <f aca="false">IFERROR(INDEX(ManualOverrides!$C$2:$C$1000,MATCH(A123&amp;"|"&amp;$A$1,ManualOverrides!$E$2:$E$1000,0)),Q123)</f>
        <v>31</v>
      </c>
      <c r="S123" s="1" t="n">
        <f aca="false">IF(OR($A$1="",A123=$A$1),-1000000000000000,R123)</f>
        <v>-1000000000000000</v>
      </c>
      <c r="T123" s="1" t="n">
        <f aca="false">S123+ROW()*0.0000001</f>
        <v>-1000000000000000</v>
      </c>
      <c r="U123" s="1" t="str">
        <f aca="false">Heroes!$M123</f>
        <v>Jungle</v>
      </c>
      <c r="V123" s="1" t="n">
        <f aca="false">IF(OR($A$1="",A123=$A$1,U123="",U123&lt;&gt;$J$1),-1000000000000000,R123)+ROW()*0.0000001</f>
        <v>-1000000000000000</v>
      </c>
    </row>
    <row r="124" customFormat="false" ht="15" hidden="false" customHeight="true" outlineLevel="0" collapsed="false">
      <c r="A124" s="1" t="str">
        <f aca="false">Heroes!$B124</f>
        <v>Cici</v>
      </c>
      <c r="B124" s="1" t="str">
        <f aca="false">Heroes!$C124</f>
        <v>Fighter</v>
      </c>
      <c r="C124" s="1" t="n">
        <f aca="false">Heroes!$D124</f>
        <v>0</v>
      </c>
      <c r="D124" s="1" t="n">
        <f aca="false">Heroes!$E124</f>
        <v>60</v>
      </c>
      <c r="E124" s="1" t="n">
        <f aca="false">Heroes!$F124</f>
        <v>30</v>
      </c>
      <c r="F124" s="1" t="n">
        <f aca="false">Heroes!$H124</f>
        <v>20</v>
      </c>
      <c r="G124" s="1" t="str">
        <f aca="false">Heroes!$K124</f>
        <v>Physical</v>
      </c>
      <c r="H124" s="1" t="n">
        <f aca="false">Heroes!$Q124</f>
        <v>3</v>
      </c>
      <c r="I124" s="1" t="n">
        <f aca="false">IFERROR(INDEX(RoleMatrix!$B$2:$G$7,MATCH(B124,RoleMatrix!$A$2:$A$7,0),MATCH($B$1,RoleMatrix!$B$1:$G$1,0)),0)</f>
        <v>0</v>
      </c>
      <c r="J124" s="1" t="n">
        <f aca="false">IF(C124&lt;&gt;"",IFERROR(INDEX(RoleMatrix!$B$2:$G$7,MATCH(C124,RoleMatrix!$A$2:$A$7,0),MATCH($B$1,RoleMatrix!$B$1:$G$1,0)),0),I124)</f>
        <v>0</v>
      </c>
      <c r="K124" s="1" t="n">
        <f aca="false">MAX(I124,J124)</f>
        <v>0</v>
      </c>
      <c r="L124" s="1" t="n">
        <f aca="false">((D124+E124)/2-$C$1)*$H$1</f>
        <v>4.5</v>
      </c>
      <c r="M124" s="1" t="n">
        <f aca="false">F124-$D$1</f>
        <v>20</v>
      </c>
      <c r="N124" s="1" t="n">
        <f aca="false">IF(M124&gt;20,M124*$I$1,0)</f>
        <v>0</v>
      </c>
      <c r="O124" s="1" t="n">
        <f aca="false">IF(G124="Mixed",5,IF(G124=$E$1,-2,3))</f>
        <v>3</v>
      </c>
      <c r="P124" s="1" t="n">
        <f aca="false">(H124-$F$1)*3</f>
        <v>9</v>
      </c>
      <c r="Q124" s="1" t="n">
        <f aca="false">K124*$G$1+L124+N124+O124+P124</f>
        <v>16.5</v>
      </c>
      <c r="R124" s="1" t="n">
        <f aca="false">IFERROR(INDEX(ManualOverrides!$C$2:$C$1000,MATCH(A124&amp;"|"&amp;$A$1,ManualOverrides!$E$2:$E$1000,0)),Q124)</f>
        <v>16.5</v>
      </c>
      <c r="S124" s="1" t="n">
        <f aca="false">IF(OR($A$1="",A124=$A$1),-1000000000000000,R124)</f>
        <v>-1000000000000000</v>
      </c>
      <c r="T124" s="1" t="n">
        <f aca="false">S124+ROW()*0.0000001</f>
        <v>-1000000000000000</v>
      </c>
      <c r="U124" s="1" t="str">
        <f aca="false">Heroes!$M124</f>
        <v>EXP Lane</v>
      </c>
      <c r="V124" s="1" t="n">
        <f aca="false">IF(OR($A$1="",A124=$A$1,U124="",U124&lt;&gt;$J$1),-1000000000000000,R124)+ROW()*0.0000001</f>
        <v>-1000000000000000</v>
      </c>
    </row>
    <row r="125" customFormat="false" ht="15" hidden="false" customHeight="true" outlineLevel="0" collapsed="false">
      <c r="A125" s="1" t="str">
        <f aca="false">Heroes!$B125</f>
        <v>Chip</v>
      </c>
      <c r="B125" s="1" t="str">
        <f aca="false">Heroes!$C125</f>
        <v>Support</v>
      </c>
      <c r="C125" s="1" t="str">
        <f aca="false">Heroes!$D125</f>
        <v>Tank</v>
      </c>
      <c r="D125" s="1" t="n">
        <f aca="false">Heroes!$E125</f>
        <v>20</v>
      </c>
      <c r="E125" s="1" t="n">
        <f aca="false">Heroes!$F125</f>
        <v>60</v>
      </c>
      <c r="F125" s="1" t="n">
        <f aca="false">Heroes!$H125</f>
        <v>60</v>
      </c>
      <c r="G125" s="1" t="str">
        <f aca="false">Heroes!$K125</f>
        <v>Magic</v>
      </c>
      <c r="H125" s="1" t="n">
        <f aca="false">Heroes!$Q125</f>
        <v>2</v>
      </c>
      <c r="I125" s="1" t="n">
        <f aca="false">IFERROR(INDEX(RoleMatrix!$B$2:$G$7,MATCH(B125,RoleMatrix!$A$2:$A$7,0),MATCH($B$1,RoleMatrix!$B$1:$G$1,0)),0)</f>
        <v>0</v>
      </c>
      <c r="J125" s="1" t="n">
        <f aca="false">IF(C125&lt;&gt;"",IFERROR(INDEX(RoleMatrix!$B$2:$G$7,MATCH(C125,RoleMatrix!$A$2:$A$7,0),MATCH($B$1,RoleMatrix!$B$1:$G$1,0)),0),I125)</f>
        <v>0</v>
      </c>
      <c r="K125" s="1" t="n">
        <f aca="false">MAX(I125,J125)</f>
        <v>0</v>
      </c>
      <c r="L125" s="1" t="n">
        <f aca="false">((D125+E125)/2-$C$1)*$H$1</f>
        <v>4</v>
      </c>
      <c r="M125" s="1" t="n">
        <f aca="false">F125-$D$1</f>
        <v>60</v>
      </c>
      <c r="N125" s="1" t="n">
        <f aca="false">IF(M125&gt;20,M125*$I$1,0)</f>
        <v>18</v>
      </c>
      <c r="O125" s="1" t="n">
        <f aca="false">IF(G125="Mixed",5,IF(G125=$E$1,-2,3))</f>
        <v>3</v>
      </c>
      <c r="P125" s="1" t="n">
        <f aca="false">(H125-$F$1)*3</f>
        <v>6</v>
      </c>
      <c r="Q125" s="1" t="n">
        <f aca="false">K125*$G$1+L125+N125+O125+P125</f>
        <v>31</v>
      </c>
      <c r="R125" s="1" t="n">
        <f aca="false">IFERROR(INDEX(ManualOverrides!$C$2:$C$1000,MATCH(A125&amp;"|"&amp;$A$1,ManualOverrides!$E$2:$E$1000,0)),Q125)</f>
        <v>31</v>
      </c>
      <c r="S125" s="1" t="n">
        <f aca="false">IF(OR($A$1="",A125=$A$1),-1000000000000000,R125)</f>
        <v>-1000000000000000</v>
      </c>
      <c r="T125" s="1" t="n">
        <f aca="false">S125+ROW()*0.0000001</f>
        <v>-1000000000000000</v>
      </c>
      <c r="U125" s="1" t="str">
        <f aca="false">Heroes!$M125</f>
        <v>Roaming</v>
      </c>
      <c r="V125" s="1" t="n">
        <f aca="false">IF(OR($A$1="",A125=$A$1,U125="",U125&lt;&gt;$J$1),-1000000000000000,R125)+ROW()*0.0000001</f>
        <v>-1000000000000000</v>
      </c>
    </row>
    <row r="126" customFormat="false" ht="15" hidden="false" customHeight="true" outlineLevel="0" collapsed="false">
      <c r="A126" s="1" t="str">
        <f aca="false">Heroes!$B126</f>
        <v>Zhuxin</v>
      </c>
      <c r="B126" s="1" t="str">
        <f aca="false">Heroes!$C126</f>
        <v>Mage</v>
      </c>
      <c r="C126" s="1" t="n">
        <f aca="false">Heroes!$D126</f>
        <v>0</v>
      </c>
      <c r="D126" s="1" t="n">
        <f aca="false">Heroes!$E126</f>
        <v>80</v>
      </c>
      <c r="E126" s="1" t="n">
        <f aca="false">Heroes!$F126</f>
        <v>80</v>
      </c>
      <c r="F126" s="1" t="n">
        <f aca="false">Heroes!$H126</f>
        <v>40</v>
      </c>
      <c r="G126" s="1" t="str">
        <f aca="false">Heroes!$K126</f>
        <v>Magic</v>
      </c>
      <c r="H126" s="1" t="n">
        <f aca="false">Heroes!$Q126</f>
        <v>3</v>
      </c>
      <c r="I126" s="1" t="n">
        <f aca="false">IFERROR(INDEX(RoleMatrix!$B$2:$G$7,MATCH(B126,RoleMatrix!$A$2:$A$7,0),MATCH($B$1,RoleMatrix!$B$1:$G$1,0)),0)</f>
        <v>0</v>
      </c>
      <c r="J126" s="1" t="n">
        <f aca="false">IF(C126&lt;&gt;"",IFERROR(INDEX(RoleMatrix!$B$2:$G$7,MATCH(C126,RoleMatrix!$A$2:$A$7,0),MATCH($B$1,RoleMatrix!$B$1:$G$1,0)),0),I126)</f>
        <v>0</v>
      </c>
      <c r="K126" s="1" t="n">
        <f aca="false">MAX(I126,J126)</f>
        <v>0</v>
      </c>
      <c r="L126" s="1" t="n">
        <f aca="false">((D126+E126)/2-$C$1)*$H$1</f>
        <v>8</v>
      </c>
      <c r="M126" s="1" t="n">
        <f aca="false">F126-$D$1</f>
        <v>40</v>
      </c>
      <c r="N126" s="1" t="n">
        <f aca="false">IF(M126&gt;20,M126*$I$1,0)</f>
        <v>12</v>
      </c>
      <c r="O126" s="1" t="n">
        <f aca="false">IF(G126="Mixed",5,IF(G126=$E$1,-2,3))</f>
        <v>3</v>
      </c>
      <c r="P126" s="1" t="n">
        <f aca="false">(H126-$F$1)*3</f>
        <v>9</v>
      </c>
      <c r="Q126" s="1" t="n">
        <f aca="false">K126*$G$1+L126+N126+O126+P126</f>
        <v>32</v>
      </c>
      <c r="R126" s="1" t="n">
        <f aca="false">IFERROR(INDEX(ManualOverrides!$C$2:$C$1000,MATCH(A126&amp;"|"&amp;$A$1,ManualOverrides!$E$2:$E$1000,0)),Q126)</f>
        <v>32</v>
      </c>
      <c r="S126" s="1" t="n">
        <f aca="false">IF(OR($A$1="",A126=$A$1),-1000000000000000,R126)</f>
        <v>-1000000000000000</v>
      </c>
      <c r="T126" s="1" t="n">
        <f aca="false">S126+ROW()*0.0000001</f>
        <v>-1000000000000000</v>
      </c>
      <c r="U126" s="1" t="str">
        <f aca="false">Heroes!$M126</f>
        <v>Mid Lane</v>
      </c>
      <c r="V126" s="1" t="n">
        <f aca="false">IF(OR($A$1="",A126=$A$1,U126="",U126&lt;&gt;$J$1),-1000000000000000,R126)+ROW()*0.0000001</f>
        <v>-1000000000000000</v>
      </c>
    </row>
    <row r="127" customFormat="false" ht="15" hidden="false" customHeight="true" outlineLevel="0" collapsed="false">
      <c r="A127" s="1" t="str">
        <f aca="false">Heroes!$B127</f>
        <v>Suyou</v>
      </c>
      <c r="B127" s="1" t="str">
        <f aca="false">Heroes!$C127</f>
        <v>Assassin</v>
      </c>
      <c r="C127" s="1" t="str">
        <f aca="false">Heroes!$D127</f>
        <v>Fighter</v>
      </c>
      <c r="D127" s="1" t="n">
        <f aca="false">Heroes!$E127</f>
        <v>60</v>
      </c>
      <c r="E127" s="1" t="n">
        <f aca="false">Heroes!$F127</f>
        <v>50</v>
      </c>
      <c r="F127" s="1" t="n">
        <f aca="false">Heroes!$H127</f>
        <v>50</v>
      </c>
      <c r="G127" s="1" t="str">
        <f aca="false">Heroes!$K127</f>
        <v>Physical</v>
      </c>
      <c r="H127" s="1" t="n">
        <f aca="false">Heroes!$Q127</f>
        <v>2</v>
      </c>
      <c r="I127" s="1" t="n">
        <f aca="false">IFERROR(INDEX(RoleMatrix!$B$2:$G$7,MATCH(B127,RoleMatrix!$A$2:$A$7,0),MATCH($B$1,RoleMatrix!$B$1:$G$1,0)),0)</f>
        <v>0</v>
      </c>
      <c r="J127" s="1" t="n">
        <f aca="false">IF(C127&lt;&gt;"",IFERROR(INDEX(RoleMatrix!$B$2:$G$7,MATCH(C127,RoleMatrix!$A$2:$A$7,0),MATCH($B$1,RoleMatrix!$B$1:$G$1,0)),0),I127)</f>
        <v>0</v>
      </c>
      <c r="K127" s="1" t="n">
        <f aca="false">MAX(I127,J127)</f>
        <v>0</v>
      </c>
      <c r="L127" s="1" t="n">
        <f aca="false">((D127+E127)/2-$C$1)*$H$1</f>
        <v>5.5</v>
      </c>
      <c r="M127" s="1" t="n">
        <f aca="false">F127-$D$1</f>
        <v>50</v>
      </c>
      <c r="N127" s="1" t="n">
        <f aca="false">IF(M127&gt;20,M127*$I$1,0)</f>
        <v>15</v>
      </c>
      <c r="O127" s="1" t="n">
        <f aca="false">IF(G127="Mixed",5,IF(G127=$E$1,-2,3))</f>
        <v>3</v>
      </c>
      <c r="P127" s="1" t="n">
        <f aca="false">(H127-$F$1)*3</f>
        <v>6</v>
      </c>
      <c r="Q127" s="1" t="n">
        <f aca="false">K127*$G$1+L127+N127+O127+P127</f>
        <v>29.5</v>
      </c>
      <c r="R127" s="1" t="n">
        <f aca="false">IFERROR(INDEX(ManualOverrides!$C$2:$C$1000,MATCH(A127&amp;"|"&amp;$A$1,ManualOverrides!$E$2:$E$1000,0)),Q127)</f>
        <v>29.5</v>
      </c>
      <c r="S127" s="1" t="n">
        <f aca="false">IF(OR($A$1="",A127=$A$1),-1000000000000000,R127)</f>
        <v>-1000000000000000</v>
      </c>
      <c r="T127" s="1" t="n">
        <f aca="false">S127+ROW()*0.0000001</f>
        <v>-1000000000000000</v>
      </c>
      <c r="U127" s="1" t="str">
        <f aca="false">Heroes!$M127</f>
        <v>Jungle</v>
      </c>
      <c r="V127" s="1" t="n">
        <f aca="false">IF(OR($A$1="",A127=$A$1,U127="",U127&lt;&gt;$J$1),-1000000000000000,R127)+ROW()*0.0000001</f>
        <v>-1000000000000000</v>
      </c>
    </row>
    <row r="128" customFormat="false" ht="15" hidden="false" customHeight="true" outlineLevel="0" collapsed="false">
      <c r="A128" s="1" t="str">
        <f aca="false">Heroes!$B128</f>
        <v>Lukas</v>
      </c>
      <c r="B128" s="1" t="str">
        <f aca="false">Heroes!$C128</f>
        <v>Fighter</v>
      </c>
      <c r="C128" s="1" t="n">
        <f aca="false">Heroes!$D128</f>
        <v>0</v>
      </c>
      <c r="D128" s="1" t="n">
        <f aca="false">Heroes!$E128</f>
        <v>50</v>
      </c>
      <c r="E128" s="1" t="n">
        <f aca="false">Heroes!$F128</f>
        <v>60</v>
      </c>
      <c r="F128" s="1" t="n">
        <f aca="false">Heroes!$H128</f>
        <v>30</v>
      </c>
      <c r="G128" s="1" t="str">
        <f aca="false">Heroes!$K128</f>
        <v>Physical</v>
      </c>
      <c r="H128" s="1" t="n">
        <f aca="false">Heroes!$Q128</f>
        <v>3</v>
      </c>
      <c r="I128" s="1" t="n">
        <f aca="false">IFERROR(INDEX(RoleMatrix!$B$2:$G$7,MATCH(B128,RoleMatrix!$A$2:$A$7,0),MATCH($B$1,RoleMatrix!$B$1:$G$1,0)),0)</f>
        <v>0</v>
      </c>
      <c r="J128" s="1" t="n">
        <f aca="false">IF(C128&lt;&gt;"",IFERROR(INDEX(RoleMatrix!$B$2:$G$7,MATCH(C128,RoleMatrix!$A$2:$A$7,0),MATCH($B$1,RoleMatrix!$B$1:$G$1,0)),0),I128)</f>
        <v>0</v>
      </c>
      <c r="K128" s="1" t="n">
        <f aca="false">MAX(I128,J128)</f>
        <v>0</v>
      </c>
      <c r="L128" s="1" t="n">
        <f aca="false">((D128+E128)/2-$C$1)*$H$1</f>
        <v>5.5</v>
      </c>
      <c r="M128" s="1" t="n">
        <f aca="false">F128-$D$1</f>
        <v>30</v>
      </c>
      <c r="N128" s="1" t="n">
        <f aca="false">IF(M128&gt;20,M128*$I$1,0)</f>
        <v>9</v>
      </c>
      <c r="O128" s="1" t="n">
        <f aca="false">IF(G128="Mixed",5,IF(G128=$E$1,-2,3))</f>
        <v>3</v>
      </c>
      <c r="P128" s="1" t="n">
        <f aca="false">(H128-$F$1)*3</f>
        <v>9</v>
      </c>
      <c r="Q128" s="1" t="n">
        <f aca="false">K128*$G$1+L128+N128+O128+P128</f>
        <v>26.5</v>
      </c>
      <c r="R128" s="1" t="n">
        <f aca="false">IFERROR(INDEX(ManualOverrides!$C$2:$C$1000,MATCH(A128&amp;"|"&amp;$A$1,ManualOverrides!$E$2:$E$1000,0)),Q128)</f>
        <v>26.5</v>
      </c>
      <c r="S128" s="1" t="n">
        <f aca="false">IF(OR($A$1="",A128=$A$1),-1000000000000000,R128)</f>
        <v>-1000000000000000</v>
      </c>
      <c r="T128" s="1" t="n">
        <f aca="false">S128+ROW()*0.0000001</f>
        <v>-1000000000000000</v>
      </c>
      <c r="U128" s="1" t="str">
        <f aca="false">Heroes!$M128</f>
        <v>EXP Lane</v>
      </c>
      <c r="V128" s="1" t="n">
        <f aca="false">IF(OR($A$1="",A128=$A$1,U128="",U128&lt;&gt;$J$1),-1000000000000000,R128)+ROW()*0.0000001</f>
        <v>-1000000000000000</v>
      </c>
    </row>
    <row r="129" customFormat="false" ht="15" hidden="false" customHeight="true" outlineLevel="0" collapsed="false">
      <c r="A129" s="1" t="str">
        <f aca="false">Heroes!$B129</f>
        <v>Kalea</v>
      </c>
      <c r="B129" s="1" t="str">
        <f aca="false">Heroes!$C129</f>
        <v>Support</v>
      </c>
      <c r="C129" s="1" t="str">
        <f aca="false">Heroes!$D129</f>
        <v>Fighter</v>
      </c>
      <c r="D129" s="1" t="n">
        <f aca="false">Heroes!$E129</f>
        <v>30</v>
      </c>
      <c r="E129" s="1" t="n">
        <f aca="false">Heroes!$F129</f>
        <v>90</v>
      </c>
      <c r="F129" s="1" t="n">
        <f aca="false">Heroes!$H129</f>
        <v>40</v>
      </c>
      <c r="G129" s="1" t="str">
        <f aca="false">Heroes!$K129</f>
        <v>Physical</v>
      </c>
      <c r="H129" s="1" t="n">
        <f aca="false">Heroes!$Q129</f>
        <v>2</v>
      </c>
      <c r="I129" s="1" t="n">
        <f aca="false">IFERROR(INDEX(RoleMatrix!$B$2:$G$7,MATCH(B129,RoleMatrix!$A$2:$A$7,0),MATCH($B$1,RoleMatrix!$B$1:$G$1,0)),0)</f>
        <v>0</v>
      </c>
      <c r="J129" s="1" t="n">
        <f aca="false">IF(C129&lt;&gt;"",IFERROR(INDEX(RoleMatrix!$B$2:$G$7,MATCH(C129,RoleMatrix!$A$2:$A$7,0),MATCH($B$1,RoleMatrix!$B$1:$G$1,0)),0),I129)</f>
        <v>0</v>
      </c>
      <c r="K129" s="1" t="n">
        <f aca="false">MAX(I129,J129)</f>
        <v>0</v>
      </c>
      <c r="L129" s="1" t="n">
        <f aca="false">((D129+E129)/2-$C$1)*$H$1</f>
        <v>6</v>
      </c>
      <c r="M129" s="1" t="n">
        <f aca="false">F129-$D$1</f>
        <v>40</v>
      </c>
      <c r="N129" s="1" t="n">
        <f aca="false">IF(M129&gt;20,M129*$I$1,0)</f>
        <v>12</v>
      </c>
      <c r="O129" s="1" t="n">
        <f aca="false">IF(G129="Mixed",5,IF(G129=$E$1,-2,3))</f>
        <v>3</v>
      </c>
      <c r="P129" s="1" t="n">
        <f aca="false">(H129-$F$1)*3</f>
        <v>6</v>
      </c>
      <c r="Q129" s="1" t="n">
        <f aca="false">K129*$G$1+L129+N129+O129+P129</f>
        <v>27</v>
      </c>
      <c r="R129" s="1" t="n">
        <f aca="false">IFERROR(INDEX(ManualOverrides!$C$2:$C$1000,MATCH(A129&amp;"|"&amp;$A$1,ManualOverrides!$E$2:$E$1000,0)),Q129)</f>
        <v>27</v>
      </c>
      <c r="S129" s="1" t="n">
        <f aca="false">IF(OR($A$1="",A129=$A$1),-1000000000000000,R129)</f>
        <v>-1000000000000000</v>
      </c>
      <c r="T129" s="1" t="n">
        <f aca="false">S129+ROW()*0.0000001</f>
        <v>-1000000000000000</v>
      </c>
      <c r="U129" s="1" t="str">
        <f aca="false">Heroes!$M129</f>
        <v>Roaming</v>
      </c>
      <c r="V129" s="1" t="n">
        <f aca="false">IF(OR($A$1="",A129=$A$1,U129="",U129&lt;&gt;$J$1),-1000000000000000,R129)+ROW()*0.0000001</f>
        <v>-1000000000000000</v>
      </c>
    </row>
    <row r="130" customFormat="false" ht="15" hidden="false" customHeight="true" outlineLevel="0" collapsed="false">
      <c r="A130" s="1" t="str">
        <f aca="false">Heroes!$B130</f>
        <v>Zetian</v>
      </c>
      <c r="B130" s="1" t="str">
        <f aca="false">Heroes!$C130</f>
        <v>Mage</v>
      </c>
      <c r="C130" s="1" t="n">
        <f aca="false">Heroes!$D130</f>
        <v>0</v>
      </c>
      <c r="D130" s="1" t="n">
        <f aca="false">Heroes!$E130</f>
        <v>80</v>
      </c>
      <c r="E130" s="1" t="n">
        <f aca="false">Heroes!$F130</f>
        <v>50</v>
      </c>
      <c r="F130" s="1" t="n">
        <f aca="false">Heroes!$H130</f>
        <v>20</v>
      </c>
      <c r="G130" s="1" t="str">
        <f aca="false">Heroes!$K130</f>
        <v>Magic</v>
      </c>
      <c r="H130" s="1" t="n">
        <f aca="false">Heroes!$Q130</f>
        <v>3</v>
      </c>
      <c r="I130" s="1" t="n">
        <f aca="false">IFERROR(INDEX(RoleMatrix!$B$2:$G$7,MATCH(B130,RoleMatrix!$A$2:$A$7,0),MATCH($B$1,RoleMatrix!$B$1:$G$1,0)),0)</f>
        <v>0</v>
      </c>
      <c r="J130" s="1" t="n">
        <f aca="false">IF(C130&lt;&gt;"",IFERROR(INDEX(RoleMatrix!$B$2:$G$7,MATCH(C130,RoleMatrix!$A$2:$A$7,0),MATCH($B$1,RoleMatrix!$B$1:$G$1,0)),0),I130)</f>
        <v>0</v>
      </c>
      <c r="K130" s="1" t="n">
        <f aca="false">MAX(I130,J130)</f>
        <v>0</v>
      </c>
      <c r="L130" s="1" t="n">
        <f aca="false">((D130+E130)/2-$C$1)*$H$1</f>
        <v>6.5</v>
      </c>
      <c r="M130" s="1" t="n">
        <f aca="false">F130-$D$1</f>
        <v>20</v>
      </c>
      <c r="N130" s="1" t="n">
        <f aca="false">IF(M130&gt;20,M130*$I$1,0)</f>
        <v>0</v>
      </c>
      <c r="O130" s="1" t="n">
        <f aca="false">IF(G130="Mixed",5,IF(G130=$E$1,-2,3))</f>
        <v>3</v>
      </c>
      <c r="P130" s="1" t="n">
        <f aca="false">(H130-$F$1)*3</f>
        <v>9</v>
      </c>
      <c r="Q130" s="1" t="n">
        <f aca="false">K130*$G$1+L130+N130+O130+P130</f>
        <v>18.5</v>
      </c>
      <c r="R130" s="1" t="n">
        <f aca="false">IFERROR(INDEX(ManualOverrides!$C$2:$C$1000,MATCH(A130&amp;"|"&amp;$A$1,ManualOverrides!$E$2:$E$1000,0)),Q130)</f>
        <v>18.5</v>
      </c>
      <c r="S130" s="1" t="n">
        <f aca="false">IF(OR($A$1="",A130=$A$1),-1000000000000000,R130)</f>
        <v>-1000000000000000</v>
      </c>
      <c r="T130" s="1" t="n">
        <f aca="false">S130+ROW()*0.0000001</f>
        <v>-1000000000000000</v>
      </c>
      <c r="U130" s="1" t="str">
        <f aca="false">Heroes!$M130</f>
        <v>Mid Lane</v>
      </c>
      <c r="V130" s="1" t="n">
        <f aca="false">IF(OR($A$1="",A130=$A$1,U130="",U130&lt;&gt;$J$1),-1000000000000000,R130)+ROW()*0.0000001</f>
        <v>-1000000000000000</v>
      </c>
    </row>
    <row r="131" customFormat="false" ht="15" hidden="false" customHeight="true" outlineLevel="0" collapsed="false">
      <c r="A131" s="1" t="str">
        <f aca="false">Heroes!$B131</f>
        <v>Obsidia</v>
      </c>
      <c r="B131" s="1" t="str">
        <f aca="false">Heroes!$C131</f>
        <v>Marksman</v>
      </c>
      <c r="C131" s="1" t="n">
        <f aca="false">Heroes!$D131</f>
        <v>0</v>
      </c>
      <c r="D131" s="1" t="n">
        <f aca="false">Heroes!$E131</f>
        <v>70</v>
      </c>
      <c r="E131" s="1" t="n">
        <f aca="false">Heroes!$F131</f>
        <v>10</v>
      </c>
      <c r="F131" s="1" t="n">
        <f aca="false">Heroes!$H131</f>
        <v>40</v>
      </c>
      <c r="G131" s="1" t="str">
        <f aca="false">Heroes!$K131</f>
        <v>Physical</v>
      </c>
      <c r="H131" s="1" t="n">
        <f aca="false">Heroes!$Q131</f>
        <v>4</v>
      </c>
      <c r="I131" s="1" t="n">
        <f aca="false">IFERROR(INDEX(RoleMatrix!$B$2:$G$7,MATCH(B131,RoleMatrix!$A$2:$A$7,0),MATCH($B$1,RoleMatrix!$B$1:$G$1,0)),0)</f>
        <v>0</v>
      </c>
      <c r="J131" s="1" t="n">
        <f aca="false">IF(C131&lt;&gt;"",IFERROR(INDEX(RoleMatrix!$B$2:$G$7,MATCH(C131,RoleMatrix!$A$2:$A$7,0),MATCH($B$1,RoleMatrix!$B$1:$G$1,0)),0),I131)</f>
        <v>0</v>
      </c>
      <c r="K131" s="1" t="n">
        <f aca="false">MAX(I131,J131)</f>
        <v>0</v>
      </c>
      <c r="L131" s="1" t="n">
        <f aca="false">((D131+E131)/2-$C$1)*$H$1</f>
        <v>4</v>
      </c>
      <c r="M131" s="1" t="n">
        <f aca="false">F131-$D$1</f>
        <v>40</v>
      </c>
      <c r="N131" s="1" t="n">
        <f aca="false">IF(M131&gt;20,M131*$I$1,0)</f>
        <v>12</v>
      </c>
      <c r="O131" s="1" t="n">
        <f aca="false">IF(G131="Mixed",5,IF(G131=$E$1,-2,3))</f>
        <v>3</v>
      </c>
      <c r="P131" s="1" t="n">
        <f aca="false">(H131-$F$1)*3</f>
        <v>12</v>
      </c>
      <c r="Q131" s="1" t="n">
        <f aca="false">K131*$G$1+L131+N131+O131+P131</f>
        <v>31</v>
      </c>
      <c r="R131" s="1" t="n">
        <f aca="false">IFERROR(INDEX(ManualOverrides!$C$2:$C$1000,MATCH(A131&amp;"|"&amp;$A$1,ManualOverrides!$E$2:$E$1000,0)),Q131)</f>
        <v>31</v>
      </c>
      <c r="S131" s="1" t="n">
        <f aca="false">IF(OR($A$1="",A131=$A$1),-1000000000000000,R131)</f>
        <v>-1000000000000000</v>
      </c>
      <c r="T131" s="1" t="n">
        <f aca="false">S131+ROW()*0.0000001</f>
        <v>-1000000000000000</v>
      </c>
      <c r="U131" s="1" t="str">
        <f aca="false">Heroes!$M131</f>
        <v>Gold Lane</v>
      </c>
      <c r="V131" s="1" t="n">
        <f aca="false">IF(OR($A$1="",A131=$A$1,U131="",U131&lt;&gt;$J$1),-1000000000000000,R131)+ROW()*0.0000001</f>
        <v>-1000000000000000</v>
      </c>
    </row>
    <row r="132" customFormat="false" ht="15" hidden="false" customHeight="true" outlineLevel="0" collapsed="false">
      <c r="A132" s="1" t="str">
        <f aca="false">Heroes!$B132</f>
        <v>Sora</v>
      </c>
      <c r="B132" s="1" t="str">
        <f aca="false">Heroes!$C132</f>
        <v>Fighter</v>
      </c>
      <c r="C132" s="1" t="str">
        <f aca="false">Heroes!$D132</f>
        <v>Assassin</v>
      </c>
      <c r="D132" s="1" t="n">
        <f aca="false">Heroes!$E132</f>
        <v>60</v>
      </c>
      <c r="E132" s="1" t="n">
        <f aca="false">Heroes!$F132</f>
        <v>50</v>
      </c>
      <c r="F132" s="1" t="n">
        <f aca="false">Heroes!$H132</f>
        <v>50</v>
      </c>
      <c r="G132" s="1" t="str">
        <f aca="false">Heroes!$K132</f>
        <v>Physical</v>
      </c>
      <c r="H132" s="1" t="n">
        <f aca="false">Heroes!$Q132</f>
        <v>3</v>
      </c>
      <c r="I132" s="1" t="n">
        <f aca="false">IFERROR(INDEX(RoleMatrix!$B$2:$G$7,MATCH(B132,RoleMatrix!$A$2:$A$7,0),MATCH($B$1,RoleMatrix!$B$1:$G$1,0)),0)</f>
        <v>0</v>
      </c>
      <c r="J132" s="1" t="n">
        <f aca="false">IF(C132&lt;&gt;"",IFERROR(INDEX(RoleMatrix!$B$2:$G$7,MATCH(C132,RoleMatrix!$A$2:$A$7,0),MATCH($B$1,RoleMatrix!$B$1:$G$1,0)),0),I132)</f>
        <v>0</v>
      </c>
      <c r="K132" s="1" t="n">
        <f aca="false">MAX(I132,J132)</f>
        <v>0</v>
      </c>
      <c r="L132" s="1" t="n">
        <f aca="false">((D132+E132)/2-$C$1)*$H$1</f>
        <v>5.5</v>
      </c>
      <c r="M132" s="1" t="n">
        <f aca="false">F132-$D$1</f>
        <v>50</v>
      </c>
      <c r="N132" s="1" t="n">
        <f aca="false">IF(M132&gt;20,M132*$I$1,0)</f>
        <v>15</v>
      </c>
      <c r="O132" s="1" t="n">
        <f aca="false">IF(G132="Mixed",5,IF(G132=$E$1,-2,3))</f>
        <v>3</v>
      </c>
      <c r="P132" s="1" t="n">
        <f aca="false">(H132-$F$1)*3</f>
        <v>9</v>
      </c>
      <c r="Q132" s="1" t="n">
        <f aca="false">K132*$G$1+L132+N132+O132+P132</f>
        <v>32.5</v>
      </c>
      <c r="R132" s="1" t="n">
        <f aca="false">IFERROR(INDEX(ManualOverrides!$C$2:$C$1000,MATCH(A132&amp;"|"&amp;$A$1,ManualOverrides!$E$2:$E$1000,0)),Q132)</f>
        <v>32.5</v>
      </c>
      <c r="S132" s="1" t="n">
        <f aca="false">IF(OR($A$1="",A132=$A$1),-1000000000000000,R132)</f>
        <v>-1000000000000000</v>
      </c>
      <c r="T132" s="1" t="n">
        <f aca="false">S132+ROW()*0.0000001</f>
        <v>-1000000000000000</v>
      </c>
      <c r="U132" s="1" t="str">
        <f aca="false">Heroes!$M132</f>
        <v>EXP Lane</v>
      </c>
      <c r="V132" s="1" t="n">
        <f aca="false">IF(OR($A$1="",A132=$A$1,U132="",U132&lt;&gt;$J$1),-1000000000000000,R132)+ROW()*0.0000001</f>
        <v>-1000000000000000</v>
      </c>
    </row>
    <row r="133" customFormat="false" ht="15" hidden="false" customHeight="true" outlineLevel="0" collapsed="false">
      <c r="A133" s="1" t="str">
        <f aca="false">Heroes!$B133</f>
        <v>Marcel</v>
      </c>
      <c r="B133" s="1" t="str">
        <f aca="false">Heroes!$C133</f>
        <v>Support</v>
      </c>
      <c r="C133" s="1" t="n">
        <f aca="false">Heroes!$D133</f>
        <v>0</v>
      </c>
      <c r="D133" s="1" t="n">
        <f aca="false">Heroes!$E133</f>
        <v>30</v>
      </c>
      <c r="E133" s="1" t="n">
        <f aca="false">Heroes!$F133</f>
        <v>100</v>
      </c>
      <c r="F133" s="1" t="n">
        <f aca="false">Heroes!$H133</f>
        <v>30</v>
      </c>
      <c r="G133" s="1" t="str">
        <f aca="false">Heroes!$K133</f>
        <v>Physical</v>
      </c>
      <c r="H133" s="1" t="n">
        <f aca="false">Heroes!$Q133</f>
        <v>2</v>
      </c>
      <c r="I133" s="1" t="n">
        <f aca="false">IFERROR(INDEX(RoleMatrix!$B$2:$G$7,MATCH(B133,RoleMatrix!$A$2:$A$7,0),MATCH($B$1,RoleMatrix!$B$1:$G$1,0)),0)</f>
        <v>0</v>
      </c>
      <c r="J133" s="1" t="n">
        <f aca="false">IF(C133&lt;&gt;"",IFERROR(INDEX(RoleMatrix!$B$2:$G$7,MATCH(C133,RoleMatrix!$A$2:$A$7,0),MATCH($B$1,RoleMatrix!$B$1:$G$1,0)),0),I133)</f>
        <v>0</v>
      </c>
      <c r="K133" s="1" t="n">
        <f aca="false">MAX(I133,J133)</f>
        <v>0</v>
      </c>
      <c r="L133" s="1" t="n">
        <f aca="false">((D133+E133)/2-$C$1)*$H$1</f>
        <v>6.5</v>
      </c>
      <c r="M133" s="1" t="n">
        <f aca="false">F133-$D$1</f>
        <v>30</v>
      </c>
      <c r="N133" s="1" t="n">
        <f aca="false">IF(M133&gt;20,M133*$I$1,0)</f>
        <v>9</v>
      </c>
      <c r="O133" s="1" t="n">
        <f aca="false">IF(G133="Mixed",5,IF(G133=$E$1,-2,3))</f>
        <v>3</v>
      </c>
      <c r="P133" s="1" t="n">
        <f aca="false">(H133-$F$1)*3</f>
        <v>6</v>
      </c>
      <c r="Q133" s="1" t="n">
        <f aca="false">K133*$G$1+L133+N133+O133+P133</f>
        <v>24.5</v>
      </c>
      <c r="R133" s="1" t="n">
        <f aca="false">IFERROR(INDEX(ManualOverrides!$C$2:$C$1000,MATCH(A133&amp;"|"&amp;$A$1,ManualOverrides!$E$2:$E$1000,0)),Q133)</f>
        <v>24.5</v>
      </c>
      <c r="S133" s="1" t="n">
        <f aca="false">IF(OR($A$1="",A133=$A$1),-1000000000000000,R133)</f>
        <v>-1000000000000000</v>
      </c>
      <c r="T133" s="1" t="n">
        <f aca="false">S133+ROW()*0.0000001</f>
        <v>-1000000000000000</v>
      </c>
      <c r="U133" s="1" t="str">
        <f aca="false">Heroes!$M133</f>
        <v>Roaming</v>
      </c>
      <c r="V133" s="1" t="n">
        <f aca="false">IF(OR($A$1="",A133=$A$1,U133="",U133&lt;&gt;$J$1),-1000000000000000,R133)+ROW()*0.0000001</f>
        <v>-1000000000000000</v>
      </c>
    </row>
    <row r="134" customFormat="false" ht="15" hidden="false" customHeight="true" outlineLevel="0" collapsed="false">
      <c r="A134" s="1" t="str">
        <f aca="false">Heroes!$B134</f>
        <v>Hirara</v>
      </c>
      <c r="B134" s="1" t="str">
        <f aca="false">Heroes!$C134</f>
        <v>Assassin</v>
      </c>
      <c r="C134" s="1" t="n">
        <f aca="false">Heroes!$D134</f>
        <v>0</v>
      </c>
      <c r="D134" s="1" t="n">
        <f aca="false">Heroes!$E134</f>
        <v>80</v>
      </c>
      <c r="E134" s="1" t="n">
        <f aca="false">Heroes!$F134</f>
        <v>40</v>
      </c>
      <c r="F134" s="1" t="n">
        <f aca="false">Heroes!$H134</f>
        <v>70</v>
      </c>
      <c r="G134" s="1" t="str">
        <f aca="false">Heroes!$K134</f>
        <v>Physical</v>
      </c>
      <c r="H134" s="1" t="n">
        <f aca="false">Heroes!$Q134</f>
        <v>2</v>
      </c>
      <c r="I134" s="1" t="n">
        <f aca="false">IFERROR(INDEX(RoleMatrix!$B$2:$G$7,MATCH(B134,RoleMatrix!$A$2:$A$7,0),MATCH($B$1,RoleMatrix!$B$1:$G$1,0)),0)</f>
        <v>0</v>
      </c>
      <c r="J134" s="1" t="n">
        <f aca="false">IF(C134&lt;&gt;"",IFERROR(INDEX(RoleMatrix!$B$2:$G$7,MATCH(C134,RoleMatrix!$A$2:$A$7,0),MATCH($B$1,RoleMatrix!$B$1:$G$1,0)),0),I134)</f>
        <v>0</v>
      </c>
      <c r="K134" s="1" t="n">
        <f aca="false">MAX(I134,J134)</f>
        <v>0</v>
      </c>
      <c r="L134" s="1" t="n">
        <f aca="false">((D134+E134)/2-$C$1)*$H$1</f>
        <v>6</v>
      </c>
      <c r="M134" s="1" t="n">
        <f aca="false">F134-$D$1</f>
        <v>70</v>
      </c>
      <c r="N134" s="1" t="n">
        <f aca="false">IF(M134&gt;20,M134*$I$1,0)</f>
        <v>21</v>
      </c>
      <c r="O134" s="1" t="n">
        <f aca="false">IF(G134="Mixed",5,IF(G134=$E$1,-2,3))</f>
        <v>3</v>
      </c>
      <c r="P134" s="1" t="n">
        <f aca="false">(H134-$F$1)*3</f>
        <v>6</v>
      </c>
      <c r="Q134" s="1" t="n">
        <f aca="false">K134*$G$1+L134+N134+O134+P134</f>
        <v>36</v>
      </c>
      <c r="R134" s="1" t="n">
        <f aca="false">IFERROR(INDEX(ManualOverrides!$C$2:$C$1000,MATCH(A134&amp;"|"&amp;$A$1,ManualOverrides!$E$2:$E$1000,0)),Q134)</f>
        <v>36</v>
      </c>
      <c r="S134" s="1" t="n">
        <f aca="false">IF(OR($A$1="",A134=$A$1),-1000000000000000,R134)</f>
        <v>-1000000000000000</v>
      </c>
      <c r="T134" s="1" t="n">
        <f aca="false">S134+ROW()*0.0000001</f>
        <v>-1000000000000000</v>
      </c>
      <c r="U134" s="1" t="str">
        <f aca="false">Heroes!$M134</f>
        <v>Jungle</v>
      </c>
      <c r="V134" s="1" t="n">
        <f aca="false">IF(OR($A$1="",A134=$A$1,U134="",U134&lt;&gt;$J$1),-1000000000000000,R134)+ROW()*0.0000001</f>
        <v>-1000000000000000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2026-07-19T13:03:38Z</dcterms:created>
  <dc:creator>openpyxl</dc:creator>
  <dc:description/>
  <dc:language>en-US</dc:language>
  <cp:lastModifiedBy/>
  <dcterms:modified xsi:type="dcterms:W3CDTF">2026-07-19T14:06:22Z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