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__Projects\AI Projects\ML-API\"/>
    </mc:Choice>
  </mc:AlternateContent>
  <xr:revisionPtr revIDLastSave="0" documentId="13_ncr:1_{F7D89377-FEC6-4A44-920E-D2F29D35FBA5}" xr6:coauthVersionLast="47" xr6:coauthVersionMax="47" xr10:uidLastSave="{00000000-0000-0000-0000-000000000000}"/>
  <bookViews>
    <workbookView xWindow="-108" yWindow="-108" windowWidth="23256" windowHeight="12456" tabRatio="500" firstSheet="1" activeTab="4" xr2:uid="{00000000-000D-0000-FFFF-FFFF00000000}"/>
  </bookViews>
  <sheets>
    <sheet name="Heroes" sheetId="1" r:id="rId1"/>
    <sheet name="Data-Input" sheetId="2" r:id="rId2"/>
    <sheet name="Documentation - Computations" sheetId="3" r:id="rId3"/>
    <sheet name="CounterCalculator" sheetId="4" r:id="rId4"/>
    <sheet name="Lookup" sheetId="5" r:id="rId5"/>
    <sheet name="LookupCalc" sheetId="6" state="hidden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134" i="6" l="1"/>
  <c r="W134" i="6"/>
  <c r="U134" i="6"/>
  <c r="H134" i="6"/>
  <c r="G134" i="6"/>
  <c r="F134" i="6"/>
  <c r="E134" i="6"/>
  <c r="D134" i="6"/>
  <c r="C134" i="6"/>
  <c r="B134" i="6"/>
  <c r="A134" i="6"/>
  <c r="X133" i="6"/>
  <c r="W133" i="6"/>
  <c r="U133" i="6"/>
  <c r="H133" i="6"/>
  <c r="G133" i="6"/>
  <c r="F133" i="6"/>
  <c r="E133" i="6"/>
  <c r="D133" i="6"/>
  <c r="C133" i="6"/>
  <c r="B133" i="6"/>
  <c r="A133" i="6"/>
  <c r="X132" i="6"/>
  <c r="W132" i="6"/>
  <c r="U132" i="6"/>
  <c r="H132" i="6"/>
  <c r="G132" i="6"/>
  <c r="F132" i="6"/>
  <c r="E132" i="6"/>
  <c r="D132" i="6"/>
  <c r="C132" i="6"/>
  <c r="B132" i="6"/>
  <c r="A132" i="6"/>
  <c r="X131" i="6"/>
  <c r="W131" i="6"/>
  <c r="U131" i="6"/>
  <c r="H131" i="6"/>
  <c r="G131" i="6"/>
  <c r="F131" i="6"/>
  <c r="E131" i="6"/>
  <c r="D131" i="6"/>
  <c r="C131" i="6"/>
  <c r="B131" i="6"/>
  <c r="A131" i="6"/>
  <c r="X130" i="6"/>
  <c r="W130" i="6"/>
  <c r="U130" i="6"/>
  <c r="H130" i="6"/>
  <c r="G130" i="6"/>
  <c r="F130" i="6"/>
  <c r="E130" i="6"/>
  <c r="D130" i="6"/>
  <c r="C130" i="6"/>
  <c r="B130" i="6"/>
  <c r="A130" i="6"/>
  <c r="X129" i="6"/>
  <c r="W129" i="6"/>
  <c r="U129" i="6"/>
  <c r="H129" i="6"/>
  <c r="G129" i="6"/>
  <c r="F129" i="6"/>
  <c r="E129" i="6"/>
  <c r="D129" i="6"/>
  <c r="C129" i="6"/>
  <c r="B129" i="6"/>
  <c r="A129" i="6"/>
  <c r="X128" i="6"/>
  <c r="W128" i="6"/>
  <c r="U128" i="6"/>
  <c r="H128" i="6"/>
  <c r="G128" i="6"/>
  <c r="F128" i="6"/>
  <c r="E128" i="6"/>
  <c r="D128" i="6"/>
  <c r="C128" i="6"/>
  <c r="B128" i="6"/>
  <c r="A128" i="6"/>
  <c r="X127" i="6"/>
  <c r="W127" i="6"/>
  <c r="U127" i="6"/>
  <c r="H127" i="6"/>
  <c r="G127" i="6"/>
  <c r="F127" i="6"/>
  <c r="E127" i="6"/>
  <c r="D127" i="6"/>
  <c r="C127" i="6"/>
  <c r="B127" i="6"/>
  <c r="A127" i="6"/>
  <c r="X126" i="6"/>
  <c r="W126" i="6"/>
  <c r="U126" i="6"/>
  <c r="H126" i="6"/>
  <c r="G126" i="6"/>
  <c r="F126" i="6"/>
  <c r="E126" i="6"/>
  <c r="D126" i="6"/>
  <c r="C126" i="6"/>
  <c r="B126" i="6"/>
  <c r="A126" i="6"/>
  <c r="X125" i="6"/>
  <c r="W125" i="6"/>
  <c r="U125" i="6"/>
  <c r="H125" i="6"/>
  <c r="G125" i="6"/>
  <c r="F125" i="6"/>
  <c r="E125" i="6"/>
  <c r="D125" i="6"/>
  <c r="C125" i="6"/>
  <c r="B125" i="6"/>
  <c r="A125" i="6"/>
  <c r="X124" i="6"/>
  <c r="W124" i="6"/>
  <c r="U124" i="6"/>
  <c r="H124" i="6"/>
  <c r="G124" i="6"/>
  <c r="F124" i="6"/>
  <c r="E124" i="6"/>
  <c r="D124" i="6"/>
  <c r="C124" i="6"/>
  <c r="B124" i="6"/>
  <c r="A124" i="6"/>
  <c r="X123" i="6"/>
  <c r="W123" i="6"/>
  <c r="U123" i="6"/>
  <c r="H123" i="6"/>
  <c r="G123" i="6"/>
  <c r="F123" i="6"/>
  <c r="E123" i="6"/>
  <c r="D123" i="6"/>
  <c r="C123" i="6"/>
  <c r="B123" i="6"/>
  <c r="A123" i="6"/>
  <c r="X122" i="6"/>
  <c r="W122" i="6"/>
  <c r="U122" i="6"/>
  <c r="H122" i="6"/>
  <c r="G122" i="6"/>
  <c r="F122" i="6"/>
  <c r="E122" i="6"/>
  <c r="D122" i="6"/>
  <c r="C122" i="6"/>
  <c r="B122" i="6"/>
  <c r="A122" i="6"/>
  <c r="X121" i="6"/>
  <c r="W121" i="6"/>
  <c r="U121" i="6"/>
  <c r="H121" i="6"/>
  <c r="G121" i="6"/>
  <c r="F121" i="6"/>
  <c r="E121" i="6"/>
  <c r="D121" i="6"/>
  <c r="C121" i="6"/>
  <c r="B121" i="6"/>
  <c r="A121" i="6"/>
  <c r="X120" i="6"/>
  <c r="W120" i="6"/>
  <c r="U120" i="6"/>
  <c r="H120" i="6"/>
  <c r="G120" i="6"/>
  <c r="F120" i="6"/>
  <c r="E120" i="6"/>
  <c r="D120" i="6"/>
  <c r="C120" i="6"/>
  <c r="B120" i="6"/>
  <c r="A120" i="6"/>
  <c r="X119" i="6"/>
  <c r="W119" i="6"/>
  <c r="U119" i="6"/>
  <c r="H119" i="6"/>
  <c r="G119" i="6"/>
  <c r="F119" i="6"/>
  <c r="E119" i="6"/>
  <c r="D119" i="6"/>
  <c r="C119" i="6"/>
  <c r="B119" i="6"/>
  <c r="A119" i="6"/>
  <c r="X118" i="6"/>
  <c r="W118" i="6"/>
  <c r="U118" i="6"/>
  <c r="H118" i="6"/>
  <c r="G118" i="6"/>
  <c r="F118" i="6"/>
  <c r="E118" i="6"/>
  <c r="D118" i="6"/>
  <c r="C118" i="6"/>
  <c r="B118" i="6"/>
  <c r="A118" i="6"/>
  <c r="X117" i="6"/>
  <c r="W117" i="6"/>
  <c r="U117" i="6"/>
  <c r="H117" i="6"/>
  <c r="G117" i="6"/>
  <c r="F117" i="6"/>
  <c r="E117" i="6"/>
  <c r="D117" i="6"/>
  <c r="C117" i="6"/>
  <c r="B117" i="6"/>
  <c r="A117" i="6"/>
  <c r="X116" i="6"/>
  <c r="W116" i="6"/>
  <c r="U116" i="6"/>
  <c r="H116" i="6"/>
  <c r="G116" i="6"/>
  <c r="F116" i="6"/>
  <c r="E116" i="6"/>
  <c r="D116" i="6"/>
  <c r="C116" i="6"/>
  <c r="B116" i="6"/>
  <c r="A116" i="6"/>
  <c r="X115" i="6"/>
  <c r="W115" i="6"/>
  <c r="U115" i="6"/>
  <c r="H115" i="6"/>
  <c r="G115" i="6"/>
  <c r="F115" i="6"/>
  <c r="E115" i="6"/>
  <c r="D115" i="6"/>
  <c r="C115" i="6"/>
  <c r="B115" i="6"/>
  <c r="A115" i="6"/>
  <c r="X114" i="6"/>
  <c r="W114" i="6"/>
  <c r="U114" i="6"/>
  <c r="H114" i="6"/>
  <c r="G114" i="6"/>
  <c r="F114" i="6"/>
  <c r="E114" i="6"/>
  <c r="D114" i="6"/>
  <c r="C114" i="6"/>
  <c r="B114" i="6"/>
  <c r="A114" i="6"/>
  <c r="X113" i="6"/>
  <c r="W113" i="6"/>
  <c r="U113" i="6"/>
  <c r="H113" i="6"/>
  <c r="G113" i="6"/>
  <c r="F113" i="6"/>
  <c r="E113" i="6"/>
  <c r="D113" i="6"/>
  <c r="C113" i="6"/>
  <c r="B113" i="6"/>
  <c r="A113" i="6"/>
  <c r="X112" i="6"/>
  <c r="W112" i="6"/>
  <c r="U112" i="6"/>
  <c r="H112" i="6"/>
  <c r="G112" i="6"/>
  <c r="F112" i="6"/>
  <c r="E112" i="6"/>
  <c r="D112" i="6"/>
  <c r="C112" i="6"/>
  <c r="B112" i="6"/>
  <c r="A112" i="6"/>
  <c r="X111" i="6"/>
  <c r="W111" i="6"/>
  <c r="U111" i="6"/>
  <c r="H111" i="6"/>
  <c r="G111" i="6"/>
  <c r="F111" i="6"/>
  <c r="E111" i="6"/>
  <c r="D111" i="6"/>
  <c r="C111" i="6"/>
  <c r="B111" i="6"/>
  <c r="A111" i="6"/>
  <c r="X110" i="6"/>
  <c r="W110" i="6"/>
  <c r="U110" i="6"/>
  <c r="H110" i="6"/>
  <c r="G110" i="6"/>
  <c r="F110" i="6"/>
  <c r="E110" i="6"/>
  <c r="D110" i="6"/>
  <c r="C110" i="6"/>
  <c r="B110" i="6"/>
  <c r="A110" i="6"/>
  <c r="X109" i="6"/>
  <c r="W109" i="6"/>
  <c r="U109" i="6"/>
  <c r="H109" i="6"/>
  <c r="G109" i="6"/>
  <c r="F109" i="6"/>
  <c r="E109" i="6"/>
  <c r="D109" i="6"/>
  <c r="C109" i="6"/>
  <c r="B109" i="6"/>
  <c r="A109" i="6"/>
  <c r="X108" i="6"/>
  <c r="W108" i="6"/>
  <c r="U108" i="6"/>
  <c r="H108" i="6"/>
  <c r="G108" i="6"/>
  <c r="F108" i="6"/>
  <c r="E108" i="6"/>
  <c r="D108" i="6"/>
  <c r="C108" i="6"/>
  <c r="B108" i="6"/>
  <c r="A108" i="6"/>
  <c r="X107" i="6"/>
  <c r="W107" i="6"/>
  <c r="U107" i="6"/>
  <c r="H107" i="6"/>
  <c r="G107" i="6"/>
  <c r="F107" i="6"/>
  <c r="E107" i="6"/>
  <c r="D107" i="6"/>
  <c r="C107" i="6"/>
  <c r="B107" i="6"/>
  <c r="A107" i="6"/>
  <c r="X106" i="6"/>
  <c r="W106" i="6"/>
  <c r="U106" i="6"/>
  <c r="H106" i="6"/>
  <c r="G106" i="6"/>
  <c r="F106" i="6"/>
  <c r="E106" i="6"/>
  <c r="D106" i="6"/>
  <c r="C106" i="6"/>
  <c r="B106" i="6"/>
  <c r="A106" i="6"/>
  <c r="X105" i="6"/>
  <c r="W105" i="6"/>
  <c r="U105" i="6"/>
  <c r="H105" i="6"/>
  <c r="G105" i="6"/>
  <c r="F105" i="6"/>
  <c r="E105" i="6"/>
  <c r="D105" i="6"/>
  <c r="C105" i="6"/>
  <c r="B105" i="6"/>
  <c r="A105" i="6"/>
  <c r="X104" i="6"/>
  <c r="W104" i="6"/>
  <c r="U104" i="6"/>
  <c r="H104" i="6"/>
  <c r="G104" i="6"/>
  <c r="F104" i="6"/>
  <c r="E104" i="6"/>
  <c r="D104" i="6"/>
  <c r="C104" i="6"/>
  <c r="B104" i="6"/>
  <c r="A104" i="6"/>
  <c r="X103" i="6"/>
  <c r="W103" i="6"/>
  <c r="U103" i="6"/>
  <c r="H103" i="6"/>
  <c r="G103" i="6"/>
  <c r="F103" i="6"/>
  <c r="E103" i="6"/>
  <c r="D103" i="6"/>
  <c r="C103" i="6"/>
  <c r="B103" i="6"/>
  <c r="A103" i="6"/>
  <c r="X102" i="6"/>
  <c r="W102" i="6"/>
  <c r="U102" i="6"/>
  <c r="H102" i="6"/>
  <c r="G102" i="6"/>
  <c r="F102" i="6"/>
  <c r="E102" i="6"/>
  <c r="D102" i="6"/>
  <c r="C102" i="6"/>
  <c r="B102" i="6"/>
  <c r="A102" i="6"/>
  <c r="X101" i="6"/>
  <c r="W101" i="6"/>
  <c r="U101" i="6"/>
  <c r="H101" i="6"/>
  <c r="G101" i="6"/>
  <c r="F101" i="6"/>
  <c r="E101" i="6"/>
  <c r="D101" i="6"/>
  <c r="C101" i="6"/>
  <c r="B101" i="6"/>
  <c r="A101" i="6"/>
  <c r="X100" i="6"/>
  <c r="W100" i="6"/>
  <c r="U100" i="6"/>
  <c r="H100" i="6"/>
  <c r="G100" i="6"/>
  <c r="F100" i="6"/>
  <c r="E100" i="6"/>
  <c r="D100" i="6"/>
  <c r="C100" i="6"/>
  <c r="B100" i="6"/>
  <c r="A100" i="6"/>
  <c r="X99" i="6"/>
  <c r="W99" i="6"/>
  <c r="U99" i="6"/>
  <c r="H99" i="6"/>
  <c r="G99" i="6"/>
  <c r="F99" i="6"/>
  <c r="E99" i="6"/>
  <c r="D99" i="6"/>
  <c r="C99" i="6"/>
  <c r="B99" i="6"/>
  <c r="A99" i="6"/>
  <c r="X98" i="6"/>
  <c r="W98" i="6"/>
  <c r="U98" i="6"/>
  <c r="H98" i="6"/>
  <c r="G98" i="6"/>
  <c r="F98" i="6"/>
  <c r="E98" i="6"/>
  <c r="D98" i="6"/>
  <c r="C98" i="6"/>
  <c r="B98" i="6"/>
  <c r="A98" i="6"/>
  <c r="X97" i="6"/>
  <c r="W97" i="6"/>
  <c r="U97" i="6"/>
  <c r="H97" i="6"/>
  <c r="G97" i="6"/>
  <c r="F97" i="6"/>
  <c r="E97" i="6"/>
  <c r="D97" i="6"/>
  <c r="C97" i="6"/>
  <c r="B97" i="6"/>
  <c r="A97" i="6"/>
  <c r="X96" i="6"/>
  <c r="W96" i="6"/>
  <c r="U96" i="6"/>
  <c r="H96" i="6"/>
  <c r="G96" i="6"/>
  <c r="F96" i="6"/>
  <c r="E96" i="6"/>
  <c r="D96" i="6"/>
  <c r="C96" i="6"/>
  <c r="B96" i="6"/>
  <c r="A96" i="6"/>
  <c r="X95" i="6"/>
  <c r="W95" i="6"/>
  <c r="U95" i="6"/>
  <c r="H95" i="6"/>
  <c r="G95" i="6"/>
  <c r="F95" i="6"/>
  <c r="E95" i="6"/>
  <c r="D95" i="6"/>
  <c r="C95" i="6"/>
  <c r="B95" i="6"/>
  <c r="A95" i="6"/>
  <c r="X94" i="6"/>
  <c r="W94" i="6"/>
  <c r="U94" i="6"/>
  <c r="H94" i="6"/>
  <c r="G94" i="6"/>
  <c r="F94" i="6"/>
  <c r="E94" i="6"/>
  <c r="D94" i="6"/>
  <c r="C94" i="6"/>
  <c r="B94" i="6"/>
  <c r="A94" i="6"/>
  <c r="X93" i="6"/>
  <c r="W93" i="6"/>
  <c r="U93" i="6"/>
  <c r="H93" i="6"/>
  <c r="G93" i="6"/>
  <c r="F93" i="6"/>
  <c r="E93" i="6"/>
  <c r="D93" i="6"/>
  <c r="C93" i="6"/>
  <c r="B93" i="6"/>
  <c r="A93" i="6"/>
  <c r="X92" i="6"/>
  <c r="W92" i="6"/>
  <c r="U92" i="6"/>
  <c r="H92" i="6"/>
  <c r="G92" i="6"/>
  <c r="F92" i="6"/>
  <c r="E92" i="6"/>
  <c r="D92" i="6"/>
  <c r="C92" i="6"/>
  <c r="B92" i="6"/>
  <c r="A92" i="6"/>
  <c r="X91" i="6"/>
  <c r="W91" i="6"/>
  <c r="U91" i="6"/>
  <c r="H91" i="6"/>
  <c r="G91" i="6"/>
  <c r="F91" i="6"/>
  <c r="E91" i="6"/>
  <c r="D91" i="6"/>
  <c r="C91" i="6"/>
  <c r="B91" i="6"/>
  <c r="A91" i="6"/>
  <c r="X90" i="6"/>
  <c r="W90" i="6"/>
  <c r="U90" i="6"/>
  <c r="H90" i="6"/>
  <c r="G90" i="6"/>
  <c r="F90" i="6"/>
  <c r="E90" i="6"/>
  <c r="D90" i="6"/>
  <c r="C90" i="6"/>
  <c r="B90" i="6"/>
  <c r="A90" i="6"/>
  <c r="X89" i="6"/>
  <c r="W89" i="6"/>
  <c r="U89" i="6"/>
  <c r="H89" i="6"/>
  <c r="G89" i="6"/>
  <c r="F89" i="6"/>
  <c r="E89" i="6"/>
  <c r="D89" i="6"/>
  <c r="C89" i="6"/>
  <c r="B89" i="6"/>
  <c r="A89" i="6"/>
  <c r="X88" i="6"/>
  <c r="W88" i="6"/>
  <c r="U88" i="6"/>
  <c r="H88" i="6"/>
  <c r="G88" i="6"/>
  <c r="F88" i="6"/>
  <c r="E88" i="6"/>
  <c r="D88" i="6"/>
  <c r="C88" i="6"/>
  <c r="B88" i="6"/>
  <c r="A88" i="6"/>
  <c r="X87" i="6"/>
  <c r="W87" i="6"/>
  <c r="U87" i="6"/>
  <c r="H87" i="6"/>
  <c r="G87" i="6"/>
  <c r="F87" i="6"/>
  <c r="E87" i="6"/>
  <c r="D87" i="6"/>
  <c r="C87" i="6"/>
  <c r="B87" i="6"/>
  <c r="A87" i="6"/>
  <c r="X86" i="6"/>
  <c r="W86" i="6"/>
  <c r="U86" i="6"/>
  <c r="H86" i="6"/>
  <c r="G86" i="6"/>
  <c r="F86" i="6"/>
  <c r="E86" i="6"/>
  <c r="D86" i="6"/>
  <c r="C86" i="6"/>
  <c r="B86" i="6"/>
  <c r="A86" i="6"/>
  <c r="X85" i="6"/>
  <c r="W85" i="6"/>
  <c r="U85" i="6"/>
  <c r="H85" i="6"/>
  <c r="G85" i="6"/>
  <c r="F85" i="6"/>
  <c r="E85" i="6"/>
  <c r="D85" i="6"/>
  <c r="C85" i="6"/>
  <c r="B85" i="6"/>
  <c r="A85" i="6"/>
  <c r="X84" i="6"/>
  <c r="W84" i="6"/>
  <c r="U84" i="6"/>
  <c r="H84" i="6"/>
  <c r="G84" i="6"/>
  <c r="F84" i="6"/>
  <c r="E84" i="6"/>
  <c r="D84" i="6"/>
  <c r="C84" i="6"/>
  <c r="B84" i="6"/>
  <c r="A84" i="6"/>
  <c r="X83" i="6"/>
  <c r="W83" i="6"/>
  <c r="U83" i="6"/>
  <c r="H83" i="6"/>
  <c r="G83" i="6"/>
  <c r="F83" i="6"/>
  <c r="E83" i="6"/>
  <c r="D83" i="6"/>
  <c r="C83" i="6"/>
  <c r="B83" i="6"/>
  <c r="A83" i="6"/>
  <c r="X82" i="6"/>
  <c r="W82" i="6"/>
  <c r="U82" i="6"/>
  <c r="H82" i="6"/>
  <c r="G82" i="6"/>
  <c r="F82" i="6"/>
  <c r="E82" i="6"/>
  <c r="D82" i="6"/>
  <c r="C82" i="6"/>
  <c r="B82" i="6"/>
  <c r="A82" i="6"/>
  <c r="X81" i="6"/>
  <c r="W81" i="6"/>
  <c r="U81" i="6"/>
  <c r="H81" i="6"/>
  <c r="G81" i="6"/>
  <c r="F81" i="6"/>
  <c r="E81" i="6"/>
  <c r="D81" i="6"/>
  <c r="C81" i="6"/>
  <c r="B81" i="6"/>
  <c r="A81" i="6"/>
  <c r="X80" i="6"/>
  <c r="W80" i="6"/>
  <c r="U80" i="6"/>
  <c r="H80" i="6"/>
  <c r="G80" i="6"/>
  <c r="F80" i="6"/>
  <c r="E80" i="6"/>
  <c r="D80" i="6"/>
  <c r="C80" i="6"/>
  <c r="B80" i="6"/>
  <c r="A80" i="6"/>
  <c r="X79" i="6"/>
  <c r="W79" i="6"/>
  <c r="U79" i="6"/>
  <c r="H79" i="6"/>
  <c r="G79" i="6"/>
  <c r="F79" i="6"/>
  <c r="E79" i="6"/>
  <c r="D79" i="6"/>
  <c r="C79" i="6"/>
  <c r="B79" i="6"/>
  <c r="A79" i="6"/>
  <c r="X78" i="6"/>
  <c r="W78" i="6"/>
  <c r="U78" i="6"/>
  <c r="H78" i="6"/>
  <c r="G78" i="6"/>
  <c r="F78" i="6"/>
  <c r="E78" i="6"/>
  <c r="D78" i="6"/>
  <c r="C78" i="6"/>
  <c r="B78" i="6"/>
  <c r="A78" i="6"/>
  <c r="X77" i="6"/>
  <c r="W77" i="6"/>
  <c r="U77" i="6"/>
  <c r="H77" i="6"/>
  <c r="G77" i="6"/>
  <c r="F77" i="6"/>
  <c r="E77" i="6"/>
  <c r="D77" i="6"/>
  <c r="C77" i="6"/>
  <c r="B77" i="6"/>
  <c r="A77" i="6"/>
  <c r="X76" i="6"/>
  <c r="W76" i="6"/>
  <c r="U76" i="6"/>
  <c r="H76" i="6"/>
  <c r="G76" i="6"/>
  <c r="F76" i="6"/>
  <c r="E76" i="6"/>
  <c r="D76" i="6"/>
  <c r="C76" i="6"/>
  <c r="B76" i="6"/>
  <c r="A76" i="6"/>
  <c r="X75" i="6"/>
  <c r="W75" i="6"/>
  <c r="U75" i="6"/>
  <c r="H75" i="6"/>
  <c r="G75" i="6"/>
  <c r="F75" i="6"/>
  <c r="E75" i="6"/>
  <c r="D75" i="6"/>
  <c r="C75" i="6"/>
  <c r="B75" i="6"/>
  <c r="A75" i="6"/>
  <c r="X74" i="6"/>
  <c r="W74" i="6"/>
  <c r="U74" i="6"/>
  <c r="H74" i="6"/>
  <c r="G74" i="6"/>
  <c r="F74" i="6"/>
  <c r="E74" i="6"/>
  <c r="D74" i="6"/>
  <c r="C74" i="6"/>
  <c r="B74" i="6"/>
  <c r="A74" i="6"/>
  <c r="X73" i="6"/>
  <c r="W73" i="6"/>
  <c r="U73" i="6"/>
  <c r="H73" i="6"/>
  <c r="G73" i="6"/>
  <c r="F73" i="6"/>
  <c r="E73" i="6"/>
  <c r="D73" i="6"/>
  <c r="C73" i="6"/>
  <c r="B73" i="6"/>
  <c r="A73" i="6"/>
  <c r="X72" i="6"/>
  <c r="W72" i="6"/>
  <c r="U72" i="6"/>
  <c r="H72" i="6"/>
  <c r="G72" i="6"/>
  <c r="F72" i="6"/>
  <c r="E72" i="6"/>
  <c r="D72" i="6"/>
  <c r="C72" i="6"/>
  <c r="B72" i="6"/>
  <c r="A72" i="6"/>
  <c r="X71" i="6"/>
  <c r="W71" i="6"/>
  <c r="U71" i="6"/>
  <c r="H71" i="6"/>
  <c r="G71" i="6"/>
  <c r="F71" i="6"/>
  <c r="E71" i="6"/>
  <c r="D71" i="6"/>
  <c r="C71" i="6"/>
  <c r="B71" i="6"/>
  <c r="A71" i="6"/>
  <c r="X70" i="6"/>
  <c r="W70" i="6"/>
  <c r="U70" i="6"/>
  <c r="H70" i="6"/>
  <c r="G70" i="6"/>
  <c r="F70" i="6"/>
  <c r="E70" i="6"/>
  <c r="D70" i="6"/>
  <c r="C70" i="6"/>
  <c r="B70" i="6"/>
  <c r="A70" i="6"/>
  <c r="X69" i="6"/>
  <c r="W69" i="6"/>
  <c r="U69" i="6"/>
  <c r="H69" i="6"/>
  <c r="G69" i="6"/>
  <c r="F69" i="6"/>
  <c r="E69" i="6"/>
  <c r="D69" i="6"/>
  <c r="C69" i="6"/>
  <c r="B69" i="6"/>
  <c r="A69" i="6"/>
  <c r="X68" i="6"/>
  <c r="W68" i="6"/>
  <c r="U68" i="6"/>
  <c r="H68" i="6"/>
  <c r="G68" i="6"/>
  <c r="F68" i="6"/>
  <c r="E68" i="6"/>
  <c r="D68" i="6"/>
  <c r="C68" i="6"/>
  <c r="B68" i="6"/>
  <c r="A68" i="6"/>
  <c r="X67" i="6"/>
  <c r="W67" i="6"/>
  <c r="U67" i="6"/>
  <c r="H67" i="6"/>
  <c r="G67" i="6"/>
  <c r="F67" i="6"/>
  <c r="E67" i="6"/>
  <c r="D67" i="6"/>
  <c r="C67" i="6"/>
  <c r="B67" i="6"/>
  <c r="A67" i="6"/>
  <c r="X66" i="6"/>
  <c r="W66" i="6"/>
  <c r="U66" i="6"/>
  <c r="H66" i="6"/>
  <c r="G66" i="6"/>
  <c r="F66" i="6"/>
  <c r="E66" i="6"/>
  <c r="D66" i="6"/>
  <c r="C66" i="6"/>
  <c r="B66" i="6"/>
  <c r="A66" i="6"/>
  <c r="X65" i="6"/>
  <c r="W65" i="6"/>
  <c r="U65" i="6"/>
  <c r="H65" i="6"/>
  <c r="G65" i="6"/>
  <c r="F65" i="6"/>
  <c r="E65" i="6"/>
  <c r="D65" i="6"/>
  <c r="C65" i="6"/>
  <c r="B65" i="6"/>
  <c r="A65" i="6"/>
  <c r="X64" i="6"/>
  <c r="W64" i="6"/>
  <c r="U64" i="6"/>
  <c r="H64" i="6"/>
  <c r="G64" i="6"/>
  <c r="F64" i="6"/>
  <c r="E64" i="6"/>
  <c r="D64" i="6"/>
  <c r="C64" i="6"/>
  <c r="B64" i="6"/>
  <c r="A64" i="6"/>
  <c r="X63" i="6"/>
  <c r="W63" i="6"/>
  <c r="U63" i="6"/>
  <c r="H63" i="6"/>
  <c r="G63" i="6"/>
  <c r="F63" i="6"/>
  <c r="E63" i="6"/>
  <c r="D63" i="6"/>
  <c r="C63" i="6"/>
  <c r="B63" i="6"/>
  <c r="A63" i="6"/>
  <c r="X62" i="6"/>
  <c r="W62" i="6"/>
  <c r="U62" i="6"/>
  <c r="H62" i="6"/>
  <c r="G62" i="6"/>
  <c r="F62" i="6"/>
  <c r="E62" i="6"/>
  <c r="D62" i="6"/>
  <c r="C62" i="6"/>
  <c r="B62" i="6"/>
  <c r="A62" i="6"/>
  <c r="X61" i="6"/>
  <c r="W61" i="6"/>
  <c r="U61" i="6"/>
  <c r="H61" i="6"/>
  <c r="G61" i="6"/>
  <c r="F61" i="6"/>
  <c r="E61" i="6"/>
  <c r="D61" i="6"/>
  <c r="C61" i="6"/>
  <c r="B61" i="6"/>
  <c r="A61" i="6"/>
  <c r="X60" i="6"/>
  <c r="W60" i="6"/>
  <c r="U60" i="6"/>
  <c r="H60" i="6"/>
  <c r="G60" i="6"/>
  <c r="F60" i="6"/>
  <c r="E60" i="6"/>
  <c r="D60" i="6"/>
  <c r="C60" i="6"/>
  <c r="B60" i="6"/>
  <c r="A60" i="6"/>
  <c r="X59" i="6"/>
  <c r="W59" i="6"/>
  <c r="U59" i="6"/>
  <c r="H59" i="6"/>
  <c r="G59" i="6"/>
  <c r="F59" i="6"/>
  <c r="E59" i="6"/>
  <c r="D59" i="6"/>
  <c r="C59" i="6"/>
  <c r="B59" i="6"/>
  <c r="A59" i="6"/>
  <c r="X58" i="6"/>
  <c r="W58" i="6"/>
  <c r="U58" i="6"/>
  <c r="H58" i="6"/>
  <c r="G58" i="6"/>
  <c r="F58" i="6"/>
  <c r="E58" i="6"/>
  <c r="D58" i="6"/>
  <c r="C58" i="6"/>
  <c r="B58" i="6"/>
  <c r="A58" i="6"/>
  <c r="X57" i="6"/>
  <c r="W57" i="6"/>
  <c r="U57" i="6"/>
  <c r="H57" i="6"/>
  <c r="G57" i="6"/>
  <c r="F57" i="6"/>
  <c r="E57" i="6"/>
  <c r="D57" i="6"/>
  <c r="C57" i="6"/>
  <c r="B57" i="6"/>
  <c r="A57" i="6"/>
  <c r="X56" i="6"/>
  <c r="W56" i="6"/>
  <c r="U56" i="6"/>
  <c r="H56" i="6"/>
  <c r="G56" i="6"/>
  <c r="F56" i="6"/>
  <c r="E56" i="6"/>
  <c r="D56" i="6"/>
  <c r="C56" i="6"/>
  <c r="B56" i="6"/>
  <c r="A56" i="6"/>
  <c r="X55" i="6"/>
  <c r="W55" i="6"/>
  <c r="U55" i="6"/>
  <c r="H55" i="6"/>
  <c r="G55" i="6"/>
  <c r="F55" i="6"/>
  <c r="E55" i="6"/>
  <c r="D55" i="6"/>
  <c r="C55" i="6"/>
  <c r="B55" i="6"/>
  <c r="A55" i="6"/>
  <c r="X54" i="6"/>
  <c r="W54" i="6"/>
  <c r="U54" i="6"/>
  <c r="H54" i="6"/>
  <c r="G54" i="6"/>
  <c r="F54" i="6"/>
  <c r="E54" i="6"/>
  <c r="D54" i="6"/>
  <c r="C54" i="6"/>
  <c r="B54" i="6"/>
  <c r="A54" i="6"/>
  <c r="X53" i="6"/>
  <c r="W53" i="6"/>
  <c r="U53" i="6"/>
  <c r="H53" i="6"/>
  <c r="G53" i="6"/>
  <c r="F53" i="6"/>
  <c r="E53" i="6"/>
  <c r="D53" i="6"/>
  <c r="C53" i="6"/>
  <c r="B53" i="6"/>
  <c r="A53" i="6"/>
  <c r="X52" i="6"/>
  <c r="W52" i="6"/>
  <c r="U52" i="6"/>
  <c r="H52" i="6"/>
  <c r="G52" i="6"/>
  <c r="F52" i="6"/>
  <c r="E52" i="6"/>
  <c r="D52" i="6"/>
  <c r="C52" i="6"/>
  <c r="B52" i="6"/>
  <c r="A52" i="6"/>
  <c r="X51" i="6"/>
  <c r="W51" i="6"/>
  <c r="U51" i="6"/>
  <c r="H51" i="6"/>
  <c r="G51" i="6"/>
  <c r="F51" i="6"/>
  <c r="E51" i="6"/>
  <c r="D51" i="6"/>
  <c r="C51" i="6"/>
  <c r="B51" i="6"/>
  <c r="A51" i="6"/>
  <c r="X50" i="6"/>
  <c r="W50" i="6"/>
  <c r="U50" i="6"/>
  <c r="H50" i="6"/>
  <c r="G50" i="6"/>
  <c r="F50" i="6"/>
  <c r="E50" i="6"/>
  <c r="D50" i="6"/>
  <c r="C50" i="6"/>
  <c r="B50" i="6"/>
  <c r="A50" i="6"/>
  <c r="X49" i="6"/>
  <c r="W49" i="6"/>
  <c r="U49" i="6"/>
  <c r="H49" i="6"/>
  <c r="G49" i="6"/>
  <c r="F49" i="6"/>
  <c r="E49" i="6"/>
  <c r="D49" i="6"/>
  <c r="L49" i="6" s="1"/>
  <c r="C49" i="6"/>
  <c r="B49" i="6"/>
  <c r="A49" i="6"/>
  <c r="X48" i="6"/>
  <c r="W48" i="6"/>
  <c r="U48" i="6"/>
  <c r="H48" i="6"/>
  <c r="G48" i="6"/>
  <c r="F48" i="6"/>
  <c r="M48" i="6" s="1"/>
  <c r="N48" i="6" s="1"/>
  <c r="E48" i="6"/>
  <c r="D48" i="6"/>
  <c r="C48" i="6"/>
  <c r="B48" i="6"/>
  <c r="A48" i="6"/>
  <c r="X47" i="6"/>
  <c r="W47" i="6"/>
  <c r="U47" i="6"/>
  <c r="H47" i="6"/>
  <c r="G47" i="6"/>
  <c r="F47" i="6"/>
  <c r="E47" i="6"/>
  <c r="D47" i="6"/>
  <c r="C47" i="6"/>
  <c r="B47" i="6"/>
  <c r="A47" i="6"/>
  <c r="X46" i="6"/>
  <c r="W46" i="6"/>
  <c r="U46" i="6"/>
  <c r="H46" i="6"/>
  <c r="G46" i="6"/>
  <c r="F46" i="6"/>
  <c r="E46" i="6"/>
  <c r="D46" i="6"/>
  <c r="C46" i="6"/>
  <c r="B46" i="6"/>
  <c r="A46" i="6"/>
  <c r="X45" i="6"/>
  <c r="W45" i="6"/>
  <c r="U45" i="6"/>
  <c r="H45" i="6"/>
  <c r="G45" i="6"/>
  <c r="F45" i="6"/>
  <c r="E45" i="6"/>
  <c r="D45" i="6"/>
  <c r="L45" i="6" s="1"/>
  <c r="C45" i="6"/>
  <c r="B45" i="6"/>
  <c r="A45" i="6"/>
  <c r="X44" i="6"/>
  <c r="W44" i="6"/>
  <c r="U44" i="6"/>
  <c r="H44" i="6"/>
  <c r="G44" i="6"/>
  <c r="F44" i="6"/>
  <c r="M44" i="6" s="1"/>
  <c r="N44" i="6" s="1"/>
  <c r="E44" i="6"/>
  <c r="D44" i="6"/>
  <c r="C44" i="6"/>
  <c r="B44" i="6"/>
  <c r="A44" i="6"/>
  <c r="X43" i="6"/>
  <c r="W43" i="6"/>
  <c r="U43" i="6"/>
  <c r="H43" i="6"/>
  <c r="G43" i="6"/>
  <c r="F43" i="6"/>
  <c r="E43" i="6"/>
  <c r="D43" i="6"/>
  <c r="C43" i="6"/>
  <c r="B43" i="6"/>
  <c r="A43" i="6"/>
  <c r="X42" i="6"/>
  <c r="W42" i="6"/>
  <c r="U42" i="6"/>
  <c r="H42" i="6"/>
  <c r="G42" i="6"/>
  <c r="F42" i="6"/>
  <c r="E42" i="6"/>
  <c r="D42" i="6"/>
  <c r="C42" i="6"/>
  <c r="B42" i="6"/>
  <c r="A42" i="6"/>
  <c r="X41" i="6"/>
  <c r="W41" i="6"/>
  <c r="U41" i="6"/>
  <c r="H41" i="6"/>
  <c r="G41" i="6"/>
  <c r="F41" i="6"/>
  <c r="E41" i="6"/>
  <c r="D41" i="6"/>
  <c r="L41" i="6" s="1"/>
  <c r="C41" i="6"/>
  <c r="B41" i="6"/>
  <c r="A41" i="6"/>
  <c r="X40" i="6"/>
  <c r="W40" i="6"/>
  <c r="U40" i="6"/>
  <c r="H40" i="6"/>
  <c r="G40" i="6"/>
  <c r="F40" i="6"/>
  <c r="M40" i="6" s="1"/>
  <c r="N40" i="6" s="1"/>
  <c r="E40" i="6"/>
  <c r="D40" i="6"/>
  <c r="C40" i="6"/>
  <c r="B40" i="6"/>
  <c r="A40" i="6"/>
  <c r="Z39" i="6"/>
  <c r="X39" i="6"/>
  <c r="W39" i="6"/>
  <c r="U39" i="6"/>
  <c r="H39" i="6"/>
  <c r="G39" i="6"/>
  <c r="F39" i="6"/>
  <c r="E39" i="6"/>
  <c r="D39" i="6"/>
  <c r="C39" i="6"/>
  <c r="B39" i="6"/>
  <c r="A39" i="6"/>
  <c r="X38" i="6"/>
  <c r="W38" i="6"/>
  <c r="U38" i="6"/>
  <c r="H38" i="6"/>
  <c r="G38" i="6"/>
  <c r="F38" i="6"/>
  <c r="E38" i="6"/>
  <c r="D38" i="6"/>
  <c r="C38" i="6"/>
  <c r="B38" i="6"/>
  <c r="A38" i="6"/>
  <c r="X37" i="6"/>
  <c r="W37" i="6"/>
  <c r="U37" i="6"/>
  <c r="H37" i="6"/>
  <c r="G37" i="6"/>
  <c r="F37" i="6"/>
  <c r="E37" i="6"/>
  <c r="D37" i="6"/>
  <c r="L37" i="6" s="1"/>
  <c r="C37" i="6"/>
  <c r="B37" i="6"/>
  <c r="A37" i="6"/>
  <c r="X36" i="6"/>
  <c r="W36" i="6"/>
  <c r="U36" i="6"/>
  <c r="H36" i="6"/>
  <c r="G36" i="6"/>
  <c r="F36" i="6"/>
  <c r="E36" i="6"/>
  <c r="D36" i="6"/>
  <c r="C36" i="6"/>
  <c r="B36" i="6"/>
  <c r="A36" i="6"/>
  <c r="X35" i="6"/>
  <c r="W35" i="6"/>
  <c r="U35" i="6"/>
  <c r="H35" i="6"/>
  <c r="G35" i="6"/>
  <c r="F35" i="6"/>
  <c r="E35" i="6"/>
  <c r="D35" i="6"/>
  <c r="C35" i="6"/>
  <c r="B35" i="6"/>
  <c r="A35" i="6"/>
  <c r="X34" i="6"/>
  <c r="W34" i="6"/>
  <c r="U34" i="6"/>
  <c r="H34" i="6"/>
  <c r="G34" i="6"/>
  <c r="F34" i="6"/>
  <c r="E34" i="6"/>
  <c r="D34" i="6"/>
  <c r="C34" i="6"/>
  <c r="B34" i="6"/>
  <c r="A34" i="6"/>
  <c r="X33" i="6"/>
  <c r="W33" i="6"/>
  <c r="U33" i="6"/>
  <c r="H33" i="6"/>
  <c r="G33" i="6"/>
  <c r="F33" i="6"/>
  <c r="E33" i="6"/>
  <c r="D33" i="6"/>
  <c r="L33" i="6" s="1"/>
  <c r="C33" i="6"/>
  <c r="B33" i="6"/>
  <c r="A33" i="6"/>
  <c r="X32" i="6"/>
  <c r="W32" i="6"/>
  <c r="U32" i="6"/>
  <c r="M32" i="6"/>
  <c r="N32" i="6" s="1"/>
  <c r="H32" i="6"/>
  <c r="G32" i="6"/>
  <c r="F32" i="6"/>
  <c r="E32" i="6"/>
  <c r="D32" i="6"/>
  <c r="C32" i="6"/>
  <c r="B32" i="6"/>
  <c r="A32" i="6"/>
  <c r="X31" i="6"/>
  <c r="W31" i="6"/>
  <c r="U31" i="6"/>
  <c r="H31" i="6"/>
  <c r="G31" i="6"/>
  <c r="F31" i="6"/>
  <c r="E31" i="6"/>
  <c r="D31" i="6"/>
  <c r="C31" i="6"/>
  <c r="B31" i="6"/>
  <c r="A31" i="6"/>
  <c r="X30" i="6"/>
  <c r="W30" i="6"/>
  <c r="U30" i="6"/>
  <c r="H30" i="6"/>
  <c r="G30" i="6"/>
  <c r="F30" i="6"/>
  <c r="E30" i="6"/>
  <c r="D30" i="6"/>
  <c r="C30" i="6"/>
  <c r="B30" i="6"/>
  <c r="A30" i="6"/>
  <c r="X29" i="6"/>
  <c r="W29" i="6"/>
  <c r="U29" i="6"/>
  <c r="H29" i="6"/>
  <c r="G29" i="6"/>
  <c r="F29" i="6"/>
  <c r="E29" i="6"/>
  <c r="D29" i="6"/>
  <c r="L29" i="6" s="1"/>
  <c r="C29" i="6"/>
  <c r="B29" i="6"/>
  <c r="A29" i="6"/>
  <c r="X28" i="6"/>
  <c r="W28" i="6"/>
  <c r="Y28" i="6" s="1"/>
  <c r="V28" i="6"/>
  <c r="U28" i="6"/>
  <c r="H28" i="6"/>
  <c r="G28" i="6"/>
  <c r="F28" i="6"/>
  <c r="E28" i="6"/>
  <c r="D28" i="6"/>
  <c r="C28" i="6"/>
  <c r="B28" i="6"/>
  <c r="A28" i="6"/>
  <c r="X27" i="6"/>
  <c r="W27" i="6"/>
  <c r="U27" i="6"/>
  <c r="H27" i="6"/>
  <c r="G27" i="6"/>
  <c r="F27" i="6"/>
  <c r="E27" i="6"/>
  <c r="D27" i="6"/>
  <c r="C27" i="6"/>
  <c r="B27" i="6"/>
  <c r="A27" i="6"/>
  <c r="X26" i="6"/>
  <c r="W26" i="6"/>
  <c r="U26" i="6"/>
  <c r="H26" i="6"/>
  <c r="G26" i="6"/>
  <c r="F26" i="6"/>
  <c r="E26" i="6"/>
  <c r="D26" i="6"/>
  <c r="C26" i="6"/>
  <c r="B26" i="6"/>
  <c r="A26" i="6"/>
  <c r="X25" i="6"/>
  <c r="W25" i="6"/>
  <c r="U25" i="6"/>
  <c r="H25" i="6"/>
  <c r="G25" i="6"/>
  <c r="F25" i="6"/>
  <c r="E25" i="6"/>
  <c r="D25" i="6"/>
  <c r="L25" i="6" s="1"/>
  <c r="C25" i="6"/>
  <c r="B25" i="6"/>
  <c r="A25" i="6"/>
  <c r="X24" i="6"/>
  <c r="W24" i="6"/>
  <c r="U24" i="6"/>
  <c r="H24" i="6"/>
  <c r="G24" i="6"/>
  <c r="F24" i="6"/>
  <c r="M24" i="6" s="1"/>
  <c r="N24" i="6" s="1"/>
  <c r="E24" i="6"/>
  <c r="D24" i="6"/>
  <c r="C24" i="6"/>
  <c r="B24" i="6"/>
  <c r="A24" i="6"/>
  <c r="X23" i="6"/>
  <c r="W23" i="6"/>
  <c r="Y23" i="6" s="1"/>
  <c r="V23" i="6"/>
  <c r="U23" i="6"/>
  <c r="H23" i="6"/>
  <c r="G23" i="6"/>
  <c r="F23" i="6"/>
  <c r="E23" i="6"/>
  <c r="D23" i="6"/>
  <c r="C23" i="6"/>
  <c r="B23" i="6"/>
  <c r="A23" i="6"/>
  <c r="X22" i="6"/>
  <c r="W22" i="6"/>
  <c r="U22" i="6"/>
  <c r="H22" i="6"/>
  <c r="G22" i="6"/>
  <c r="F22" i="6"/>
  <c r="M22" i="6" s="1"/>
  <c r="N22" i="6" s="1"/>
  <c r="E22" i="6"/>
  <c r="D22" i="6"/>
  <c r="C22" i="6"/>
  <c r="B22" i="6"/>
  <c r="A22" i="6"/>
  <c r="V22" i="6" s="1"/>
  <c r="X21" i="6"/>
  <c r="W21" i="6"/>
  <c r="U21" i="6"/>
  <c r="M21" i="6"/>
  <c r="H21" i="6"/>
  <c r="G21" i="6"/>
  <c r="F21" i="6"/>
  <c r="E21" i="6"/>
  <c r="D21" i="6"/>
  <c r="L21" i="6" s="1"/>
  <c r="C21" i="6"/>
  <c r="B21" i="6"/>
  <c r="A21" i="6"/>
  <c r="X20" i="6"/>
  <c r="W20" i="6"/>
  <c r="Y20" i="6" s="1"/>
  <c r="U20" i="6"/>
  <c r="H20" i="6"/>
  <c r="G20" i="6"/>
  <c r="F20" i="6"/>
  <c r="E20" i="6"/>
  <c r="D20" i="6"/>
  <c r="C20" i="6"/>
  <c r="B20" i="6"/>
  <c r="A20" i="6"/>
  <c r="X19" i="6"/>
  <c r="W19" i="6"/>
  <c r="U19" i="6"/>
  <c r="H19" i="6"/>
  <c r="G19" i="6"/>
  <c r="F19" i="6"/>
  <c r="M19" i="6" s="1"/>
  <c r="N19" i="6" s="1"/>
  <c r="E19" i="6"/>
  <c r="D19" i="6"/>
  <c r="C19" i="6"/>
  <c r="B19" i="6"/>
  <c r="A19" i="6"/>
  <c r="X18" i="6"/>
  <c r="W18" i="6"/>
  <c r="U18" i="6"/>
  <c r="M18" i="6"/>
  <c r="N18" i="6" s="1"/>
  <c r="H18" i="6"/>
  <c r="G18" i="6"/>
  <c r="F18" i="6"/>
  <c r="E18" i="6"/>
  <c r="D18" i="6"/>
  <c r="C18" i="6"/>
  <c r="B18" i="6"/>
  <c r="A18" i="6"/>
  <c r="X17" i="6"/>
  <c r="W17" i="6"/>
  <c r="V17" i="6"/>
  <c r="U17" i="6"/>
  <c r="H17" i="6"/>
  <c r="G17" i="6"/>
  <c r="F17" i="6"/>
  <c r="E17" i="6"/>
  <c r="D17" i="6"/>
  <c r="L17" i="6" s="1"/>
  <c r="C17" i="6"/>
  <c r="B17" i="6"/>
  <c r="A17" i="6"/>
  <c r="X16" i="6"/>
  <c r="W16" i="6"/>
  <c r="U16" i="6"/>
  <c r="H16" i="6"/>
  <c r="G16" i="6"/>
  <c r="F16" i="6"/>
  <c r="M16" i="6" s="1"/>
  <c r="N16" i="6" s="1"/>
  <c r="E16" i="6"/>
  <c r="D16" i="6"/>
  <c r="C16" i="6"/>
  <c r="B16" i="6"/>
  <c r="A16" i="6"/>
  <c r="X15" i="6"/>
  <c r="W15" i="6"/>
  <c r="U15" i="6"/>
  <c r="M15" i="6"/>
  <c r="N15" i="6" s="1"/>
  <c r="H15" i="6"/>
  <c r="G15" i="6"/>
  <c r="F15" i="6"/>
  <c r="E15" i="6"/>
  <c r="D15" i="6"/>
  <c r="C15" i="6"/>
  <c r="B15" i="6"/>
  <c r="A15" i="6"/>
  <c r="X14" i="6"/>
  <c r="W14" i="6"/>
  <c r="V14" i="6"/>
  <c r="U14" i="6"/>
  <c r="H14" i="6"/>
  <c r="G14" i="6"/>
  <c r="F14" i="6"/>
  <c r="M14" i="6" s="1"/>
  <c r="N14" i="6" s="1"/>
  <c r="E14" i="6"/>
  <c r="D14" i="6"/>
  <c r="L14" i="6" s="1"/>
  <c r="C14" i="6"/>
  <c r="B14" i="6"/>
  <c r="A14" i="6"/>
  <c r="X13" i="6"/>
  <c r="W13" i="6"/>
  <c r="V13" i="6"/>
  <c r="U13" i="6"/>
  <c r="H13" i="6"/>
  <c r="G13" i="6"/>
  <c r="F13" i="6"/>
  <c r="E13" i="6"/>
  <c r="D13" i="6"/>
  <c r="C13" i="6"/>
  <c r="B13" i="6"/>
  <c r="A13" i="6"/>
  <c r="X12" i="6"/>
  <c r="W12" i="6"/>
  <c r="U12" i="6"/>
  <c r="H12" i="6"/>
  <c r="G12" i="6"/>
  <c r="O12" i="6" s="1"/>
  <c r="F12" i="6"/>
  <c r="E12" i="6"/>
  <c r="D12" i="6"/>
  <c r="C12" i="6"/>
  <c r="B12" i="6"/>
  <c r="A12" i="6"/>
  <c r="X11" i="6"/>
  <c r="W11" i="6"/>
  <c r="U11" i="6"/>
  <c r="H11" i="6"/>
  <c r="G11" i="6"/>
  <c r="F11" i="6"/>
  <c r="E11" i="6"/>
  <c r="D11" i="6"/>
  <c r="C11" i="6"/>
  <c r="B11" i="6"/>
  <c r="A11" i="6"/>
  <c r="X10" i="6"/>
  <c r="W10" i="6"/>
  <c r="U10" i="6"/>
  <c r="H10" i="6"/>
  <c r="G10" i="6"/>
  <c r="F10" i="6"/>
  <c r="E10" i="6"/>
  <c r="D10" i="6"/>
  <c r="C10" i="6"/>
  <c r="B10" i="6"/>
  <c r="A10" i="6"/>
  <c r="X9" i="6"/>
  <c r="W9" i="6"/>
  <c r="U9" i="6"/>
  <c r="H9" i="6"/>
  <c r="G9" i="6"/>
  <c r="F9" i="6"/>
  <c r="E9" i="6"/>
  <c r="D9" i="6"/>
  <c r="L9" i="6" s="1"/>
  <c r="C9" i="6"/>
  <c r="B9" i="6"/>
  <c r="A9" i="6"/>
  <c r="X8" i="6"/>
  <c r="W8" i="6"/>
  <c r="V8" i="6"/>
  <c r="U8" i="6"/>
  <c r="L8" i="6"/>
  <c r="H8" i="6"/>
  <c r="G8" i="6"/>
  <c r="F8" i="6"/>
  <c r="M8" i="6" s="1"/>
  <c r="N8" i="6" s="1"/>
  <c r="E8" i="6"/>
  <c r="D8" i="6"/>
  <c r="C8" i="6"/>
  <c r="B8" i="6"/>
  <c r="A8" i="6"/>
  <c r="X7" i="6"/>
  <c r="W7" i="6"/>
  <c r="V7" i="6"/>
  <c r="U7" i="6"/>
  <c r="H7" i="6"/>
  <c r="G7" i="6"/>
  <c r="F7" i="6"/>
  <c r="M7" i="6" s="1"/>
  <c r="N7" i="6" s="1"/>
  <c r="E7" i="6"/>
  <c r="L7" i="6" s="1"/>
  <c r="D7" i="6"/>
  <c r="C7" i="6"/>
  <c r="B7" i="6"/>
  <c r="A7" i="6"/>
  <c r="X6" i="6"/>
  <c r="W6" i="6"/>
  <c r="U6" i="6"/>
  <c r="H6" i="6"/>
  <c r="G6" i="6"/>
  <c r="F6" i="6"/>
  <c r="M6" i="6" s="1"/>
  <c r="N6" i="6" s="1"/>
  <c r="E6" i="6"/>
  <c r="D6" i="6"/>
  <c r="L6" i="6" s="1"/>
  <c r="C6" i="6"/>
  <c r="B6" i="6"/>
  <c r="A6" i="6"/>
  <c r="Z5" i="6"/>
  <c r="X5" i="6"/>
  <c r="W5" i="6"/>
  <c r="U5" i="6"/>
  <c r="M5" i="6"/>
  <c r="N5" i="6" s="1"/>
  <c r="H5" i="6"/>
  <c r="G5" i="6"/>
  <c r="F5" i="6"/>
  <c r="E5" i="6"/>
  <c r="D5" i="6"/>
  <c r="L5" i="6" s="1"/>
  <c r="C5" i="6"/>
  <c r="B5" i="6"/>
  <c r="A5" i="6"/>
  <c r="X4" i="6"/>
  <c r="W4" i="6"/>
  <c r="Y4" i="6" s="1"/>
  <c r="V4" i="6"/>
  <c r="U4" i="6"/>
  <c r="H4" i="6"/>
  <c r="G4" i="6"/>
  <c r="F4" i="6"/>
  <c r="M4" i="6" s="1"/>
  <c r="N4" i="6" s="1"/>
  <c r="E4" i="6"/>
  <c r="D4" i="6"/>
  <c r="L4" i="6" s="1"/>
  <c r="C4" i="6"/>
  <c r="B4" i="6"/>
  <c r="A4" i="6"/>
  <c r="X3" i="6"/>
  <c r="W3" i="6"/>
  <c r="U3" i="6"/>
  <c r="N3" i="6"/>
  <c r="M3" i="6"/>
  <c r="H3" i="6"/>
  <c r="G3" i="6"/>
  <c r="F3" i="6"/>
  <c r="E3" i="6"/>
  <c r="D3" i="6"/>
  <c r="L3" i="6" s="1"/>
  <c r="C3" i="6"/>
  <c r="B3" i="6"/>
  <c r="A3" i="6"/>
  <c r="X2" i="6"/>
  <c r="W2" i="6"/>
  <c r="Y2" i="6" s="1"/>
  <c r="U2" i="6"/>
  <c r="H2" i="6"/>
  <c r="G2" i="6"/>
  <c r="F2" i="6"/>
  <c r="E2" i="6"/>
  <c r="D2" i="6"/>
  <c r="C2" i="6"/>
  <c r="B2" i="6"/>
  <c r="A2" i="6"/>
  <c r="Q1" i="6"/>
  <c r="P1" i="6"/>
  <c r="O1" i="6"/>
  <c r="N1" i="6"/>
  <c r="M1" i="6"/>
  <c r="L1" i="6"/>
  <c r="K1" i="6"/>
  <c r="Y3" i="6" s="1"/>
  <c r="J1" i="6"/>
  <c r="I1" i="6"/>
  <c r="N21" i="6" s="1"/>
  <c r="H1" i="6"/>
  <c r="G1" i="6"/>
  <c r="D1" i="6"/>
  <c r="M118" i="6" s="1"/>
  <c r="N118" i="6" s="1"/>
  <c r="C1" i="6"/>
  <c r="L24" i="6" s="1"/>
  <c r="A1" i="6"/>
  <c r="B9" i="5"/>
  <c r="C17" i="4"/>
  <c r="C13" i="4"/>
  <c r="C12" i="4"/>
  <c r="H11" i="4"/>
  <c r="C11" i="4"/>
  <c r="N10" i="4"/>
  <c r="K10" i="4"/>
  <c r="H10" i="4"/>
  <c r="C10" i="4"/>
  <c r="N9" i="4"/>
  <c r="K9" i="4"/>
  <c r="H9" i="4"/>
  <c r="C9" i="4"/>
  <c r="N8" i="4"/>
  <c r="K8" i="4"/>
  <c r="H8" i="4"/>
  <c r="C8" i="4"/>
  <c r="C14" i="4" s="1"/>
  <c r="N7" i="4"/>
  <c r="K7" i="4"/>
  <c r="H7" i="4"/>
  <c r="C7" i="4"/>
  <c r="N6" i="4"/>
  <c r="K6" i="4"/>
  <c r="H6" i="4"/>
  <c r="N5" i="4"/>
  <c r="K5" i="4"/>
  <c r="H5" i="4"/>
  <c r="N4" i="4"/>
  <c r="K4" i="4"/>
  <c r="H4" i="4"/>
  <c r="N3" i="4"/>
  <c r="K3" i="4"/>
  <c r="H3" i="4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Y5" i="6" l="1"/>
  <c r="L15" i="6"/>
  <c r="Y16" i="6"/>
  <c r="L18" i="6"/>
  <c r="V20" i="6"/>
  <c r="L44" i="6"/>
  <c r="Y104" i="6"/>
  <c r="Z77" i="6"/>
  <c r="L92" i="6"/>
  <c r="L126" i="6"/>
  <c r="L51" i="6"/>
  <c r="C15" i="4"/>
  <c r="M31" i="6"/>
  <c r="N31" i="6" s="1"/>
  <c r="V36" i="6"/>
  <c r="L43" i="6"/>
  <c r="M113" i="6"/>
  <c r="N113" i="6" s="1"/>
  <c r="Z2" i="6"/>
  <c r="L11" i="6"/>
  <c r="L20" i="6"/>
  <c r="L27" i="6"/>
  <c r="L34" i="6"/>
  <c r="Z38" i="6"/>
  <c r="L10" i="6"/>
  <c r="Z14" i="6"/>
  <c r="L16" i="6"/>
  <c r="Y17" i="6"/>
  <c r="Z20" i="6"/>
  <c r="L22" i="6"/>
  <c r="Z23" i="6"/>
  <c r="M43" i="6"/>
  <c r="N43" i="6" s="1"/>
  <c r="Y53" i="6"/>
  <c r="L55" i="6"/>
  <c r="O82" i="6"/>
  <c r="M132" i="6"/>
  <c r="N132" i="6" s="1"/>
  <c r="Z11" i="6"/>
  <c r="L13" i="6"/>
  <c r="L2" i="6"/>
  <c r="Z7" i="6"/>
  <c r="V9" i="6"/>
  <c r="M10" i="6"/>
  <c r="N10" i="6" s="1"/>
  <c r="M11" i="6"/>
  <c r="N11" i="6" s="1"/>
  <c r="V12" i="6"/>
  <c r="M13" i="6"/>
  <c r="N13" i="6" s="1"/>
  <c r="M20" i="6"/>
  <c r="N20" i="6" s="1"/>
  <c r="M27" i="6"/>
  <c r="N27" i="6" s="1"/>
  <c r="L28" i="6"/>
  <c r="V31" i="6"/>
  <c r="L40" i="6"/>
  <c r="Z46" i="6"/>
  <c r="L48" i="6"/>
  <c r="M49" i="6"/>
  <c r="N49" i="6" s="1"/>
  <c r="M71" i="6"/>
  <c r="N71" i="6" s="1"/>
  <c r="L75" i="6"/>
  <c r="O112" i="6"/>
  <c r="M122" i="6"/>
  <c r="N122" i="6" s="1"/>
  <c r="Y7" i="6"/>
  <c r="M2" i="6"/>
  <c r="N2" i="6" s="1"/>
  <c r="V15" i="6"/>
  <c r="M17" i="6"/>
  <c r="N17" i="6" s="1"/>
  <c r="V24" i="6"/>
  <c r="L26" i="6"/>
  <c r="V32" i="6"/>
  <c r="V33" i="6"/>
  <c r="M41" i="6"/>
  <c r="N41" i="6" s="1"/>
  <c r="V44" i="6"/>
  <c r="Z4" i="6"/>
  <c r="V6" i="6"/>
  <c r="V21" i="6"/>
  <c r="V25" i="6"/>
  <c r="M26" i="6"/>
  <c r="N26" i="6" s="1"/>
  <c r="M28" i="6"/>
  <c r="N28" i="6" s="1"/>
  <c r="Z29" i="6"/>
  <c r="L38" i="6"/>
  <c r="L81" i="6"/>
  <c r="L111" i="6"/>
  <c r="Y9" i="6"/>
  <c r="L12" i="6"/>
  <c r="Y12" i="6"/>
  <c r="Z30" i="6"/>
  <c r="Z31" i="6"/>
  <c r="Y34" i="6"/>
  <c r="L121" i="6"/>
  <c r="Z134" i="6"/>
  <c r="V128" i="6"/>
  <c r="Z126" i="6"/>
  <c r="V120" i="6"/>
  <c r="Z118" i="6"/>
  <c r="V112" i="6"/>
  <c r="Z110" i="6"/>
  <c r="V104" i="6"/>
  <c r="Z102" i="6"/>
  <c r="V96" i="6"/>
  <c r="Z94" i="6"/>
  <c r="V88" i="6"/>
  <c r="Z86" i="6"/>
  <c r="V80" i="6"/>
  <c r="Z78" i="6"/>
  <c r="V72" i="6"/>
  <c r="Z70" i="6"/>
  <c r="V64" i="6"/>
  <c r="Z62" i="6"/>
  <c r="V56" i="6"/>
  <c r="Z54" i="6"/>
  <c r="Y134" i="6"/>
  <c r="Y126" i="6"/>
  <c r="Y118" i="6"/>
  <c r="Y110" i="6"/>
  <c r="Y102" i="6"/>
  <c r="Y94" i="6"/>
  <c r="Y86" i="6"/>
  <c r="Y78" i="6"/>
  <c r="Y70" i="6"/>
  <c r="Y62" i="6"/>
  <c r="Y54" i="6"/>
  <c r="V131" i="6"/>
  <c r="Z129" i="6"/>
  <c r="V123" i="6"/>
  <c r="Z121" i="6"/>
  <c r="V115" i="6"/>
  <c r="Z113" i="6"/>
  <c r="V107" i="6"/>
  <c r="Z105" i="6"/>
  <c r="V99" i="6"/>
  <c r="Z97" i="6"/>
  <c r="V91" i="6"/>
  <c r="Z89" i="6"/>
  <c r="V83" i="6"/>
  <c r="Z81" i="6"/>
  <c r="V75" i="6"/>
  <c r="Z73" i="6"/>
  <c r="V67" i="6"/>
  <c r="Z65" i="6"/>
  <c r="V59" i="6"/>
  <c r="Z57" i="6"/>
  <c r="V51" i="6"/>
  <c r="Y129" i="6"/>
  <c r="Y121" i="6"/>
  <c r="Y113" i="6"/>
  <c r="Y105" i="6"/>
  <c r="Y97" i="6"/>
  <c r="Y89" i="6"/>
  <c r="Y81" i="6"/>
  <c r="Y73" i="6"/>
  <c r="Y65" i="6"/>
  <c r="Y57" i="6"/>
  <c r="V134" i="6"/>
  <c r="Z132" i="6"/>
  <c r="V126" i="6"/>
  <c r="Z124" i="6"/>
  <c r="V118" i="6"/>
  <c r="Z116" i="6"/>
  <c r="V110" i="6"/>
  <c r="Z108" i="6"/>
  <c r="V102" i="6"/>
  <c r="Z100" i="6"/>
  <c r="V94" i="6"/>
  <c r="Z92" i="6"/>
  <c r="V86" i="6"/>
  <c r="Z84" i="6"/>
  <c r="V78" i="6"/>
  <c r="Z76" i="6"/>
  <c r="V70" i="6"/>
  <c r="Z68" i="6"/>
  <c r="V62" i="6"/>
  <c r="Z60" i="6"/>
  <c r="V54" i="6"/>
  <c r="Z52" i="6"/>
  <c r="Y132" i="6"/>
  <c r="Y124" i="6"/>
  <c r="Y116" i="6"/>
  <c r="Y108" i="6"/>
  <c r="Y100" i="6"/>
  <c r="Y92" i="6"/>
  <c r="Y84" i="6"/>
  <c r="Y76" i="6"/>
  <c r="Y68" i="6"/>
  <c r="V129" i="6"/>
  <c r="Z127" i="6"/>
  <c r="V121" i="6"/>
  <c r="Z119" i="6"/>
  <c r="V113" i="6"/>
  <c r="Z111" i="6"/>
  <c r="V105" i="6"/>
  <c r="Z103" i="6"/>
  <c r="V97" i="6"/>
  <c r="Z95" i="6"/>
  <c r="V89" i="6"/>
  <c r="Z87" i="6"/>
  <c r="V81" i="6"/>
  <c r="Z79" i="6"/>
  <c r="V73" i="6"/>
  <c r="Z71" i="6"/>
  <c r="V65" i="6"/>
  <c r="Z63" i="6"/>
  <c r="V57" i="6"/>
  <c r="Z55" i="6"/>
  <c r="Y127" i="6"/>
  <c r="Y119" i="6"/>
  <c r="Y111" i="6"/>
  <c r="Y103" i="6"/>
  <c r="Y95" i="6"/>
  <c r="Y87" i="6"/>
  <c r="Y79" i="6"/>
  <c r="Y71" i="6"/>
  <c r="V132" i="6"/>
  <c r="Z130" i="6"/>
  <c r="V124" i="6"/>
  <c r="Z122" i="6"/>
  <c r="V116" i="6"/>
  <c r="Z114" i="6"/>
  <c r="V108" i="6"/>
  <c r="Z106" i="6"/>
  <c r="V100" i="6"/>
  <c r="Z98" i="6"/>
  <c r="V92" i="6"/>
  <c r="Z90" i="6"/>
  <c r="V84" i="6"/>
  <c r="Z82" i="6"/>
  <c r="V76" i="6"/>
  <c r="Z74" i="6"/>
  <c r="V68" i="6"/>
  <c r="Z66" i="6"/>
  <c r="V60" i="6"/>
  <c r="Z58" i="6"/>
  <c r="V52" i="6"/>
  <c r="Y130" i="6"/>
  <c r="Y122" i="6"/>
  <c r="Y114" i="6"/>
  <c r="Y106" i="6"/>
  <c r="Y98" i="6"/>
  <c r="Y90" i="6"/>
  <c r="Y82" i="6"/>
  <c r="Y74" i="6"/>
  <c r="Z133" i="6"/>
  <c r="V127" i="6"/>
  <c r="Z125" i="6"/>
  <c r="V119" i="6"/>
  <c r="Z117" i="6"/>
  <c r="V111" i="6"/>
  <c r="Z109" i="6"/>
  <c r="V103" i="6"/>
  <c r="Z101" i="6"/>
  <c r="V95" i="6"/>
  <c r="Z93" i="6"/>
  <c r="V87" i="6"/>
  <c r="Z85" i="6"/>
  <c r="Y133" i="6"/>
  <c r="Y125" i="6"/>
  <c r="Y117" i="6"/>
  <c r="Y109" i="6"/>
  <c r="Y101" i="6"/>
  <c r="Y93" i="6"/>
  <c r="Y85" i="6"/>
  <c r="Y77" i="6"/>
  <c r="V130" i="6"/>
  <c r="Z128" i="6"/>
  <c r="V122" i="6"/>
  <c r="Z120" i="6"/>
  <c r="V114" i="6"/>
  <c r="Z112" i="6"/>
  <c r="V106" i="6"/>
  <c r="Z104" i="6"/>
  <c r="V98" i="6"/>
  <c r="Z96" i="6"/>
  <c r="V90" i="6"/>
  <c r="Z88" i="6"/>
  <c r="V82" i="6"/>
  <c r="Z80" i="6"/>
  <c r="V133" i="6"/>
  <c r="Z131" i="6"/>
  <c r="V125" i="6"/>
  <c r="Z123" i="6"/>
  <c r="V117" i="6"/>
  <c r="Z115" i="6"/>
  <c r="V109" i="6"/>
  <c r="Z107" i="6"/>
  <c r="V101" i="6"/>
  <c r="Z99" i="6"/>
  <c r="V93" i="6"/>
  <c r="Z91" i="6"/>
  <c r="V85" i="6"/>
  <c r="Z83" i="6"/>
  <c r="V77" i="6"/>
  <c r="Z75" i="6"/>
  <c r="V69" i="6"/>
  <c r="Z67" i="6"/>
  <c r="V61" i="6"/>
  <c r="Z59" i="6"/>
  <c r="V53" i="6"/>
  <c r="Z51" i="6"/>
  <c r="V47" i="6"/>
  <c r="Z45" i="6"/>
  <c r="V39" i="6"/>
  <c r="Z37" i="6"/>
  <c r="Y115" i="6"/>
  <c r="Y55" i="6"/>
  <c r="Y45" i="6"/>
  <c r="Y37" i="6"/>
  <c r="Y29" i="6"/>
  <c r="Y21" i="6"/>
  <c r="Y13" i="6"/>
  <c r="Y120" i="6"/>
  <c r="V63" i="6"/>
  <c r="V50" i="6"/>
  <c r="Z48" i="6"/>
  <c r="V42" i="6"/>
  <c r="Z40" i="6"/>
  <c r="V34" i="6"/>
  <c r="Z32" i="6"/>
  <c r="V26" i="6"/>
  <c r="Z24" i="6"/>
  <c r="V18" i="6"/>
  <c r="Z16" i="6"/>
  <c r="V10" i="6"/>
  <c r="Y91" i="6"/>
  <c r="Z61" i="6"/>
  <c r="Y48" i="6"/>
  <c r="Y40" i="6"/>
  <c r="Y32" i="6"/>
  <c r="Y24" i="6"/>
  <c r="Y96" i="6"/>
  <c r="Y80" i="6"/>
  <c r="V79" i="6"/>
  <c r="Y61" i="6"/>
  <c r="V55" i="6"/>
  <c r="V45" i="6"/>
  <c r="Z43" i="6"/>
  <c r="V37" i="6"/>
  <c r="Z35" i="6"/>
  <c r="V29" i="6"/>
  <c r="Z27" i="6"/>
  <c r="Y131" i="6"/>
  <c r="Z72" i="6"/>
  <c r="Y60" i="6"/>
  <c r="Z53" i="6"/>
  <c r="Y43" i="6"/>
  <c r="Y35" i="6"/>
  <c r="Y27" i="6"/>
  <c r="Y19" i="6"/>
  <c r="Y11" i="6"/>
  <c r="Y72" i="6"/>
  <c r="Z69" i="6"/>
  <c r="Y67" i="6"/>
  <c r="Y107" i="6"/>
  <c r="Y69" i="6"/>
  <c r="Y59" i="6"/>
  <c r="Y52" i="6"/>
  <c r="Y46" i="6"/>
  <c r="Y38" i="6"/>
  <c r="Y30" i="6"/>
  <c r="Y22" i="6"/>
  <c r="Y14" i="6"/>
  <c r="Y112" i="6"/>
  <c r="V71" i="6"/>
  <c r="Z49" i="6"/>
  <c r="V43" i="6"/>
  <c r="Z41" i="6"/>
  <c r="V35" i="6"/>
  <c r="Z33" i="6"/>
  <c r="V27" i="6"/>
  <c r="Z25" i="6"/>
  <c r="V19" i="6"/>
  <c r="Z17" i="6"/>
  <c r="V11" i="6"/>
  <c r="Z9" i="6"/>
  <c r="Y75" i="6"/>
  <c r="Y66" i="6"/>
  <c r="Y51" i="6"/>
  <c r="Y49" i="6"/>
  <c r="Y41" i="6"/>
  <c r="Y33" i="6"/>
  <c r="Y88" i="6"/>
  <c r="V46" i="6"/>
  <c r="Z44" i="6"/>
  <c r="V38" i="6"/>
  <c r="Z36" i="6"/>
  <c r="V30" i="6"/>
  <c r="Z28" i="6"/>
  <c r="Y123" i="6"/>
  <c r="Y83" i="6"/>
  <c r="V74" i="6"/>
  <c r="Z64" i="6"/>
  <c r="Y58" i="6"/>
  <c r="Y44" i="6"/>
  <c r="Y36" i="6"/>
  <c r="Y128" i="6"/>
  <c r="V66" i="6"/>
  <c r="Y64" i="6"/>
  <c r="V49" i="6"/>
  <c r="Z47" i="6"/>
  <c r="V41" i="6"/>
  <c r="Y99" i="6"/>
  <c r="Z56" i="6"/>
  <c r="Y47" i="6"/>
  <c r="Y39" i="6"/>
  <c r="Y31" i="6"/>
  <c r="O115" i="6"/>
  <c r="O107" i="6"/>
  <c r="V3" i="6"/>
  <c r="Z12" i="6"/>
  <c r="Y15" i="6"/>
  <c r="Y18" i="6"/>
  <c r="P28" i="6"/>
  <c r="Z34" i="6"/>
  <c r="M38" i="6"/>
  <c r="N38" i="6" s="1"/>
  <c r="Y56" i="6"/>
  <c r="L97" i="6"/>
  <c r="O22" i="6"/>
  <c r="B1" i="6"/>
  <c r="I8" i="6" s="1"/>
  <c r="Y6" i="6"/>
  <c r="M12" i="6"/>
  <c r="N12" i="6" s="1"/>
  <c r="Z15" i="6"/>
  <c r="Z18" i="6"/>
  <c r="Z21" i="6"/>
  <c r="Y25" i="6"/>
  <c r="O39" i="6"/>
  <c r="L46" i="6"/>
  <c r="M59" i="6"/>
  <c r="N59" i="6" s="1"/>
  <c r="L62" i="6"/>
  <c r="Z6" i="6"/>
  <c r="I13" i="6"/>
  <c r="O15" i="6"/>
  <c r="L23" i="6"/>
  <c r="L30" i="6"/>
  <c r="M58" i="6"/>
  <c r="N58" i="6" s="1"/>
  <c r="L67" i="6"/>
  <c r="M87" i="6"/>
  <c r="N87" i="6" s="1"/>
  <c r="M133" i="6"/>
  <c r="N133" i="6" s="1"/>
  <c r="M125" i="6"/>
  <c r="N125" i="6" s="1"/>
  <c r="M117" i="6"/>
  <c r="N117" i="6" s="1"/>
  <c r="M109" i="6"/>
  <c r="N109" i="6" s="1"/>
  <c r="M101" i="6"/>
  <c r="N101" i="6" s="1"/>
  <c r="M93" i="6"/>
  <c r="N93" i="6" s="1"/>
  <c r="M85" i="6"/>
  <c r="N85" i="6" s="1"/>
  <c r="M77" i="6"/>
  <c r="N77" i="6" s="1"/>
  <c r="M128" i="6"/>
  <c r="N128" i="6" s="1"/>
  <c r="M120" i="6"/>
  <c r="N120" i="6" s="1"/>
  <c r="M112" i="6"/>
  <c r="N112" i="6" s="1"/>
  <c r="M104" i="6"/>
  <c r="N104" i="6" s="1"/>
  <c r="M96" i="6"/>
  <c r="N96" i="6" s="1"/>
  <c r="M88" i="6"/>
  <c r="N88" i="6" s="1"/>
  <c r="M80" i="6"/>
  <c r="N80" i="6" s="1"/>
  <c r="M72" i="6"/>
  <c r="N72" i="6" s="1"/>
  <c r="M131" i="6"/>
  <c r="N131" i="6" s="1"/>
  <c r="M123" i="6"/>
  <c r="N123" i="6" s="1"/>
  <c r="M115" i="6"/>
  <c r="N115" i="6" s="1"/>
  <c r="M107" i="6"/>
  <c r="N107" i="6" s="1"/>
  <c r="M99" i="6"/>
  <c r="N99" i="6" s="1"/>
  <c r="M91" i="6"/>
  <c r="N91" i="6" s="1"/>
  <c r="M83" i="6"/>
  <c r="N83" i="6" s="1"/>
  <c r="M75" i="6"/>
  <c r="N75" i="6" s="1"/>
  <c r="M94" i="6"/>
  <c r="N94" i="6" s="1"/>
  <c r="M89" i="6"/>
  <c r="N89" i="6" s="1"/>
  <c r="M51" i="6"/>
  <c r="N51" i="6" s="1"/>
  <c r="M65" i="6"/>
  <c r="N65" i="6" s="1"/>
  <c r="M64" i="6"/>
  <c r="N64" i="6" s="1"/>
  <c r="M134" i="6"/>
  <c r="N134" i="6" s="1"/>
  <c r="M129" i="6"/>
  <c r="N129" i="6" s="1"/>
  <c r="M78" i="6"/>
  <c r="N78" i="6" s="1"/>
  <c r="M57" i="6"/>
  <c r="N57" i="6" s="1"/>
  <c r="M56" i="6"/>
  <c r="N56" i="6" s="1"/>
  <c r="M110" i="6"/>
  <c r="N110" i="6" s="1"/>
  <c r="M105" i="6"/>
  <c r="N105" i="6" s="1"/>
  <c r="M86" i="6"/>
  <c r="N86" i="6" s="1"/>
  <c r="M126" i="6"/>
  <c r="N126" i="6" s="1"/>
  <c r="M121" i="6"/>
  <c r="N121" i="6" s="1"/>
  <c r="M62" i="6"/>
  <c r="N62" i="6" s="1"/>
  <c r="M61" i="6"/>
  <c r="N61" i="6" s="1"/>
  <c r="M47" i="6"/>
  <c r="N47" i="6" s="1"/>
  <c r="M39" i="6"/>
  <c r="N39" i="6" s="1"/>
  <c r="M102" i="6"/>
  <c r="N102" i="6" s="1"/>
  <c r="M97" i="6"/>
  <c r="N97" i="6" s="1"/>
  <c r="M81" i="6"/>
  <c r="N81" i="6" s="1"/>
  <c r="M69" i="6"/>
  <c r="N69" i="6" s="1"/>
  <c r="M54" i="6"/>
  <c r="N54" i="6" s="1"/>
  <c r="M53" i="6"/>
  <c r="N53" i="6" s="1"/>
  <c r="M50" i="6"/>
  <c r="N50" i="6" s="1"/>
  <c r="M42" i="6"/>
  <c r="N42" i="6" s="1"/>
  <c r="M34" i="6"/>
  <c r="N34" i="6" s="1"/>
  <c r="M73" i="6"/>
  <c r="N73" i="6" s="1"/>
  <c r="M70" i="6"/>
  <c r="N70" i="6" s="1"/>
  <c r="M67" i="6"/>
  <c r="N67" i="6" s="1"/>
  <c r="M37" i="6"/>
  <c r="N37" i="6" s="1"/>
  <c r="M9" i="6"/>
  <c r="N9" i="6" s="1"/>
  <c r="I22" i="6"/>
  <c r="M23" i="6"/>
  <c r="N23" i="6" s="1"/>
  <c r="L36" i="6"/>
  <c r="M46" i="6"/>
  <c r="N46" i="6" s="1"/>
  <c r="O47" i="6"/>
  <c r="Y50" i="6"/>
  <c r="Y63" i="6"/>
  <c r="I86" i="6"/>
  <c r="L117" i="6"/>
  <c r="E1" i="6"/>
  <c r="O71" i="6" s="1"/>
  <c r="Z3" i="6"/>
  <c r="V5" i="6"/>
  <c r="V16" i="6"/>
  <c r="M30" i="6"/>
  <c r="N30" i="6" s="1"/>
  <c r="L35" i="6"/>
  <c r="M36" i="6"/>
  <c r="N36" i="6" s="1"/>
  <c r="Y42" i="6"/>
  <c r="O46" i="6"/>
  <c r="V48" i="6"/>
  <c r="Z50" i="6"/>
  <c r="J52" i="6"/>
  <c r="M66" i="6"/>
  <c r="N66" i="6" s="1"/>
  <c r="L128" i="6"/>
  <c r="L120" i="6"/>
  <c r="L112" i="6"/>
  <c r="L104" i="6"/>
  <c r="L96" i="6"/>
  <c r="L88" i="6"/>
  <c r="L131" i="6"/>
  <c r="L123" i="6"/>
  <c r="L115" i="6"/>
  <c r="L107" i="6"/>
  <c r="L99" i="6"/>
  <c r="L91" i="6"/>
  <c r="L83" i="6"/>
  <c r="L59" i="6"/>
  <c r="L32" i="6"/>
  <c r="L64" i="6"/>
  <c r="L56" i="6"/>
  <c r="L80" i="6"/>
  <c r="L72" i="6"/>
  <c r="L47" i="6"/>
  <c r="L39" i="6"/>
  <c r="L31" i="6"/>
  <c r="L50" i="6"/>
  <c r="L42" i="6"/>
  <c r="F1" i="6"/>
  <c r="P26" i="6" s="1"/>
  <c r="Y8" i="6"/>
  <c r="Y10" i="6"/>
  <c r="L19" i="6"/>
  <c r="M25" i="6"/>
  <c r="N25" i="6" s="1"/>
  <c r="Y26" i="6"/>
  <c r="O30" i="6"/>
  <c r="M33" i="6"/>
  <c r="N33" i="6" s="1"/>
  <c r="O36" i="6"/>
  <c r="V40" i="6"/>
  <c r="Z42" i="6"/>
  <c r="M45" i="6"/>
  <c r="N45" i="6" s="1"/>
  <c r="P46" i="6"/>
  <c r="O65" i="6"/>
  <c r="O127" i="6"/>
  <c r="V2" i="6"/>
  <c r="Z8" i="6"/>
  <c r="Z10" i="6"/>
  <c r="Z13" i="6"/>
  <c r="Z19" i="6"/>
  <c r="Z22" i="6"/>
  <c r="O25" i="6"/>
  <c r="Z26" i="6"/>
  <c r="M29" i="6"/>
  <c r="N29" i="6" s="1"/>
  <c r="O31" i="6"/>
  <c r="O33" i="6"/>
  <c r="M35" i="6"/>
  <c r="N35" i="6" s="1"/>
  <c r="V58" i="6"/>
  <c r="O93" i="6"/>
  <c r="M55" i="6"/>
  <c r="N55" i="6" s="1"/>
  <c r="L63" i="6"/>
  <c r="P71" i="6"/>
  <c r="J79" i="6"/>
  <c r="O87" i="6"/>
  <c r="M92" i="6"/>
  <c r="N92" i="6" s="1"/>
  <c r="L106" i="6"/>
  <c r="L116" i="6"/>
  <c r="O117" i="6"/>
  <c r="P122" i="6"/>
  <c r="O55" i="6"/>
  <c r="I78" i="6"/>
  <c r="L79" i="6"/>
  <c r="L86" i="6"/>
  <c r="L101" i="6"/>
  <c r="M111" i="6"/>
  <c r="N111" i="6" s="1"/>
  <c r="J130" i="6"/>
  <c r="I57" i="6"/>
  <c r="M63" i="6"/>
  <c r="N63" i="6" s="1"/>
  <c r="J78" i="6"/>
  <c r="O80" i="6"/>
  <c r="M106" i="6"/>
  <c r="N106" i="6" s="1"/>
  <c r="O111" i="6"/>
  <c r="M116" i="6"/>
  <c r="N116" i="6" s="1"/>
  <c r="L130" i="6"/>
  <c r="I134" i="6"/>
  <c r="J57" i="6"/>
  <c r="O63" i="6"/>
  <c r="M79" i="6"/>
  <c r="N79" i="6" s="1"/>
  <c r="P80" i="6"/>
  <c r="L95" i="6"/>
  <c r="O96" i="6"/>
  <c r="J100" i="6"/>
  <c r="L105" i="6"/>
  <c r="O106" i="6"/>
  <c r="L110" i="6"/>
  <c r="I129" i="6"/>
  <c r="J134" i="6"/>
  <c r="P56" i="6"/>
  <c r="J58" i="6"/>
  <c r="L78" i="6"/>
  <c r="O79" i="6"/>
  <c r="L90" i="6"/>
  <c r="P91" i="6"/>
  <c r="I94" i="6"/>
  <c r="K94" i="6" s="1"/>
  <c r="L100" i="6"/>
  <c r="O101" i="6"/>
  <c r="P106" i="6"/>
  <c r="J119" i="6"/>
  <c r="L125" i="6"/>
  <c r="M130" i="6"/>
  <c r="N130" i="6" s="1"/>
  <c r="L57" i="6"/>
  <c r="L58" i="6"/>
  <c r="J84" i="6"/>
  <c r="L85" i="6"/>
  <c r="I89" i="6"/>
  <c r="J94" i="6"/>
  <c r="M95" i="6"/>
  <c r="N95" i="6" s="1"/>
  <c r="L119" i="6"/>
  <c r="O120" i="6"/>
  <c r="J124" i="6"/>
  <c r="L129" i="6"/>
  <c r="O130" i="6"/>
  <c r="L134" i="6"/>
  <c r="P64" i="6"/>
  <c r="J66" i="6"/>
  <c r="I76" i="6"/>
  <c r="L84" i="6"/>
  <c r="M90" i="6"/>
  <c r="N90" i="6" s="1"/>
  <c r="O95" i="6"/>
  <c r="M100" i="6"/>
  <c r="N100" i="6" s="1"/>
  <c r="L114" i="6"/>
  <c r="I118" i="6"/>
  <c r="P120" i="6"/>
  <c r="L124" i="6"/>
  <c r="O125" i="6"/>
  <c r="P130" i="6"/>
  <c r="L65" i="6"/>
  <c r="L66" i="6"/>
  <c r="L77" i="6"/>
  <c r="O85" i="6"/>
  <c r="O90" i="6"/>
  <c r="L94" i="6"/>
  <c r="P95" i="6"/>
  <c r="L109" i="6"/>
  <c r="I113" i="6"/>
  <c r="J118" i="6"/>
  <c r="M119" i="6"/>
  <c r="N119" i="6" s="1"/>
  <c r="J123" i="6"/>
  <c r="L52" i="6"/>
  <c r="O58" i="6"/>
  <c r="L76" i="6"/>
  <c r="M84" i="6"/>
  <c r="N84" i="6" s="1"/>
  <c r="L89" i="6"/>
  <c r="P90" i="6"/>
  <c r="J103" i="6"/>
  <c r="I108" i="6"/>
  <c r="M114" i="6"/>
  <c r="N114" i="6" s="1"/>
  <c r="O119" i="6"/>
  <c r="M124" i="6"/>
  <c r="N124" i="6" s="1"/>
  <c r="I68" i="6"/>
  <c r="O77" i="6"/>
  <c r="J98" i="6"/>
  <c r="L103" i="6"/>
  <c r="O104" i="6"/>
  <c r="L113" i="6"/>
  <c r="O114" i="6"/>
  <c r="L118" i="6"/>
  <c r="M52" i="6"/>
  <c r="N52" i="6" s="1"/>
  <c r="P59" i="6"/>
  <c r="L60" i="6"/>
  <c r="O66" i="6"/>
  <c r="J68" i="6"/>
  <c r="J70" i="6"/>
  <c r="J74" i="6"/>
  <c r="M76" i="6"/>
  <c r="N76" i="6" s="1"/>
  <c r="L98" i="6"/>
  <c r="I102" i="6"/>
  <c r="K102" i="6" s="1"/>
  <c r="P104" i="6"/>
  <c r="L108" i="6"/>
  <c r="O109" i="6"/>
  <c r="P114" i="6"/>
  <c r="J127" i="6"/>
  <c r="I132" i="6"/>
  <c r="L133" i="6"/>
  <c r="L53" i="6"/>
  <c r="L68" i="6"/>
  <c r="L69" i="6"/>
  <c r="J71" i="6"/>
  <c r="J73" i="6"/>
  <c r="L74" i="6"/>
  <c r="I81" i="6"/>
  <c r="L82" i="6"/>
  <c r="P83" i="6"/>
  <c r="L93" i="6"/>
  <c r="J102" i="6"/>
  <c r="M103" i="6"/>
  <c r="N103" i="6" s="1"/>
  <c r="J122" i="6"/>
  <c r="L127" i="6"/>
  <c r="O128" i="6"/>
  <c r="M60" i="6"/>
  <c r="N60" i="6" s="1"/>
  <c r="L61" i="6"/>
  <c r="P67" i="6"/>
  <c r="L70" i="6"/>
  <c r="L71" i="6"/>
  <c r="J97" i="6"/>
  <c r="M98" i="6"/>
  <c r="N98" i="6" s="1"/>
  <c r="O103" i="6"/>
  <c r="M108" i="6"/>
  <c r="N108" i="6" s="1"/>
  <c r="L122" i="6"/>
  <c r="I126" i="6"/>
  <c r="P128" i="6"/>
  <c r="L132" i="6"/>
  <c r="O133" i="6"/>
  <c r="L54" i="6"/>
  <c r="M68" i="6"/>
  <c r="N68" i="6" s="1"/>
  <c r="L73" i="6"/>
  <c r="M74" i="6"/>
  <c r="N74" i="6" s="1"/>
  <c r="M82" i="6"/>
  <c r="N82" i="6" s="1"/>
  <c r="L87" i="6"/>
  <c r="O88" i="6"/>
  <c r="J92" i="6"/>
  <c r="O98" i="6"/>
  <c r="L102" i="6"/>
  <c r="M127" i="6"/>
  <c r="N127" i="6" s="1"/>
  <c r="J63" i="6" l="1"/>
  <c r="O57" i="6"/>
  <c r="O7" i="6"/>
  <c r="I18" i="6"/>
  <c r="K18" i="6" s="1"/>
  <c r="P131" i="6"/>
  <c r="P123" i="6"/>
  <c r="P115" i="6"/>
  <c r="P134" i="6"/>
  <c r="P126" i="6"/>
  <c r="P118" i="6"/>
  <c r="P110" i="6"/>
  <c r="P102" i="6"/>
  <c r="P94" i="6"/>
  <c r="P86" i="6"/>
  <c r="P129" i="6"/>
  <c r="P121" i="6"/>
  <c r="P113" i="6"/>
  <c r="P105" i="6"/>
  <c r="P97" i="6"/>
  <c r="P89" i="6"/>
  <c r="P81" i="6"/>
  <c r="P132" i="6"/>
  <c r="P124" i="6"/>
  <c r="P116" i="6"/>
  <c r="P108" i="6"/>
  <c r="P100" i="6"/>
  <c r="P92" i="6"/>
  <c r="P84" i="6"/>
  <c r="P76" i="6"/>
  <c r="P68" i="6"/>
  <c r="P60" i="6"/>
  <c r="P52" i="6"/>
  <c r="P65" i="6"/>
  <c r="P57" i="6"/>
  <c r="P78" i="6"/>
  <c r="P62" i="6"/>
  <c r="P54" i="6"/>
  <c r="P50" i="6"/>
  <c r="P42" i="6"/>
  <c r="P34" i="6"/>
  <c r="P70" i="6"/>
  <c r="P73" i="6"/>
  <c r="P45" i="6"/>
  <c r="P37" i="6"/>
  <c r="P29" i="6"/>
  <c r="P48" i="6"/>
  <c r="P24" i="6"/>
  <c r="P40" i="6"/>
  <c r="P20" i="6"/>
  <c r="P11" i="6"/>
  <c r="P30" i="6"/>
  <c r="P14" i="6"/>
  <c r="P13" i="6"/>
  <c r="P5" i="6"/>
  <c r="P22" i="6"/>
  <c r="P8" i="6"/>
  <c r="P32" i="6"/>
  <c r="P31" i="6"/>
  <c r="P21" i="6"/>
  <c r="P12" i="6"/>
  <c r="P6" i="6"/>
  <c r="O28" i="6"/>
  <c r="J37" i="6"/>
  <c r="I37" i="6"/>
  <c r="K37" i="6" s="1"/>
  <c r="J91" i="6"/>
  <c r="O56" i="6"/>
  <c r="J51" i="6"/>
  <c r="O13" i="6"/>
  <c r="I6" i="6"/>
  <c r="P82" i="6"/>
  <c r="I48" i="6"/>
  <c r="K48" i="6" s="1"/>
  <c r="J9" i="6"/>
  <c r="P27" i="6"/>
  <c r="P43" i="6"/>
  <c r="P79" i="6"/>
  <c r="K57" i="6"/>
  <c r="Q57" i="6" s="1"/>
  <c r="R57" i="6" s="1"/>
  <c r="S57" i="6" s="1"/>
  <c r="T57" i="6" s="1"/>
  <c r="K78" i="6"/>
  <c r="P17" i="6"/>
  <c r="J48" i="6"/>
  <c r="P44" i="6"/>
  <c r="O72" i="6"/>
  <c r="I43" i="6"/>
  <c r="P2" i="6"/>
  <c r="P23" i="6"/>
  <c r="J132" i="6"/>
  <c r="I54" i="6"/>
  <c r="I70" i="6"/>
  <c r="K70" i="6" s="1"/>
  <c r="P85" i="6"/>
  <c r="P96" i="6"/>
  <c r="P111" i="6"/>
  <c r="P55" i="6"/>
  <c r="P61" i="6"/>
  <c r="J41" i="6"/>
  <c r="P69" i="6"/>
  <c r="P33" i="6"/>
  <c r="P3" i="6"/>
  <c r="J3" i="6"/>
  <c r="P16" i="6"/>
  <c r="I11" i="6"/>
  <c r="K11" i="6" s="1"/>
  <c r="I30" i="6"/>
  <c r="O68" i="6"/>
  <c r="J40" i="6"/>
  <c r="I40" i="6"/>
  <c r="K40" i="6" s="1"/>
  <c r="Q40" i="6" s="1"/>
  <c r="R40" i="6" s="1"/>
  <c r="S40" i="6" s="1"/>
  <c r="T40" i="6" s="1"/>
  <c r="P72" i="6"/>
  <c r="P25" i="6"/>
  <c r="I15" i="6"/>
  <c r="I17" i="6"/>
  <c r="P9" i="6"/>
  <c r="O61" i="6"/>
  <c r="I23" i="6"/>
  <c r="K23" i="6" s="1"/>
  <c r="Q23" i="6" s="1"/>
  <c r="R23" i="6" s="1"/>
  <c r="S23" i="6" s="1"/>
  <c r="T23" i="6" s="1"/>
  <c r="I2" i="6"/>
  <c r="P127" i="6"/>
  <c r="J35" i="6"/>
  <c r="P88" i="6"/>
  <c r="O23" i="6"/>
  <c r="J49" i="6"/>
  <c r="I9" i="6"/>
  <c r="K9" i="6" s="1"/>
  <c r="J4" i="6"/>
  <c r="J24" i="6"/>
  <c r="I24" i="6"/>
  <c r="P51" i="6"/>
  <c r="P133" i="6"/>
  <c r="P99" i="6"/>
  <c r="P119" i="6"/>
  <c r="J60" i="6"/>
  <c r="J65" i="6"/>
  <c r="P117" i="6"/>
  <c r="J131" i="6"/>
  <c r="P58" i="6"/>
  <c r="J59" i="6"/>
  <c r="I84" i="6"/>
  <c r="K84" i="6" s="1"/>
  <c r="Q84" i="6" s="1"/>
  <c r="R84" i="6" s="1"/>
  <c r="S84" i="6" s="1"/>
  <c r="T84" i="6" s="1"/>
  <c r="J115" i="6"/>
  <c r="J116" i="6"/>
  <c r="P74" i="6"/>
  <c r="J121" i="6"/>
  <c r="I21" i="6"/>
  <c r="O2" i="6"/>
  <c r="P15" i="6"/>
  <c r="K68" i="6"/>
  <c r="K118" i="6"/>
  <c r="I62" i="6"/>
  <c r="I127" i="6"/>
  <c r="K127" i="6" s="1"/>
  <c r="Q127" i="6" s="1"/>
  <c r="R127" i="6" s="1"/>
  <c r="S127" i="6" s="1"/>
  <c r="T127" i="6" s="1"/>
  <c r="I119" i="6"/>
  <c r="K119" i="6" s="1"/>
  <c r="I111" i="6"/>
  <c r="I103" i="6"/>
  <c r="K103" i="6" s="1"/>
  <c r="Q103" i="6" s="1"/>
  <c r="R103" i="6" s="1"/>
  <c r="S103" i="6" s="1"/>
  <c r="T103" i="6" s="1"/>
  <c r="I95" i="6"/>
  <c r="I87" i="6"/>
  <c r="I79" i="6"/>
  <c r="K79" i="6" s="1"/>
  <c r="Q79" i="6" s="1"/>
  <c r="R79" i="6" s="1"/>
  <c r="S79" i="6" s="1"/>
  <c r="T79" i="6" s="1"/>
  <c r="I71" i="6"/>
  <c r="K71" i="6" s="1"/>
  <c r="Q71" i="6" s="1"/>
  <c r="R71" i="6" s="1"/>
  <c r="S71" i="6" s="1"/>
  <c r="T71" i="6" s="1"/>
  <c r="I130" i="6"/>
  <c r="K130" i="6" s="1"/>
  <c r="Q130" i="6" s="1"/>
  <c r="R130" i="6" s="1"/>
  <c r="S130" i="6" s="1"/>
  <c r="T130" i="6" s="1"/>
  <c r="I122" i="6"/>
  <c r="K122" i="6" s="1"/>
  <c r="Q122" i="6" s="1"/>
  <c r="R122" i="6" s="1"/>
  <c r="S122" i="6" s="1"/>
  <c r="T122" i="6" s="1"/>
  <c r="I114" i="6"/>
  <c r="I106" i="6"/>
  <c r="I98" i="6"/>
  <c r="K98" i="6" s="1"/>
  <c r="I90" i="6"/>
  <c r="I82" i="6"/>
  <c r="K82" i="6" s="1"/>
  <c r="Q82" i="6" s="1"/>
  <c r="R82" i="6" s="1"/>
  <c r="S82" i="6" s="1"/>
  <c r="T82" i="6" s="1"/>
  <c r="I74" i="6"/>
  <c r="K74" i="6" s="1"/>
  <c r="J133" i="6"/>
  <c r="J125" i="6"/>
  <c r="J117" i="6"/>
  <c r="J109" i="6"/>
  <c r="J101" i="6"/>
  <c r="J93" i="6"/>
  <c r="I133" i="6"/>
  <c r="K133" i="6" s="1"/>
  <c r="Q133" i="6" s="1"/>
  <c r="R133" i="6" s="1"/>
  <c r="S133" i="6" s="1"/>
  <c r="T133" i="6" s="1"/>
  <c r="I125" i="6"/>
  <c r="K125" i="6" s="1"/>
  <c r="I117" i="6"/>
  <c r="K117" i="6" s="1"/>
  <c r="Q117" i="6" s="1"/>
  <c r="R117" i="6" s="1"/>
  <c r="S117" i="6" s="1"/>
  <c r="T117" i="6" s="1"/>
  <c r="I109" i="6"/>
  <c r="K109" i="6" s="1"/>
  <c r="Q109" i="6" s="1"/>
  <c r="R109" i="6" s="1"/>
  <c r="S109" i="6" s="1"/>
  <c r="T109" i="6" s="1"/>
  <c r="I101" i="6"/>
  <c r="I93" i="6"/>
  <c r="I85" i="6"/>
  <c r="I77" i="6"/>
  <c r="J128" i="6"/>
  <c r="J120" i="6"/>
  <c r="J112" i="6"/>
  <c r="J104" i="6"/>
  <c r="J96" i="6"/>
  <c r="J88" i="6"/>
  <c r="J80" i="6"/>
  <c r="I128" i="6"/>
  <c r="K128" i="6" s="1"/>
  <c r="Q128" i="6" s="1"/>
  <c r="R128" i="6" s="1"/>
  <c r="S128" i="6" s="1"/>
  <c r="T128" i="6" s="1"/>
  <c r="I123" i="6"/>
  <c r="K123" i="6" s="1"/>
  <c r="I75" i="6"/>
  <c r="I67" i="6"/>
  <c r="K67" i="6" s="1"/>
  <c r="Q67" i="6" s="1"/>
  <c r="R67" i="6" s="1"/>
  <c r="S67" i="6" s="1"/>
  <c r="T67" i="6" s="1"/>
  <c r="I52" i="6"/>
  <c r="K52" i="6" s="1"/>
  <c r="Q52" i="6" s="1"/>
  <c r="R52" i="6" s="1"/>
  <c r="S52" i="6" s="1"/>
  <c r="T52" i="6" s="1"/>
  <c r="I83" i="6"/>
  <c r="I66" i="6"/>
  <c r="K66" i="6" s="1"/>
  <c r="I104" i="6"/>
  <c r="I99" i="6"/>
  <c r="J77" i="6"/>
  <c r="I59" i="6"/>
  <c r="I58" i="6"/>
  <c r="K58" i="6" s="1"/>
  <c r="Q58" i="6" s="1"/>
  <c r="R58" i="6" s="1"/>
  <c r="S58" i="6" s="1"/>
  <c r="T58" i="6" s="1"/>
  <c r="J85" i="6"/>
  <c r="J64" i="6"/>
  <c r="I51" i="6"/>
  <c r="K51" i="6" s="1"/>
  <c r="Q51" i="6" s="1"/>
  <c r="R51" i="6" s="1"/>
  <c r="S51" i="6" s="1"/>
  <c r="T51" i="6" s="1"/>
  <c r="I120" i="6"/>
  <c r="K120" i="6" s="1"/>
  <c r="Q120" i="6" s="1"/>
  <c r="R120" i="6" s="1"/>
  <c r="S120" i="6" s="1"/>
  <c r="T120" i="6" s="1"/>
  <c r="I115" i="6"/>
  <c r="K115" i="6" s="1"/>
  <c r="Q115" i="6" s="1"/>
  <c r="R115" i="6" s="1"/>
  <c r="S115" i="6" s="1"/>
  <c r="T115" i="6" s="1"/>
  <c r="I64" i="6"/>
  <c r="K64" i="6" s="1"/>
  <c r="J56" i="6"/>
  <c r="I96" i="6"/>
  <c r="K96" i="6" s="1"/>
  <c r="Q96" i="6" s="1"/>
  <c r="R96" i="6" s="1"/>
  <c r="S96" i="6" s="1"/>
  <c r="T96" i="6" s="1"/>
  <c r="I91" i="6"/>
  <c r="K91" i="6" s="1"/>
  <c r="Q91" i="6" s="1"/>
  <c r="R91" i="6" s="1"/>
  <c r="S91" i="6" s="1"/>
  <c r="T91" i="6" s="1"/>
  <c r="I63" i="6"/>
  <c r="K63" i="6" s="1"/>
  <c r="I56" i="6"/>
  <c r="I80" i="6"/>
  <c r="I49" i="6"/>
  <c r="I41" i="6"/>
  <c r="K41" i="6" s="1"/>
  <c r="I131" i="6"/>
  <c r="K131" i="6" s="1"/>
  <c r="I55" i="6"/>
  <c r="K55" i="6" s="1"/>
  <c r="Q55" i="6" s="1"/>
  <c r="R55" i="6" s="1"/>
  <c r="S55" i="6" s="1"/>
  <c r="T55" i="6" s="1"/>
  <c r="J44" i="6"/>
  <c r="J36" i="6"/>
  <c r="J61" i="6"/>
  <c r="I44" i="6"/>
  <c r="K44" i="6" s="1"/>
  <c r="Q44" i="6" s="1"/>
  <c r="R44" i="6" s="1"/>
  <c r="S44" i="6" s="1"/>
  <c r="T44" i="6" s="1"/>
  <c r="I36" i="6"/>
  <c r="K36" i="6" s="1"/>
  <c r="Q36" i="6" s="1"/>
  <c r="R36" i="6" s="1"/>
  <c r="S36" i="6" s="1"/>
  <c r="T36" i="6" s="1"/>
  <c r="I112" i="6"/>
  <c r="K112" i="6" s="1"/>
  <c r="Q112" i="6" s="1"/>
  <c r="R112" i="6" s="1"/>
  <c r="S112" i="6" s="1"/>
  <c r="T112" i="6" s="1"/>
  <c r="I107" i="6"/>
  <c r="J72" i="6"/>
  <c r="J69" i="6"/>
  <c r="I61" i="6"/>
  <c r="J47" i="6"/>
  <c r="I72" i="6"/>
  <c r="I69" i="6"/>
  <c r="J53" i="6"/>
  <c r="I39" i="6"/>
  <c r="I31" i="6"/>
  <c r="K31" i="6" s="1"/>
  <c r="Q31" i="6" s="1"/>
  <c r="R31" i="6" s="1"/>
  <c r="S31" i="6" s="1"/>
  <c r="T31" i="6" s="1"/>
  <c r="J46" i="6"/>
  <c r="J18" i="6"/>
  <c r="J12" i="6"/>
  <c r="J21" i="6"/>
  <c r="I12" i="6"/>
  <c r="K12" i="6" s="1"/>
  <c r="Q12" i="6" s="1"/>
  <c r="R12" i="6" s="1"/>
  <c r="S12" i="6" s="1"/>
  <c r="T12" i="6" s="1"/>
  <c r="I34" i="6"/>
  <c r="K34" i="6" s="1"/>
  <c r="Q34" i="6" s="1"/>
  <c r="R34" i="6" s="1"/>
  <c r="S34" i="6" s="1"/>
  <c r="T34" i="6" s="1"/>
  <c r="J5" i="6"/>
  <c r="J39" i="6"/>
  <c r="J38" i="6"/>
  <c r="J29" i="6"/>
  <c r="I3" i="6"/>
  <c r="K3" i="6" s="1"/>
  <c r="J28" i="6"/>
  <c r="I28" i="6"/>
  <c r="K28" i="6" s="1"/>
  <c r="I88" i="6"/>
  <c r="K88" i="6" s="1"/>
  <c r="Q88" i="6" s="1"/>
  <c r="R88" i="6" s="1"/>
  <c r="S88" i="6" s="1"/>
  <c r="T88" i="6" s="1"/>
  <c r="J23" i="6"/>
  <c r="J20" i="6"/>
  <c r="J31" i="6"/>
  <c r="J42" i="6"/>
  <c r="I20" i="6"/>
  <c r="I60" i="6"/>
  <c r="K60" i="6" s="1"/>
  <c r="Q60" i="6" s="1"/>
  <c r="R60" i="6" s="1"/>
  <c r="S60" i="6" s="1"/>
  <c r="T60" i="6" s="1"/>
  <c r="J50" i="6"/>
  <c r="I7" i="6"/>
  <c r="I50" i="6"/>
  <c r="I4" i="6"/>
  <c r="K4" i="6" s="1"/>
  <c r="J7" i="6"/>
  <c r="J26" i="6"/>
  <c r="I33" i="6"/>
  <c r="I26" i="6"/>
  <c r="K26" i="6" s="1"/>
  <c r="J22" i="6"/>
  <c r="J19" i="6"/>
  <c r="I16" i="6"/>
  <c r="J2" i="6"/>
  <c r="J34" i="6"/>
  <c r="J13" i="6"/>
  <c r="K13" i="6" s="1"/>
  <c r="Q13" i="6" s="1"/>
  <c r="R13" i="6" s="1"/>
  <c r="S13" i="6" s="1"/>
  <c r="T13" i="6" s="1"/>
  <c r="J10" i="6"/>
  <c r="I53" i="6"/>
  <c r="K53" i="6" s="1"/>
  <c r="J30" i="6"/>
  <c r="I5" i="6"/>
  <c r="K5" i="6" s="1"/>
  <c r="Q5" i="6" s="1"/>
  <c r="R5" i="6" s="1"/>
  <c r="S5" i="6" s="1"/>
  <c r="T5" i="6" s="1"/>
  <c r="I25" i="6"/>
  <c r="I10" i="6"/>
  <c r="K10" i="6" s="1"/>
  <c r="Q10" i="6" s="1"/>
  <c r="R10" i="6" s="1"/>
  <c r="S10" i="6" s="1"/>
  <c r="T10" i="6" s="1"/>
  <c r="O20" i="6"/>
  <c r="O44" i="6"/>
  <c r="J43" i="6"/>
  <c r="I42" i="6"/>
  <c r="K134" i="6"/>
  <c r="J82" i="6"/>
  <c r="I14" i="6"/>
  <c r="K14" i="6" s="1"/>
  <c r="I19" i="6"/>
  <c r="P38" i="6"/>
  <c r="P98" i="6"/>
  <c r="P39" i="6"/>
  <c r="J15" i="6"/>
  <c r="P112" i="6"/>
  <c r="K22" i="6"/>
  <c r="Q22" i="6" s="1"/>
  <c r="R22" i="6" s="1"/>
  <c r="S22" i="6" s="1"/>
  <c r="T22" i="6" s="1"/>
  <c r="J45" i="6"/>
  <c r="I45" i="6"/>
  <c r="K45" i="6" s="1"/>
  <c r="Q45" i="6" s="1"/>
  <c r="R45" i="6" s="1"/>
  <c r="S45" i="6" s="1"/>
  <c r="T45" i="6" s="1"/>
  <c r="P109" i="6"/>
  <c r="I121" i="6"/>
  <c r="I105" i="6"/>
  <c r="B11" i="5"/>
  <c r="B12" i="5"/>
  <c r="C15" i="5"/>
  <c r="B15" i="5"/>
  <c r="C13" i="5"/>
  <c r="C14" i="5"/>
  <c r="B14" i="5"/>
  <c r="B13" i="5"/>
  <c r="C12" i="5"/>
  <c r="C11" i="5"/>
  <c r="J86" i="6"/>
  <c r="K86" i="6" s="1"/>
  <c r="Q86" i="6" s="1"/>
  <c r="R86" i="6" s="1"/>
  <c r="S86" i="6" s="1"/>
  <c r="T86" i="6" s="1"/>
  <c r="J16" i="6"/>
  <c r="P18" i="6"/>
  <c r="I35" i="6"/>
  <c r="I46" i="6"/>
  <c r="K46" i="6" s="1"/>
  <c r="Q46" i="6" s="1"/>
  <c r="R46" i="6" s="1"/>
  <c r="S46" i="6" s="1"/>
  <c r="T46" i="6" s="1"/>
  <c r="O122" i="6"/>
  <c r="I38" i="6"/>
  <c r="P10" i="6"/>
  <c r="O21" i="6"/>
  <c r="P19" i="6"/>
  <c r="J126" i="6"/>
  <c r="K126" i="6" s="1"/>
  <c r="Q126" i="6" s="1"/>
  <c r="R126" i="6" s="1"/>
  <c r="S126" i="6" s="1"/>
  <c r="T126" i="6" s="1"/>
  <c r="I92" i="6"/>
  <c r="K92" i="6" s="1"/>
  <c r="J110" i="6"/>
  <c r="I110" i="6"/>
  <c r="K110" i="6" s="1"/>
  <c r="Q110" i="6" s="1"/>
  <c r="R110" i="6" s="1"/>
  <c r="S110" i="6" s="1"/>
  <c r="T110" i="6" s="1"/>
  <c r="J87" i="6"/>
  <c r="J107" i="6"/>
  <c r="P77" i="6"/>
  <c r="J114" i="6"/>
  <c r="P107" i="6"/>
  <c r="J62" i="6"/>
  <c r="J81" i="6"/>
  <c r="K81" i="6" s="1"/>
  <c r="Q81" i="6" s="1"/>
  <c r="R81" i="6" s="1"/>
  <c r="S81" i="6" s="1"/>
  <c r="T81" i="6" s="1"/>
  <c r="J54" i="6"/>
  <c r="J108" i="6"/>
  <c r="K108" i="6" s="1"/>
  <c r="Q108" i="6" s="1"/>
  <c r="R108" i="6" s="1"/>
  <c r="S108" i="6" s="1"/>
  <c r="T108" i="6" s="1"/>
  <c r="J76" i="6"/>
  <c r="K76" i="6" s="1"/>
  <c r="Q76" i="6" s="1"/>
  <c r="R76" i="6" s="1"/>
  <c r="S76" i="6" s="1"/>
  <c r="T76" i="6" s="1"/>
  <c r="J89" i="6"/>
  <c r="K89" i="6" s="1"/>
  <c r="Q89" i="6" s="1"/>
  <c r="R89" i="6" s="1"/>
  <c r="S89" i="6" s="1"/>
  <c r="T89" i="6" s="1"/>
  <c r="P101" i="6"/>
  <c r="J129" i="6"/>
  <c r="K129" i="6" s="1"/>
  <c r="Q129" i="6" s="1"/>
  <c r="R129" i="6" s="1"/>
  <c r="S129" i="6" s="1"/>
  <c r="T129" i="6" s="1"/>
  <c r="J105" i="6"/>
  <c r="P53" i="6"/>
  <c r="J33" i="6"/>
  <c r="O38" i="6"/>
  <c r="P41" i="6"/>
  <c r="O74" i="6"/>
  <c r="J111" i="6"/>
  <c r="O14" i="6"/>
  <c r="J11" i="6"/>
  <c r="J14" i="6"/>
  <c r="O9" i="6"/>
  <c r="J75" i="6"/>
  <c r="J99" i="6"/>
  <c r="I65" i="6"/>
  <c r="I100" i="6"/>
  <c r="K100" i="6" s="1"/>
  <c r="Q100" i="6" s="1"/>
  <c r="R100" i="6" s="1"/>
  <c r="S100" i="6" s="1"/>
  <c r="T100" i="6" s="1"/>
  <c r="P36" i="6"/>
  <c r="I116" i="6"/>
  <c r="K116" i="6" s="1"/>
  <c r="Q116" i="6" s="1"/>
  <c r="R116" i="6" s="1"/>
  <c r="S116" i="6" s="1"/>
  <c r="T116" i="6" s="1"/>
  <c r="I32" i="6"/>
  <c r="P49" i="6"/>
  <c r="J17" i="6"/>
  <c r="P47" i="6"/>
  <c r="P35" i="6"/>
  <c r="P4" i="6"/>
  <c r="J32" i="6"/>
  <c r="P103" i="6"/>
  <c r="J55" i="6"/>
  <c r="P75" i="6"/>
  <c r="I97" i="6"/>
  <c r="K97" i="6" s="1"/>
  <c r="I73" i="6"/>
  <c r="K73" i="6" s="1"/>
  <c r="J113" i="6"/>
  <c r="K113" i="6" s="1"/>
  <c r="Q113" i="6" s="1"/>
  <c r="R113" i="6" s="1"/>
  <c r="S113" i="6" s="1"/>
  <c r="T113" i="6" s="1"/>
  <c r="P125" i="6"/>
  <c r="J67" i="6"/>
  <c r="J83" i="6"/>
  <c r="I124" i="6"/>
  <c r="K124" i="6" s="1"/>
  <c r="P63" i="6"/>
  <c r="J90" i="6"/>
  <c r="J95" i="6"/>
  <c r="J106" i="6"/>
  <c r="O131" i="6"/>
  <c r="O123" i="6"/>
  <c r="O99" i="6"/>
  <c r="O91" i="6"/>
  <c r="O83" i="6"/>
  <c r="O75" i="6"/>
  <c r="O134" i="6"/>
  <c r="O126" i="6"/>
  <c r="O118" i="6"/>
  <c r="O110" i="6"/>
  <c r="O102" i="6"/>
  <c r="Q102" i="6" s="1"/>
  <c r="R102" i="6" s="1"/>
  <c r="S102" i="6" s="1"/>
  <c r="T102" i="6" s="1"/>
  <c r="O94" i="6"/>
  <c r="Q94" i="6" s="1"/>
  <c r="R94" i="6" s="1"/>
  <c r="S94" i="6" s="1"/>
  <c r="T94" i="6" s="1"/>
  <c r="O86" i="6"/>
  <c r="O78" i="6"/>
  <c r="O89" i="6"/>
  <c r="O76" i="6"/>
  <c r="O129" i="6"/>
  <c r="O124" i="6"/>
  <c r="O84" i="6"/>
  <c r="O105" i="6"/>
  <c r="O100" i="6"/>
  <c r="O62" i="6"/>
  <c r="O121" i="6"/>
  <c r="O116" i="6"/>
  <c r="O54" i="6"/>
  <c r="O50" i="6"/>
  <c r="O42" i="6"/>
  <c r="O34" i="6"/>
  <c r="O97" i="6"/>
  <c r="O92" i="6"/>
  <c r="O81" i="6"/>
  <c r="O70" i="6"/>
  <c r="O53" i="6"/>
  <c r="O73" i="6"/>
  <c r="O67" i="6"/>
  <c r="O45" i="6"/>
  <c r="O37" i="6"/>
  <c r="O132" i="6"/>
  <c r="O60" i="6"/>
  <c r="O59" i="6"/>
  <c r="O48" i="6"/>
  <c r="O40" i="6"/>
  <c r="O32" i="6"/>
  <c r="O17" i="6"/>
  <c r="O11" i="6"/>
  <c r="O29" i="6"/>
  <c r="O108" i="6"/>
  <c r="O27" i="6"/>
  <c r="O26" i="6"/>
  <c r="O43" i="6"/>
  <c r="O16" i="6"/>
  <c r="O10" i="6"/>
  <c r="O51" i="6"/>
  <c r="O19" i="6"/>
  <c r="O5" i="6"/>
  <c r="O8" i="6"/>
  <c r="O113" i="6"/>
  <c r="O52" i="6"/>
  <c r="O18" i="6"/>
  <c r="O35" i="6"/>
  <c r="O3" i="6"/>
  <c r="O24" i="6"/>
  <c r="O6" i="6"/>
  <c r="I47" i="6"/>
  <c r="K47" i="6" s="1"/>
  <c r="O49" i="6"/>
  <c r="I29" i="6"/>
  <c r="K29" i="6" s="1"/>
  <c r="Q29" i="6" s="1"/>
  <c r="R29" i="6" s="1"/>
  <c r="S29" i="6" s="1"/>
  <c r="T29" i="6" s="1"/>
  <c r="I27" i="6"/>
  <c r="P93" i="6"/>
  <c r="P7" i="6"/>
  <c r="O4" i="6"/>
  <c r="J8" i="6"/>
  <c r="K8" i="6" s="1"/>
  <c r="Q8" i="6" s="1"/>
  <c r="R8" i="6" s="1"/>
  <c r="S8" i="6" s="1"/>
  <c r="T8" i="6" s="1"/>
  <c r="P66" i="6"/>
  <c r="K132" i="6"/>
  <c r="Q132" i="6" s="1"/>
  <c r="R132" i="6" s="1"/>
  <c r="S132" i="6" s="1"/>
  <c r="T132" i="6" s="1"/>
  <c r="P87" i="6"/>
  <c r="J25" i="6"/>
  <c r="O41" i="6"/>
  <c r="O64" i="6"/>
  <c r="J27" i="6"/>
  <c r="O69" i="6"/>
  <c r="J6" i="6"/>
  <c r="Q70" i="6" l="1"/>
  <c r="R70" i="6" s="1"/>
  <c r="S70" i="6" s="1"/>
  <c r="T70" i="6" s="1"/>
  <c r="Q47" i="6"/>
  <c r="R47" i="6" s="1"/>
  <c r="S47" i="6" s="1"/>
  <c r="T47" i="6" s="1"/>
  <c r="K25" i="6"/>
  <c r="Q25" i="6" s="1"/>
  <c r="R25" i="6" s="1"/>
  <c r="S25" i="6" s="1"/>
  <c r="T25" i="6" s="1"/>
  <c r="K50" i="6"/>
  <c r="Q50" i="6" s="1"/>
  <c r="R50" i="6" s="1"/>
  <c r="S50" i="6" s="1"/>
  <c r="T50" i="6" s="1"/>
  <c r="K107" i="6"/>
  <c r="Q107" i="6" s="1"/>
  <c r="R107" i="6" s="1"/>
  <c r="S107" i="6" s="1"/>
  <c r="T107" i="6" s="1"/>
  <c r="K75" i="6"/>
  <c r="Q75" i="6" s="1"/>
  <c r="R75" i="6" s="1"/>
  <c r="S75" i="6" s="1"/>
  <c r="T75" i="6" s="1"/>
  <c r="Q125" i="6"/>
  <c r="R125" i="6" s="1"/>
  <c r="S125" i="6" s="1"/>
  <c r="T125" i="6" s="1"/>
  <c r="Q9" i="6"/>
  <c r="R9" i="6" s="1"/>
  <c r="S9" i="6" s="1"/>
  <c r="T9" i="6" s="1"/>
  <c r="K54" i="6"/>
  <c r="Q54" i="6" s="1"/>
  <c r="R54" i="6" s="1"/>
  <c r="S54" i="6" s="1"/>
  <c r="T54" i="6" s="1"/>
  <c r="K30" i="6"/>
  <c r="Q30" i="6" s="1"/>
  <c r="R30" i="6" s="1"/>
  <c r="S30" i="6" s="1"/>
  <c r="T30" i="6" s="1"/>
  <c r="Q48" i="6"/>
  <c r="R48" i="6" s="1"/>
  <c r="S48" i="6" s="1"/>
  <c r="T48" i="6" s="1"/>
  <c r="K7" i="6"/>
  <c r="Q7" i="6" s="1"/>
  <c r="R7" i="6" s="1"/>
  <c r="S7" i="6" s="1"/>
  <c r="T7" i="6" s="1"/>
  <c r="K87" i="6"/>
  <c r="Q87" i="6" s="1"/>
  <c r="R87" i="6" s="1"/>
  <c r="S87" i="6" s="1"/>
  <c r="T87" i="6" s="1"/>
  <c r="Q11" i="6"/>
  <c r="R11" i="6" s="1"/>
  <c r="S11" i="6" s="1"/>
  <c r="T11" i="6" s="1"/>
  <c r="K95" i="6"/>
  <c r="Q95" i="6" s="1"/>
  <c r="R95" i="6" s="1"/>
  <c r="S95" i="6" s="1"/>
  <c r="T95" i="6" s="1"/>
  <c r="Q124" i="6"/>
  <c r="R124" i="6" s="1"/>
  <c r="S124" i="6" s="1"/>
  <c r="T124" i="6" s="1"/>
  <c r="K43" i="6"/>
  <c r="Q43" i="6" s="1"/>
  <c r="R43" i="6" s="1"/>
  <c r="S43" i="6" s="1"/>
  <c r="T43" i="6" s="1"/>
  <c r="Q64" i="6"/>
  <c r="R64" i="6" s="1"/>
  <c r="S64" i="6" s="1"/>
  <c r="T64" i="6" s="1"/>
  <c r="Q53" i="6"/>
  <c r="R53" i="6" s="1"/>
  <c r="S53" i="6" s="1"/>
  <c r="T53" i="6" s="1"/>
  <c r="K32" i="6"/>
  <c r="Q32" i="6" s="1"/>
  <c r="R32" i="6" s="1"/>
  <c r="S32" i="6" s="1"/>
  <c r="T32" i="6" s="1"/>
  <c r="Q92" i="6"/>
  <c r="R92" i="6" s="1"/>
  <c r="S92" i="6" s="1"/>
  <c r="T92" i="6" s="1"/>
  <c r="K111" i="6"/>
  <c r="Q111" i="6" s="1"/>
  <c r="R111" i="6" s="1"/>
  <c r="S111" i="6" s="1"/>
  <c r="T111" i="6" s="1"/>
  <c r="K20" i="6"/>
  <c r="Q20" i="6" s="1"/>
  <c r="R20" i="6" s="1"/>
  <c r="S20" i="6" s="1"/>
  <c r="T20" i="6" s="1"/>
  <c r="K19" i="6"/>
  <c r="Q19" i="6" s="1"/>
  <c r="R19" i="6" s="1"/>
  <c r="S19" i="6" s="1"/>
  <c r="T19" i="6" s="1"/>
  <c r="Q119" i="6"/>
  <c r="R119" i="6" s="1"/>
  <c r="S119" i="6" s="1"/>
  <c r="T119" i="6" s="1"/>
  <c r="K2" i="6"/>
  <c r="Q2" i="6" s="1"/>
  <c r="R2" i="6" s="1"/>
  <c r="S2" i="6" s="1"/>
  <c r="T2" i="6" s="1"/>
  <c r="Q14" i="6"/>
  <c r="R14" i="6" s="1"/>
  <c r="S14" i="6" s="1"/>
  <c r="T14" i="6" s="1"/>
  <c r="K6" i="6"/>
  <c r="Q6" i="6" s="1"/>
  <c r="R6" i="6" s="1"/>
  <c r="S6" i="6" s="1"/>
  <c r="T6" i="6" s="1"/>
  <c r="Q4" i="6"/>
  <c r="R4" i="6" s="1"/>
  <c r="S4" i="6" s="1"/>
  <c r="T4" i="6" s="1"/>
  <c r="Q123" i="6"/>
  <c r="R123" i="6" s="1"/>
  <c r="S123" i="6" s="1"/>
  <c r="T123" i="6" s="1"/>
  <c r="K65" i="6"/>
  <c r="Q65" i="6" s="1"/>
  <c r="R65" i="6" s="1"/>
  <c r="S65" i="6" s="1"/>
  <c r="T65" i="6" s="1"/>
  <c r="K16" i="6"/>
  <c r="Q16" i="6" s="1"/>
  <c r="R16" i="6" s="1"/>
  <c r="S16" i="6" s="1"/>
  <c r="T16" i="6" s="1"/>
  <c r="K39" i="6"/>
  <c r="Q39" i="6" s="1"/>
  <c r="R39" i="6" s="1"/>
  <c r="S39" i="6" s="1"/>
  <c r="T39" i="6" s="1"/>
  <c r="Q131" i="6"/>
  <c r="R131" i="6" s="1"/>
  <c r="S131" i="6" s="1"/>
  <c r="T131" i="6" s="1"/>
  <c r="K59" i="6"/>
  <c r="Q59" i="6" s="1"/>
  <c r="R59" i="6" s="1"/>
  <c r="S59" i="6" s="1"/>
  <c r="T59" i="6" s="1"/>
  <c r="Q74" i="6"/>
  <c r="R74" i="6" s="1"/>
  <c r="S74" i="6" s="1"/>
  <c r="T74" i="6" s="1"/>
  <c r="K62" i="6"/>
  <c r="Q62" i="6" s="1"/>
  <c r="R62" i="6" s="1"/>
  <c r="S62" i="6" s="1"/>
  <c r="T62" i="6" s="1"/>
  <c r="Q118" i="6"/>
  <c r="R118" i="6" s="1"/>
  <c r="S118" i="6" s="1"/>
  <c r="T118" i="6" s="1"/>
  <c r="Q78" i="6"/>
  <c r="R78" i="6" s="1"/>
  <c r="S78" i="6" s="1"/>
  <c r="T78" i="6" s="1"/>
  <c r="Q18" i="6"/>
  <c r="R18" i="6" s="1"/>
  <c r="S18" i="6" s="1"/>
  <c r="T18" i="6" s="1"/>
  <c r="Q97" i="6"/>
  <c r="R97" i="6" s="1"/>
  <c r="S97" i="6" s="1"/>
  <c r="T97" i="6" s="1"/>
  <c r="Q28" i="6"/>
  <c r="R28" i="6" s="1"/>
  <c r="S28" i="6" s="1"/>
  <c r="T28" i="6" s="1"/>
  <c r="K69" i="6"/>
  <c r="Q69" i="6" s="1"/>
  <c r="R69" i="6" s="1"/>
  <c r="S69" i="6" s="1"/>
  <c r="T69" i="6" s="1"/>
  <c r="K49" i="6"/>
  <c r="Q49" i="6" s="1"/>
  <c r="R49" i="6" s="1"/>
  <c r="S49" i="6" s="1"/>
  <c r="T49" i="6" s="1"/>
  <c r="K99" i="6"/>
  <c r="Q99" i="6" s="1"/>
  <c r="R99" i="6" s="1"/>
  <c r="S99" i="6" s="1"/>
  <c r="T99" i="6" s="1"/>
  <c r="K77" i="6"/>
  <c r="Q77" i="6" s="1"/>
  <c r="R77" i="6" s="1"/>
  <c r="S77" i="6" s="1"/>
  <c r="T77" i="6" s="1"/>
  <c r="K90" i="6"/>
  <c r="Q90" i="6" s="1"/>
  <c r="R90" i="6" s="1"/>
  <c r="S90" i="6" s="1"/>
  <c r="T90" i="6" s="1"/>
  <c r="Q68" i="6"/>
  <c r="R68" i="6" s="1"/>
  <c r="S68" i="6" s="1"/>
  <c r="T68" i="6" s="1"/>
  <c r="K17" i="6"/>
  <c r="Q17" i="6" s="1"/>
  <c r="R17" i="6" s="1"/>
  <c r="S17" i="6" s="1"/>
  <c r="T17" i="6" s="1"/>
  <c r="Q73" i="6"/>
  <c r="R73" i="6" s="1"/>
  <c r="S73" i="6" s="1"/>
  <c r="T73" i="6" s="1"/>
  <c r="Q134" i="6"/>
  <c r="R134" i="6" s="1"/>
  <c r="S134" i="6" s="1"/>
  <c r="T134" i="6" s="1"/>
  <c r="Q41" i="6"/>
  <c r="R41" i="6" s="1"/>
  <c r="S41" i="6" s="1"/>
  <c r="T41" i="6" s="1"/>
  <c r="K38" i="6"/>
  <c r="Q38" i="6" s="1"/>
  <c r="R38" i="6" s="1"/>
  <c r="S38" i="6" s="1"/>
  <c r="T38" i="6" s="1"/>
  <c r="K105" i="6"/>
  <c r="Q105" i="6" s="1"/>
  <c r="R105" i="6" s="1"/>
  <c r="S105" i="6" s="1"/>
  <c r="T105" i="6" s="1"/>
  <c r="K42" i="6"/>
  <c r="Q42" i="6" s="1"/>
  <c r="R42" i="6" s="1"/>
  <c r="S42" i="6" s="1"/>
  <c r="T42" i="6" s="1"/>
  <c r="Q26" i="6"/>
  <c r="R26" i="6" s="1"/>
  <c r="S26" i="6" s="1"/>
  <c r="T26" i="6" s="1"/>
  <c r="K72" i="6"/>
  <c r="Q72" i="6" s="1"/>
  <c r="R72" i="6" s="1"/>
  <c r="S72" i="6" s="1"/>
  <c r="T72" i="6" s="1"/>
  <c r="K80" i="6"/>
  <c r="Q80" i="6" s="1"/>
  <c r="R80" i="6" s="1"/>
  <c r="S80" i="6" s="1"/>
  <c r="T80" i="6" s="1"/>
  <c r="K104" i="6"/>
  <c r="Q104" i="6" s="1"/>
  <c r="R104" i="6" s="1"/>
  <c r="S104" i="6" s="1"/>
  <c r="T104" i="6" s="1"/>
  <c r="K85" i="6"/>
  <c r="Q85" i="6" s="1"/>
  <c r="R85" i="6" s="1"/>
  <c r="S85" i="6" s="1"/>
  <c r="T85" i="6" s="1"/>
  <c r="Q98" i="6"/>
  <c r="R98" i="6" s="1"/>
  <c r="S98" i="6" s="1"/>
  <c r="T98" i="6" s="1"/>
  <c r="K15" i="6"/>
  <c r="Q15" i="6" s="1"/>
  <c r="R15" i="6" s="1"/>
  <c r="S15" i="6" s="1"/>
  <c r="T15" i="6" s="1"/>
  <c r="K121" i="6"/>
  <c r="Q121" i="6" s="1"/>
  <c r="R121" i="6" s="1"/>
  <c r="S121" i="6" s="1"/>
  <c r="T121" i="6" s="1"/>
  <c r="K33" i="6"/>
  <c r="Q33" i="6" s="1"/>
  <c r="R33" i="6" s="1"/>
  <c r="S33" i="6" s="1"/>
  <c r="T33" i="6" s="1"/>
  <c r="Q3" i="6"/>
  <c r="R3" i="6" s="1"/>
  <c r="S3" i="6" s="1"/>
  <c r="T3" i="6" s="1"/>
  <c r="K56" i="6"/>
  <c r="Q56" i="6" s="1"/>
  <c r="R56" i="6" s="1"/>
  <c r="S56" i="6" s="1"/>
  <c r="T56" i="6" s="1"/>
  <c r="Q66" i="6"/>
  <c r="R66" i="6" s="1"/>
  <c r="S66" i="6" s="1"/>
  <c r="T66" i="6" s="1"/>
  <c r="K93" i="6"/>
  <c r="Q93" i="6" s="1"/>
  <c r="R93" i="6" s="1"/>
  <c r="S93" i="6" s="1"/>
  <c r="T93" i="6" s="1"/>
  <c r="K106" i="6"/>
  <c r="Q106" i="6" s="1"/>
  <c r="R106" i="6" s="1"/>
  <c r="S106" i="6" s="1"/>
  <c r="T106" i="6" s="1"/>
  <c r="Q37" i="6"/>
  <c r="R37" i="6" s="1"/>
  <c r="S37" i="6" s="1"/>
  <c r="T37" i="6" s="1"/>
  <c r="K27" i="6"/>
  <c r="Q27" i="6" s="1"/>
  <c r="R27" i="6" s="1"/>
  <c r="S27" i="6" s="1"/>
  <c r="T27" i="6" s="1"/>
  <c r="K35" i="6"/>
  <c r="Q35" i="6" s="1"/>
  <c r="R35" i="6" s="1"/>
  <c r="S35" i="6" s="1"/>
  <c r="T35" i="6" s="1"/>
  <c r="K61" i="6"/>
  <c r="Q61" i="6" s="1"/>
  <c r="R61" i="6" s="1"/>
  <c r="S61" i="6" s="1"/>
  <c r="T61" i="6" s="1"/>
  <c r="Q63" i="6"/>
  <c r="R63" i="6" s="1"/>
  <c r="S63" i="6" s="1"/>
  <c r="T63" i="6" s="1"/>
  <c r="K83" i="6"/>
  <c r="Q83" i="6" s="1"/>
  <c r="R83" i="6" s="1"/>
  <c r="S83" i="6" s="1"/>
  <c r="T83" i="6" s="1"/>
  <c r="K101" i="6"/>
  <c r="Q101" i="6" s="1"/>
  <c r="R101" i="6" s="1"/>
  <c r="S101" i="6" s="1"/>
  <c r="T101" i="6" s="1"/>
  <c r="K114" i="6"/>
  <c r="Q114" i="6" s="1"/>
  <c r="R114" i="6" s="1"/>
  <c r="S114" i="6" s="1"/>
  <c r="T114" i="6" s="1"/>
  <c r="K21" i="6"/>
  <c r="Q21" i="6" s="1"/>
  <c r="R21" i="6" s="1"/>
  <c r="S21" i="6" s="1"/>
  <c r="T21" i="6" s="1"/>
  <c r="K24" i="6"/>
  <c r="Q24" i="6" s="1"/>
  <c r="R24" i="6" s="1"/>
  <c r="S24" i="6" s="1"/>
  <c r="T24" i="6" s="1"/>
  <c r="C7" i="5" l="1"/>
  <c r="B7" i="5"/>
  <c r="C6" i="5"/>
  <c r="B6" i="5"/>
  <c r="C5" i="5"/>
  <c r="B5" i="5"/>
  <c r="C4" i="5"/>
  <c r="B4" i="5"/>
  <c r="B3" i="5"/>
  <c r="C3" i="5"/>
</calcChain>
</file>

<file path=xl/sharedStrings.xml><?xml version="1.0" encoding="utf-8"?>
<sst xmlns="http://schemas.openxmlformats.org/spreadsheetml/2006/main" count="1827" uniqueCount="552">
  <si>
    <t>id</t>
  </si>
  <si>
    <t>name</t>
  </si>
  <si>
    <t>role</t>
  </si>
  <si>
    <t>role2</t>
  </si>
  <si>
    <t>offense</t>
  </si>
  <si>
    <t>ability_effects</t>
  </si>
  <si>
    <t>durability</t>
  </si>
  <si>
    <t>difficulty</t>
  </si>
  <si>
    <t>style1</t>
  </si>
  <si>
    <t>style2</t>
  </si>
  <si>
    <t>damage_type</t>
  </si>
  <si>
    <t>range_type</t>
  </si>
  <si>
    <t>lane1</t>
  </si>
  <si>
    <t>lane2</t>
  </si>
  <si>
    <t>power_spike</t>
  </si>
  <si>
    <t>resource</t>
  </si>
  <si>
    <t>spike_order</t>
  </si>
  <si>
    <t>1</t>
  </si>
  <si>
    <t>Miya</t>
  </si>
  <si>
    <t>Marksman</t>
  </si>
  <si>
    <t>DPS</t>
  </si>
  <si>
    <t>AoE Damage</t>
  </si>
  <si>
    <t>Physical</t>
  </si>
  <si>
    <t>Ranged</t>
  </si>
  <si>
    <t>Gold Lane</t>
  </si>
  <si>
    <t>Late</t>
  </si>
  <si>
    <t>Mana</t>
  </si>
  <si>
    <t>2</t>
  </si>
  <si>
    <t>Balmond</t>
  </si>
  <si>
    <t>Fighter</t>
  </si>
  <si>
    <t>Sustain</t>
  </si>
  <si>
    <t>Execute</t>
  </si>
  <si>
    <t>Melee</t>
  </si>
  <si>
    <t>Jungle</t>
  </si>
  <si>
    <t>EXP Lane</t>
  </si>
  <si>
    <t>Mid</t>
  </si>
  <si>
    <t>None</t>
  </si>
  <si>
    <t>3</t>
  </si>
  <si>
    <t>Saber</t>
  </si>
  <si>
    <t>Assassin</t>
  </si>
  <si>
    <t>Burst</t>
  </si>
  <si>
    <t>Targeted CC</t>
  </si>
  <si>
    <t>Roaming</t>
  </si>
  <si>
    <t>Early-Mid</t>
  </si>
  <si>
    <t>4</t>
  </si>
  <si>
    <t>Alice</t>
  </si>
  <si>
    <t>Mage</t>
  </si>
  <si>
    <t>Magic</t>
  </si>
  <si>
    <t>5</t>
  </si>
  <si>
    <t>Nana</t>
  </si>
  <si>
    <t>Poke</t>
  </si>
  <si>
    <t>Soft CC</t>
  </si>
  <si>
    <t>Mid Lane</t>
  </si>
  <si>
    <t>6</t>
  </si>
  <si>
    <t>Tigreal</t>
  </si>
  <si>
    <t>Tank</t>
  </si>
  <si>
    <t>AoE CC</t>
  </si>
  <si>
    <t>Hard CC</t>
  </si>
  <si>
    <t>7</t>
  </si>
  <si>
    <t>Alucard</t>
  </si>
  <si>
    <t>8</t>
  </si>
  <si>
    <t>Karina</t>
  </si>
  <si>
    <t>9</t>
  </si>
  <si>
    <t>Akai</t>
  </si>
  <si>
    <t>Shield</t>
  </si>
  <si>
    <t>10</t>
  </si>
  <si>
    <t>Franco</t>
  </si>
  <si>
    <t>11</t>
  </si>
  <si>
    <t>Bane</t>
  </si>
  <si>
    <t>Mixed</t>
  </si>
  <si>
    <t>12</t>
  </si>
  <si>
    <t>Bruno</t>
  </si>
  <si>
    <t>13</t>
  </si>
  <si>
    <t>Clint</t>
  </si>
  <si>
    <t>Mid-Late</t>
  </si>
  <si>
    <t>14</t>
  </si>
  <si>
    <t>Rafaela</t>
  </si>
  <si>
    <t>Support</t>
  </si>
  <si>
    <t>Healing</t>
  </si>
  <si>
    <t>15</t>
  </si>
  <si>
    <t>Eudora</t>
  </si>
  <si>
    <t>16</t>
  </si>
  <si>
    <t>Zilong</t>
  </si>
  <si>
    <t>Mobility</t>
  </si>
  <si>
    <t>17</t>
  </si>
  <si>
    <t>Fanny</t>
  </si>
  <si>
    <t>High Mobility</t>
  </si>
  <si>
    <t>Early</t>
  </si>
  <si>
    <t>Energy</t>
  </si>
  <si>
    <t>18</t>
  </si>
  <si>
    <t>Layla</t>
  </si>
  <si>
    <t>19</t>
  </si>
  <si>
    <t>Minotaur</t>
  </si>
  <si>
    <t>20</t>
  </si>
  <si>
    <t>Lolita</t>
  </si>
  <si>
    <t>21</t>
  </si>
  <si>
    <t>Hayabusa</t>
  </si>
  <si>
    <t>I-Frame</t>
  </si>
  <si>
    <t>22</t>
  </si>
  <si>
    <t>Freya</t>
  </si>
  <si>
    <t>23</t>
  </si>
  <si>
    <t>Gord</t>
  </si>
  <si>
    <t>24</t>
  </si>
  <si>
    <t>Natalia</t>
  </si>
  <si>
    <t>Vision</t>
  </si>
  <si>
    <t>25</t>
  </si>
  <si>
    <t>Kagura</t>
  </si>
  <si>
    <t>26</t>
  </si>
  <si>
    <t>Chou</t>
  </si>
  <si>
    <t>Dash/Blink</t>
  </si>
  <si>
    <t>27</t>
  </si>
  <si>
    <t>Sun</t>
  </si>
  <si>
    <t>Summoner</t>
  </si>
  <si>
    <t>28</t>
  </si>
  <si>
    <t>Alpha</t>
  </si>
  <si>
    <t>True Damage</t>
  </si>
  <si>
    <t>29</t>
  </si>
  <si>
    <t>Ruby</t>
  </si>
  <si>
    <t>30</t>
  </si>
  <si>
    <t>Yi Sun-shin</t>
  </si>
  <si>
    <t>Hybrid</t>
  </si>
  <si>
    <t>31</t>
  </si>
  <si>
    <t>Moskov</t>
  </si>
  <si>
    <t>32</t>
  </si>
  <si>
    <t>Johnson</t>
  </si>
  <si>
    <t>Global Dive</t>
  </si>
  <si>
    <t>33</t>
  </si>
  <si>
    <t>Cyclops</t>
  </si>
  <si>
    <t>34</t>
  </si>
  <si>
    <t>Estes</t>
  </si>
  <si>
    <t>35</t>
  </si>
  <si>
    <t>Hilda</t>
  </si>
  <si>
    <t>36</t>
  </si>
  <si>
    <t>Aurora</t>
  </si>
  <si>
    <t>37</t>
  </si>
  <si>
    <t>Lapu-Lapu</t>
  </si>
  <si>
    <t>38</t>
  </si>
  <si>
    <t>Vexana</t>
  </si>
  <si>
    <t>39</t>
  </si>
  <si>
    <t>Roger</t>
  </si>
  <si>
    <t>40</t>
  </si>
  <si>
    <t>Karrie</t>
  </si>
  <si>
    <t>41</t>
  </si>
  <si>
    <t>Gatotkaca</t>
  </si>
  <si>
    <t>Damage Reduction</t>
  </si>
  <si>
    <t>42</t>
  </si>
  <si>
    <t>Harley</t>
  </si>
  <si>
    <t>43</t>
  </si>
  <si>
    <t>Irithel</t>
  </si>
  <si>
    <t>44</t>
  </si>
  <si>
    <t>Grock</t>
  </si>
  <si>
    <t>45</t>
  </si>
  <si>
    <t>Argus</t>
  </si>
  <si>
    <t>46</t>
  </si>
  <si>
    <t>Odette</t>
  </si>
  <si>
    <t>47</t>
  </si>
  <si>
    <t>Lancelot</t>
  </si>
  <si>
    <t>48</t>
  </si>
  <si>
    <t>Diggie</t>
  </si>
  <si>
    <t>49</t>
  </si>
  <si>
    <t>Hylos</t>
  </si>
  <si>
    <t>50</t>
  </si>
  <si>
    <t>Zhask</t>
  </si>
  <si>
    <t>51</t>
  </si>
  <si>
    <t>Helcurt</t>
  </si>
  <si>
    <t>52</t>
  </si>
  <si>
    <t>Pharsa</t>
  </si>
  <si>
    <t>53</t>
  </si>
  <si>
    <t>Lesley</t>
  </si>
  <si>
    <t>54</t>
  </si>
  <si>
    <t>Jawhead</t>
  </si>
  <si>
    <t>55</t>
  </si>
  <si>
    <t>Angela</t>
  </si>
  <si>
    <t>56</t>
  </si>
  <si>
    <t>Gusion</t>
  </si>
  <si>
    <t>57</t>
  </si>
  <si>
    <t>Valir</t>
  </si>
  <si>
    <t>58</t>
  </si>
  <si>
    <t>Martis</t>
  </si>
  <si>
    <t>59</t>
  </si>
  <si>
    <t>Uranus</t>
  </si>
  <si>
    <t>60</t>
  </si>
  <si>
    <t>Hanabi</t>
  </si>
  <si>
    <t>61</t>
  </si>
  <si>
    <t>Chang'e</t>
  </si>
  <si>
    <t>62</t>
  </si>
  <si>
    <t>Kaja</t>
  </si>
  <si>
    <t>63</t>
  </si>
  <si>
    <t>Selena</t>
  </si>
  <si>
    <t>64</t>
  </si>
  <si>
    <t>Aldous</t>
  </si>
  <si>
    <t>65</t>
  </si>
  <si>
    <t>Claude</t>
  </si>
  <si>
    <t>66</t>
  </si>
  <si>
    <t>Vale</t>
  </si>
  <si>
    <t>67</t>
  </si>
  <si>
    <t>Leomord</t>
  </si>
  <si>
    <t>68</t>
  </si>
  <si>
    <t>Lunox</t>
  </si>
  <si>
    <t>69</t>
  </si>
  <si>
    <t>Hanzo</t>
  </si>
  <si>
    <t>70</t>
  </si>
  <si>
    <t>Belerick</t>
  </si>
  <si>
    <t>71</t>
  </si>
  <si>
    <t>Kimmy</t>
  </si>
  <si>
    <t>72</t>
  </si>
  <si>
    <t>Thamuz</t>
  </si>
  <si>
    <t>73</t>
  </si>
  <si>
    <t>Harith</t>
  </si>
  <si>
    <t>74</t>
  </si>
  <si>
    <t>Minsitthar</t>
  </si>
  <si>
    <t>75</t>
  </si>
  <si>
    <t>Kadita</t>
  </si>
  <si>
    <t>76</t>
  </si>
  <si>
    <t>Faramis</t>
  </si>
  <si>
    <t>77</t>
  </si>
  <si>
    <t>Badang</t>
  </si>
  <si>
    <t>78</t>
  </si>
  <si>
    <t>Khufra</t>
  </si>
  <si>
    <t>79</t>
  </si>
  <si>
    <t>Granger</t>
  </si>
  <si>
    <t>80</t>
  </si>
  <si>
    <t>Guinevere</t>
  </si>
  <si>
    <t>81</t>
  </si>
  <si>
    <t>Esmeralda</t>
  </si>
  <si>
    <t>82</t>
  </si>
  <si>
    <t>Terizla</t>
  </si>
  <si>
    <t>83</t>
  </si>
  <si>
    <t>X.Borg</t>
  </si>
  <si>
    <t>84</t>
  </si>
  <si>
    <t>Ling</t>
  </si>
  <si>
    <t>85</t>
  </si>
  <si>
    <t>Dyrroth</t>
  </si>
  <si>
    <t>86</t>
  </si>
  <si>
    <t>Lylia</t>
  </si>
  <si>
    <t>87</t>
  </si>
  <si>
    <t>Baxia</t>
  </si>
  <si>
    <t>Anti-Heal</t>
  </si>
  <si>
    <t>88</t>
  </si>
  <si>
    <t>Masha</t>
  </si>
  <si>
    <t>89</t>
  </si>
  <si>
    <t>Wanwan</t>
  </si>
  <si>
    <t>90</t>
  </si>
  <si>
    <t>Silvanna</t>
  </si>
  <si>
    <t>91</t>
  </si>
  <si>
    <t>Cecilion</t>
  </si>
  <si>
    <t>92</t>
  </si>
  <si>
    <t>Carmilla</t>
  </si>
  <si>
    <t>93</t>
  </si>
  <si>
    <t>Atlas</t>
  </si>
  <si>
    <t>94</t>
  </si>
  <si>
    <t>Popol and Kupa</t>
  </si>
  <si>
    <t>95</t>
  </si>
  <si>
    <t>Yu Zhong</t>
  </si>
  <si>
    <t>96</t>
  </si>
  <si>
    <t>Luo Yi</t>
  </si>
  <si>
    <t>97</t>
  </si>
  <si>
    <t>Benedetta</t>
  </si>
  <si>
    <t>98</t>
  </si>
  <si>
    <t>Khaleed</t>
  </si>
  <si>
    <t>99</t>
  </si>
  <si>
    <t>Barats</t>
  </si>
  <si>
    <t>100</t>
  </si>
  <si>
    <t>Brody</t>
  </si>
  <si>
    <t>101</t>
  </si>
  <si>
    <t>Yve</t>
  </si>
  <si>
    <t>102</t>
  </si>
  <si>
    <t>Mathilda</t>
  </si>
  <si>
    <t>103</t>
  </si>
  <si>
    <t>Paquito</t>
  </si>
  <si>
    <t>104</t>
  </si>
  <si>
    <t>Gloo</t>
  </si>
  <si>
    <t>105</t>
  </si>
  <si>
    <t>Beatrix</t>
  </si>
  <si>
    <t>106</t>
  </si>
  <si>
    <t>Phoveus</t>
  </si>
  <si>
    <t>107</t>
  </si>
  <si>
    <t>Natan</t>
  </si>
  <si>
    <t>108</t>
  </si>
  <si>
    <t>Aulus</t>
  </si>
  <si>
    <t>109</t>
  </si>
  <si>
    <t>Aamon</t>
  </si>
  <si>
    <t>110</t>
  </si>
  <si>
    <t>Valentina</t>
  </si>
  <si>
    <t>111</t>
  </si>
  <si>
    <t>Edith</t>
  </si>
  <si>
    <t>112</t>
  </si>
  <si>
    <t>Floryn</t>
  </si>
  <si>
    <t>113</t>
  </si>
  <si>
    <t>Yin</t>
  </si>
  <si>
    <t>114</t>
  </si>
  <si>
    <t>Melissa</t>
  </si>
  <si>
    <t>115</t>
  </si>
  <si>
    <t>Xavier</t>
  </si>
  <si>
    <t>116</t>
  </si>
  <si>
    <t>Julian</t>
  </si>
  <si>
    <t>117</t>
  </si>
  <si>
    <t>Fredrinn</t>
  </si>
  <si>
    <t>118</t>
  </si>
  <si>
    <t>Joy</t>
  </si>
  <si>
    <t>119</t>
  </si>
  <si>
    <t>Novaria</t>
  </si>
  <si>
    <t>120</t>
  </si>
  <si>
    <t>Arlott</t>
  </si>
  <si>
    <t>121</t>
  </si>
  <si>
    <t>Ixia</t>
  </si>
  <si>
    <t>122</t>
  </si>
  <si>
    <t>Nolan</t>
  </si>
  <si>
    <t>123</t>
  </si>
  <si>
    <t>Cici</t>
  </si>
  <si>
    <t>124</t>
  </si>
  <si>
    <t>Chip</t>
  </si>
  <si>
    <t>125</t>
  </si>
  <si>
    <t>Zhuxin</t>
  </si>
  <si>
    <t>126</t>
  </si>
  <si>
    <t>Suyou</t>
  </si>
  <si>
    <t>127</t>
  </si>
  <si>
    <t>Lukas</t>
  </si>
  <si>
    <t>128</t>
  </si>
  <si>
    <t>Kalea</t>
  </si>
  <si>
    <t>129</t>
  </si>
  <si>
    <t>Zetian</t>
  </si>
  <si>
    <t>130</t>
  </si>
  <si>
    <t>Obsidia</t>
  </si>
  <si>
    <t>131</t>
  </si>
  <si>
    <t>Sora</t>
  </si>
  <si>
    <t>132</t>
  </si>
  <si>
    <t>Marcel</t>
  </si>
  <si>
    <t>133</t>
  </si>
  <si>
    <t>Hirara</t>
  </si>
  <si>
    <t>MLBB HERO COUNTER — DATA / INPUT SHEET</t>
  </si>
  <si>
    <t>This is the ONLY sheet you should manually edit. Shaded yellow cells are safe to change. See the "Documentation - Computations Only" tab for exactly how every formula uses these values.</t>
  </si>
  <si>
    <t>1) GLOBAL WEIGHTS / COEFFICIENTS</t>
  </si>
  <si>
    <t>Coefficient</t>
  </si>
  <si>
    <t>Value</t>
  </si>
  <si>
    <t>Description</t>
  </si>
  <si>
    <t>role_mult</t>
  </si>
  <si>
    <t>Multiplier applied to the Role Matchup points (Block 2) to get the Role Advantage score component.</t>
  </si>
  <si>
    <t>burst_mult</t>
  </si>
  <si>
    <t>Multiplier applied to (attacker offense + ability_effects)/2 minus defender durability (the "Stat" component).</t>
  </si>
  <si>
    <t>diff_mult</t>
  </si>
  <si>
    <t>Multiplier applied to the difficulty gap (attacker difficulty - defender difficulty) when that gap exceeds 20.</t>
  </si>
  <si>
    <t>style_mult</t>
  </si>
  <si>
    <t>Multiplier applied to the Style/Tag Matchup points (Block 5) to get the Style Matchup score component.</t>
  </si>
  <si>
    <t>spike_mult</t>
  </si>
  <si>
    <t>Multiplier applied to the power-spike-order gap (attacker spike order - defender spike order).</t>
  </si>
  <si>
    <t>dmgtype_same</t>
  </si>
  <si>
    <t>Score adjustment when attacker and defender share the same damage type (Physical/Physical or Magic/Magic).</t>
  </si>
  <si>
    <t>dmgtype_diff</t>
  </si>
  <si>
    <t>Score adjustment when attacker and defender have different, non-Mixed damage types.</t>
  </si>
  <si>
    <t>dmgtype_mixed</t>
  </si>
  <si>
    <t>Score adjustment when the attacker's damage type is "Mixed".</t>
  </si>
  <si>
    <t>2) ROLE MATCHUP MATRIX  (Attacker row -&gt; Defender column, points BEFORE role_mult)</t>
  </si>
  <si>
    <t>Attacker\Defender</t>
  </si>
  <si>
    <t>3) HARD COUNTER RULES  (named-hero or tag-based special matchups — added on top of everything else). Rows 29-128 are dropdown-ready: pick Attacker, ConditionType, and ConditionValue from the lists, just type the row below your last rule.</t>
  </si>
  <si>
    <t>Attacker</t>
  </si>
  <si>
    <t>ConditionType (Tag/Hero)</t>
  </si>
  <si>
    <t>ConditionValue</t>
  </si>
  <si>
    <t>Bonus_To_Attacker</t>
  </si>
  <si>
    <t>Penalty_To_Defender</t>
  </si>
  <si>
    <t>Note</t>
  </si>
  <si>
    <t>Tag</t>
  </si>
  <si>
    <t>Anti-mobility Fighter: Contempt/Soul Reaper marks and executes blink/dash divers who commit onto him.</t>
  </si>
  <si>
    <t>Punishes sustained-mobility assassins that must stay in his kit range to deal damage.</t>
  </si>
  <si>
    <t>General mobility-tag matchup bonus for Phoveus.</t>
  </si>
  <si>
    <t>Hero</t>
  </si>
  <si>
    <t>Faramis' ultimate burst plus Army of the Dead shred Gloo's split-body sustain before he can re-form.</t>
  </si>
  <si>
    <t>Iron Hook interrupts dash/blink animations and yanks divers out of position.</t>
  </si>
  <si>
    <t>Bouncing Ball cancels dashes/blinks mid-animation, hard-locking mobility divers.</t>
  </si>
  <si>
    <t>Sturdiness plus Charging Roar punish sustained-mobility assassins.</t>
  </si>
  <si>
    <t>Shield absorbs global ultimates and burst combos, hard-countering dive compositions.</t>
  </si>
  <si>
    <t>Reverse Delay and Time Journey purge crowd control, hard-countering CC-reliant heroes.</t>
  </si>
  <si>
    <t>Aegis shield mitigates AoE poke/damage compositions.</t>
  </si>
  <si>
    <t>Damage reduction plus anti-heal wear down poke comps over time.</t>
  </si>
  <si>
    <t>Stealth and silence punish backline poke mages before they can kite.</t>
  </si>
  <si>
    <t>Ruby's leash/pull chains punish overextending dash divers.</t>
  </si>
  <si>
    <t>4) TAG GLOSSARY / REFERENCE  (informational — the 22 tags marked "In-use" are wired into Block 5 below)</t>
  </si>
  <si>
    <t>Category</t>
  </si>
  <si>
    <t>Example Heroes</t>
  </si>
  <si>
    <t>Status</t>
  </si>
  <si>
    <t>Damage Profile</t>
  </si>
  <si>
    <t>High, immediate damage designed to delete squishy targets.</t>
  </si>
  <si>
    <t>Saber, Eudora, Kadita</t>
  </si>
  <si>
    <t>In-use</t>
  </si>
  <si>
    <t>Sustained, continuous damage over time, usually from basic attacks.</t>
  </si>
  <si>
    <t>Miya, Claude, Moskov</t>
  </si>
  <si>
    <t>Long-range, safe chip damage to weaken enemies before a fight.</t>
  </si>
  <si>
    <t>Nana, Pharsa, Xavier</t>
  </si>
  <si>
    <t>Area of Effect damage that hits multiple targets.</t>
  </si>
  <si>
    <t>Alice, Odette, Vale</t>
  </si>
  <si>
    <t>Damage that ignores physical armor and magic resistance.</t>
  </si>
  <si>
    <t>Karrie, Lesley, X.Borg</t>
  </si>
  <si>
    <t>Damage that scales based on the target's missing HP.</t>
  </si>
  <si>
    <t>Balmond, Karina, Martis</t>
  </si>
  <si>
    <t>Crowd Control</t>
  </si>
  <si>
    <t>Completely stops enemy actions (Stun, Knock-up, Suppress, Freeze).</t>
  </si>
  <si>
    <t>Franco, Chou, Aurora</t>
  </si>
  <si>
    <t>Impairs movement or specific actions but allows retaliation (Slow, Root).</t>
  </si>
  <si>
    <t>Yve, Helcurt, Belerick</t>
  </si>
  <si>
    <t>Controls multiple enemies in an area.</t>
  </si>
  <si>
    <t>Tigreal, Atlas, Minotaur</t>
  </si>
  <si>
    <t>Point-and-click control that cannot be dodged by moving.</t>
  </si>
  <si>
    <t>Saber, Kaja, Eudora</t>
  </si>
  <si>
    <t>Instant or quick repositioning to engage or escape.</t>
  </si>
  <si>
    <t>Lancelot, Chou, Harith</t>
  </si>
  <si>
    <t>Continuous movement abilities or wall-scaling.</t>
  </si>
  <si>
    <t>Ling, Fanny, Joy</t>
  </si>
  <si>
    <t>Abilities that allow traversal across the entire map quickly.</t>
  </si>
  <si>
    <t>Aldous, Yu Zhong, Johnson</t>
  </si>
  <si>
    <t>General movement-enhancing abilities without extreme range.</t>
  </si>
  <si>
    <t>Correction</t>
  </si>
  <si>
    <t>Survivability</t>
  </si>
  <si>
    <t>High innate HP regeneration, Lifesteal, or Spell Vamp.</t>
  </si>
  <si>
    <t>Uranus, Alice, Ruby</t>
  </si>
  <si>
    <t>Generation of temporary hit points to absorb burst damage.</t>
  </si>
  <si>
    <t>Esmeralda, Mathilda, Lolita</t>
  </si>
  <si>
    <t>Invulnerability or untargetability frames to dodge skills.</t>
  </si>
  <si>
    <t>Lancelot, Benedetta, Wanwan</t>
  </si>
  <si>
    <t>Innate percentage-based damage mitigation.</t>
  </si>
  <si>
    <t>Terizla, Baxia, Khufra</t>
  </si>
  <si>
    <t>Utility</t>
  </si>
  <si>
    <t>Restoring HP to allies.</t>
  </si>
  <si>
    <t>Estes, Rafaela, Floryn</t>
  </si>
  <si>
    <t>Innate reduction of enemy lifesteal/regen without needing items.</t>
  </si>
  <si>
    <t>Abilities that reveal hidden enemies or map areas.</t>
  </si>
  <si>
    <t>Yi Sun-shin, Aldous, Selena</t>
  </si>
  <si>
    <t>Spawns units to fight, tank, or push.</t>
  </si>
  <si>
    <t>Zhask, Popol and Kupa, Sun</t>
  </si>
  <si>
    <t>Buff</t>
  </si>
  <si>
    <t>Grants bonus damage, CC immunity, or speed boost to self or allies.</t>
  </si>
  <si>
    <t>Mathilda, Rafaela, Angela</t>
  </si>
  <si>
    <t>Fandom wiki</t>
  </si>
  <si>
    <t>Morph</t>
  </si>
  <si>
    <t>The caster transforms with a unique set of abilities.</t>
  </si>
  <si>
    <t>Roger, X.Borg, Silvanna</t>
  </si>
  <si>
    <t>Stealth</t>
  </si>
  <si>
    <t>Camouflage or invisibility that hides the hero from enemies.</t>
  </si>
  <si>
    <t>Natalia, Aamon, Lesley</t>
  </si>
  <si>
    <t>Remove CC</t>
  </si>
  <si>
    <t>Removes debuffs or crowd control from self or allies.</t>
  </si>
  <si>
    <t>Death Immunity</t>
  </si>
  <si>
    <t>The caster cannot die from damage for the duration.</t>
  </si>
  <si>
    <t>5) STYLE / TAG INTERACTION MATRIX  (Attacker tag row -&gt; Defender tag column, points BEFORE style_mult)</t>
  </si>
  <si>
    <t>6) MANUAL OVERRIDES  (force an EXACT score for one specific Attacker -&gt; Defender pair; overrides all formulas above)</t>
  </si>
  <si>
    <t>Defender</t>
  </si>
  <si>
    <t>Score</t>
  </si>
  <si>
    <t>Key (auto - do not edit)</t>
  </si>
  <si>
    <t>MLBB HERO COUNTER MODEL — COMPUTATIONS ONLY</t>
  </si>
  <si>
    <t>This sheet explains ONLY how the numbers are calculated — the tag/point system, role weights, and the exact formulas — so you can edit the logic yourself later. All values that formulas read from live in the "Data-Input" sheet. Never hardcode a number into a formula; if a number needs to change, change it in Data-Input.</t>
  </si>
  <si>
    <t>1. WORKBOOK MAP</t>
  </si>
  <si>
    <t>• Heroes — one row per hero: role/role2, base stats (offense, ability_effects, durability, difficulty), and TAGS (style1/style2), damage_type, lane, power_spike/spike_order. This is the raw data. Not touched by this update.</t>
  </si>
  <si>
    <t>• Data-Input — the ONLY sheet you should edit. Contains: Global Weights, Role Matchup Matrix, Hard Counter Rules, Tag Glossary, Style/Tag Interaction Matrix, and Manual Overrides.</t>
  </si>
  <si>
    <t>• CounterCalculator — pick one Attacker + one Defender (dropdowns) and see a full component-by-component score breakdown.</t>
  </si>
  <si>
    <t>• LookupCalc — a hidden-ish engine sheet that computes the SAME score for all 133 heroes as candidate Attackers against whichever Defender is chosen on the Lookup sheet (cell Lookup!A1). This powers the Top-5 tables.</t>
  </si>
  <si>
    <t>• Lookup — pick a hero in A1 and see the Top 5 overall counters, plus Top 5 counters who also share that hero's lane.</t>
  </si>
  <si>
    <t>2. WHAT "TAGS" MEANS IN THIS MODEL</t>
  </si>
  <si>
    <t>Every hero has up to two tags: Heroes!style1 and Heroes!style2 (e.g. "Dash/Blink", "Burst", "Sustain", "Hard CC"). These are the hero's stylistic identity — how it deals damage, controls fights, and moves. The Data-Input Tag Glossary (Block 4) lists every known tag; the 22 tags marked "In-use" are the ones wired into the Style/Tag Interaction Matrix (Block 5) and therefore actually move the score. Tags marked "Fandom wiki" are reference-only and are not yet scored — promote one by adding it as a new row+column in Block 5.</t>
  </si>
  <si>
    <t>3. THE COUNTER SCORE FORMULA</t>
  </si>
  <si>
    <t>TOTAL COUNTER SCORE = Role Advantage + Stat + Difficulty Gap + Damage Type Advantage + Power Spike Timing + Style Matchup + Hard Counter Bonus  (then a Manual Override, if one exists for that exact pair, replaces this entire total).</t>
  </si>
  <si>
    <t>A positive score means the Attacker counters the Defender. Higher = stronger counter. Every component below can be re-weighted from Data-Input Block 1 (Global Weights) without touching any formula.</t>
  </si>
  <si>
    <t>3.1 Role Advantage</t>
  </si>
  <si>
    <t>Formula: MAX( RoleMatrix[Attacker.role -&gt; Defender.role] , RoleMatrix[Attacker.role2 -&gt; Defender.role] ) x role_mult</t>
  </si>
  <si>
    <t>RoleMatrix is Data-Input Block 2 (7x7, e.g. Assassin -&gt; Mage = +2). role_mult (default 5) scales it into score points. Attacker's secondary role (role2) is also checked and the better of the two is used, so a hybrid hero (e.g. Fighter/Assassin) gets credit for whichever role fits best against that Defender.</t>
  </si>
  <si>
    <t>3.2 Stat (Burst vs Durability)</t>
  </si>
  <si>
    <t>Formula: ((Attacker.offense + Attacker.ability_effects) / 2 − Defender.durability) x burst_mult</t>
  </si>
  <si>
    <t>Rewards attackers whose raw damage output outweighs the defender's tankiness. burst_mult (default 0.1) keeps this component small relative to Role Advantage and Hard Counter Bonus.</t>
  </si>
  <si>
    <t>3.3 Difficulty Gap</t>
  </si>
  <si>
    <t>Formula: IF( (Attacker.difficulty − Defender.difficulty) &gt; 20 , (Attacker.difficulty − Defender.difficulty) x diff_mult , 0 )</t>
  </si>
  <si>
    <t>Only kicks in when the Attacker is meaningfully harder to play than the Defender is threatening — a small execution-skill proxy. diff_mult default 0.3.</t>
  </si>
  <si>
    <t>3.4 Damage Type Advantage</t>
  </si>
  <si>
    <t>Formula: IF(Attacker.damage_type = "Mixed", dmgtype_mixed, IF(Attacker.damage_type = Defender.damage_type, dmgtype_same, dmgtype_diff))</t>
  </si>
  <si>
    <t>Defaults: Mixed = +5, same type as defender = -2 (defender itemizes one resistance and blocks both), different type = +3 (harder for defender to itemize against both).</t>
  </si>
  <si>
    <t>3.5 Power Spike Timing</t>
  </si>
  <si>
    <t>Formula: (Attacker.spike_order − Defender.spike_order) x spike_mult</t>
  </si>
  <si>
    <t>spike_order is a 1(earliest)-5(latest) rank of when a hero is strongest. A positive gap means the Attacker peaks later than the Defender, i.e. can outlast/outscale them. spike_mult default 3.</t>
  </si>
  <si>
    <t>3.6 Style Matchup  (the core Tag-vs-Tag component)</t>
  </si>
  <si>
    <t>Formula: MAX of up to 4 lookups — (Attacker.style1 or style2) vs (Defender.style1 or style2) — read from the Style/Tag Interaction Matrix (Data-Input Block 5), x style_mult (default 5).</t>
  </si>
  <si>
    <t>Example: Attacker style "Hard CC" vs Defender style "High Mobility" = +2 in Block 5 (CC heroes are strong vs high-mobility divers who need to commit to their engage). This component is what previously was MISSING from the Top-5 ranking engine (LookupCalc) in the old file — it has now been added, so tags actually move the rankings, not just the single-pair calculator.</t>
  </si>
  <si>
    <t>3.7 Hard Counter Bonus  (named-hero and tag-triggered special cases — NEW)</t>
  </si>
  <si>
    <t>This is the mechanism behind things like "Phoveus hard-counters dash/blink divers" and "Faramis hard-counters Gloo" — matchups that are stronger than the generic tag system can express, because they hinge on one hero's specific kit.</t>
  </si>
  <si>
    <t>Data-Input Block 3 (Hard Counter Rules) has one row per rule: Attacker (a specific hero name), ConditionType (either "Tag" or "Hero"), ConditionValue, Bonus_To_Attacker, Penalty_To_Defender (stored as a NEGATIVE number), and a Note.</t>
  </si>
  <si>
    <t xml:space="preserve">  • ConditionType = "Tag": the rule fires if the Defender's style1 OR style2 equals ConditionValue. Example: Phoveus | Tag | Dash/Blink | +18 | -25 → any hero tagged Dash/Blink (Harith, Paquito, Lancelot, etc.) gets hit with this rule when Phoveus is the Attacker.</t>
  </si>
  <si>
    <t xml:space="preserve">  • ConditionType = "Hero": the rule fires only if the Defender IS that specific named hero. Example: Faramis | Hero | Gloo | +20 | -18 → only fires for Faramis vs Gloo specifically, not Faramis vs other Sustain-tagged heroes.</t>
  </si>
  <si>
    <t>Score contribution per matching rule = Bonus_To_Attacker − Penalty_To_Defender. Since Penalty_To_Defender is stored negative, subtracting it ADDS its magnitude — e.g. Bonus 18, Penalty -25 → contributes +43 to the score. Both numbers are kept separate (rather than one merged number) purely so each can be tuned independently: Bonus_To_Attacker represents "how much better the attacker's kit performs," Penalty_To_Defender represents "how much worse the defender's kit performs" against that specific matchup — increase the Bonus to buff the counter-hero's offense, or make the Penalty more negative to punish the countered tag/hero harder.</t>
  </si>
  <si>
    <t>A hero can match MULTIPLE rules at once if it has two tags that both appear as ConditionValue for the same Attacker (all matching rules stack — this is intentional, since a hero like Fanny that is both Burst and High Mobility should be punished for both if you write rules for both).</t>
  </si>
  <si>
    <t>TO ADD A NEW HARD COUNTER: go to Data-Input Block 3 and add a new row in the same format. No formula anywhere needs to change — every formula reads this table dynamically by scanning all rows.</t>
  </si>
  <si>
    <t>4. MANUAL OVERRIDES  (escape hatch)</t>
  </si>
  <si>
    <t>Data-Input Block 6 lets you force an exact score for one specific Attacker -&gt; Defender pair, bypassing every formula above entirely (useful for meta calls the formula genuinely cannot capture). Fill in Attacker, Defender, and Score; the "Key" column concatenates them automatically for lookups — do not edit Key.</t>
  </si>
  <si>
    <t>Overrides apply in ONE direction only (Attacker -&gt; Defender as written) — add a second row for the reverse pairing if needed.</t>
  </si>
  <si>
    <t>5. WORKED EXAMPLE: Phoveus (Attacker) vs Harith (Defender)</t>
  </si>
  <si>
    <t>Role Advantage: Fighter vs Mage = +1 x role_mult(5) = 5</t>
  </si>
  <si>
    <t>Stat: ((70+30)/2 − 40) x burst_mult(0.1) = 1</t>
  </si>
  <si>
    <t>Difficulty Gap: (30−50) is not &gt;20, so = 0</t>
  </si>
  <si>
    <t>Damage Type Advantage: Phoveus = Mixed → dmgtype_mixed = 5</t>
  </si>
  <si>
    <t>Power Spike Timing: (3−3) x spike_mult(3) = 0</t>
  </si>
  <si>
    <t>Style Matchup: Phoveus(Shield/Burst) vs Harith(Shield/Dash-Blink) best cell = 0</t>
  </si>
  <si>
    <t>Hard Counter Bonus: Harith is tagged Dash/Blink → Phoveus rule fires: 18 − (−25) = 43</t>
  </si>
  <si>
    <t>TOTAL = 5+1+0+5+0+0+43 = 54  → Phoveus ranks #1 counter for Harith in the Lookup sheet.</t>
  </si>
  <si>
    <t>6. WORKED EXAMPLE: Faramis (Attacker) vs Gloo (Defender)</t>
  </si>
  <si>
    <t>Role Advantage: Support vs Tank = -1, but role2 Mage vs Tank = +1 → MAX = +1 x role_mult(5) = 5</t>
  </si>
  <si>
    <t>Stat: ((60+10)/2 − 100) x 0.1 = -6.5</t>
  </si>
  <si>
    <t>Difficulty Gap: (40−70) not &gt;20 → 0</t>
  </si>
  <si>
    <t>Damage Type Advantage: both Magic → dmgtype_same = -2</t>
  </si>
  <si>
    <t>Power Spike Timing: (5−2) x 3 = 9</t>
  </si>
  <si>
    <t>Style Matchup: best cell among Faramis(Healing/AoE Damage) vs Gloo(Sustain/Targeted CC) = 0</t>
  </si>
  <si>
    <t>Hard Counter Bonus: Faramis | Hero | Gloo rule fires: 20 − (−18) = 38</t>
  </si>
  <si>
    <t>TOTAL = 5 − 6.5 + 0 − 2 + 9 + 0 + 38 = 43.5  → Faramis ranks #1 counter for Gloo in the Lookup sheet.</t>
  </si>
  <si>
    <t>7. EDITING CHECKLIST</t>
  </si>
  <si>
    <t>☐ Re-balance a role matchup → Data-Input Block 2.</t>
  </si>
  <si>
    <t>☐ Re-balance how much a tag beats another tag in general → Data-Input Block 5 (Style/Tag Interaction Matrix).</t>
  </si>
  <si>
    <t>☐ Add/adjust a named hard counter (like Phoveus vs dash/mobility, or Faramis vs Gloo) → Data-Input Block 3.</t>
  </si>
  <si>
    <t>☐ Force one specific pair to a fixed score → Data-Input Block 6 (Manual Overrides).</t>
  </si>
  <si>
    <t>☐ Change how much any component matters overall → Data-Input Block 1 (Global Weights).</t>
  </si>
  <si>
    <t>☐ Add a brand-new hero → Heroes sheet (add a new row with the same columns as existing heroes). It will automatically appear in every dropdown, the Style Matchup engine, and the Lookup rankings.</t>
  </si>
  <si>
    <t>☐ Add a brand-new tag → give it a row AND column in Data-Input Block 5, and add it to the Tag Glossary in Block 4 for documentation purposes.</t>
  </si>
  <si>
    <t>MLBB Counter Calculator</t>
  </si>
  <si>
    <t>ATTACKER (auto)</t>
  </si>
  <si>
    <t>DEFENDER (auto)</t>
  </si>
  <si>
    <t>WEIGHTS (auto)</t>
  </si>
  <si>
    <t>Attacker:</t>
  </si>
  <si>
    <t>Defender:</t>
  </si>
  <si>
    <t>Role</t>
  </si>
  <si>
    <t>Role2</t>
  </si>
  <si>
    <t>Score Breakdown</t>
  </si>
  <si>
    <t>Offense</t>
  </si>
  <si>
    <t>Durability</t>
  </si>
  <si>
    <t>Component</t>
  </si>
  <si>
    <t>Ability Effects</t>
  </si>
  <si>
    <t>Difficulty</t>
  </si>
  <si>
    <t>Role Advantage</t>
  </si>
  <si>
    <t>Style1</t>
  </si>
  <si>
    <t>Stat (Burst vs Durability)</t>
  </si>
  <si>
    <t>Style2</t>
  </si>
  <si>
    <t>Difficulty Gap</t>
  </si>
  <si>
    <t>Damage Type</t>
  </si>
  <si>
    <t>Damage Type Advantage</t>
  </si>
  <si>
    <t>Spike Order</t>
  </si>
  <si>
    <t>Power Spike Timing</t>
  </si>
  <si>
    <t>Style Matchup</t>
  </si>
  <si>
    <t>Hard Counter Bonus (named-hero / tag rules)</t>
  </si>
  <si>
    <t>Base Total (sum of components)</t>
  </si>
  <si>
    <t>Manual Override</t>
  </si>
  <si>
    <t>TOTAL COUNTER SCORE</t>
  </si>
  <si>
    <t>Tip: pick heroes in B3 (Attacker) and D3 (Defender) above. Positive score = Attacker counters Defender. Row 13 reflects any named Hard Counter Rule (see Data-Input, Block 3).</t>
  </si>
  <si>
    <t>Top 5 — Overall Counters</t>
  </si>
  <si>
    <t>Counter Name</t>
  </si>
  <si>
    <t>Lane1 (helper)</t>
  </si>
  <si>
    <t>Lane Sort Key (helper)</t>
  </si>
  <si>
    <t>Style1 (helper)</t>
  </si>
  <si>
    <t>Style2 (helper)</t>
  </si>
  <si>
    <t>Style Matchup (component)</t>
  </si>
  <si>
    <t>Hard Counter Bonus (component)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</si>
</sst>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4"/>
      <name val="Cambria"/>
      <charset val="1"/>
    </font>
    <font>
      <i/>
      <sz val="10"/>
      <name val="Calibri"/>
      <charset val="1"/>
    </font>
    <font>
      <sz val="11"/>
      <name val="Calibri"/>
      <charset val="1"/>
    </font>
    <font>
      <b/>
      <sz val="16"/>
      <name val="Cambria"/>
      <charset val="1"/>
    </font>
    <font>
      <b/>
      <sz val="13"/>
      <color rgb="FF1F4E78"/>
      <name val="Cambria"/>
      <charset val="1"/>
    </font>
    <font>
      <b/>
      <sz val="11"/>
      <color rgb="FF1F4E78"/>
      <name val="Cambria"/>
      <charset val="1"/>
    </font>
    <font>
      <sz val="10"/>
      <name val="Consolas"/>
      <charset val="1"/>
    </font>
    <font>
      <b/>
      <i/>
      <sz val="9"/>
      <color rgb="FF595959"/>
      <name val="Calibri"/>
      <charset val="1"/>
    </font>
    <font>
      <i/>
      <sz val="9"/>
      <color rgb="FF808080"/>
      <name val="Calibri"/>
      <charset val="1"/>
    </font>
    <font>
      <b/>
      <sz val="12"/>
      <name val="Cambria"/>
      <charset val="1"/>
    </font>
    <font>
      <b/>
      <sz val="11"/>
      <name val="Calibri"/>
      <charset val="1"/>
    </font>
    <font>
      <b/>
      <sz val="13"/>
      <color rgb="FFFFFFFF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4472C4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8" fillId="0" borderId="0" xfId="0" applyFont="1" applyAlignment="1">
      <alignment vertical="top" wrapText="1"/>
    </xf>
    <xf numFmtId="0" fontId="6" fillId="2" borderId="0" xfId="0" applyFont="1" applyFill="1"/>
    <xf numFmtId="0" fontId="4" fillId="0" borderId="0" xfId="0" applyFont="1" applyAlignment="1">
      <alignment vertical="top" wrapText="1"/>
    </xf>
    <xf numFmtId="0" fontId="1" fillId="2" borderId="0" xfId="0" applyFont="1" applyFill="1"/>
    <xf numFmtId="0" fontId="3" fillId="0" borderId="0" xfId="0" applyFont="1"/>
    <xf numFmtId="0" fontId="2" fillId="0" borderId="0" xfId="0" applyFont="1"/>
    <xf numFmtId="0" fontId="1" fillId="0" borderId="0" xfId="0" applyFont="1"/>
    <xf numFmtId="0" fontId="1" fillId="3" borderId="0" xfId="0" applyFont="1" applyFill="1"/>
    <xf numFmtId="0" fontId="4" fillId="0" borderId="0" xfId="0" applyFont="1"/>
    <xf numFmtId="0" fontId="4" fillId="4" borderId="0" xfId="0" applyFont="1" applyFill="1"/>
    <xf numFmtId="0" fontId="0" fillId="4" borderId="0" xfId="0" applyFill="1"/>
    <xf numFmtId="0" fontId="5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2" fontId="4" fillId="0" borderId="0" xfId="0" applyNumberFormat="1" applyFont="1"/>
    <xf numFmtId="0" fontId="12" fillId="0" borderId="0" xfId="0" applyFont="1"/>
    <xf numFmtId="2" fontId="12" fillId="0" borderId="0" xfId="0" applyNumberFormat="1" applyFont="1"/>
    <xf numFmtId="0" fontId="13" fillId="5" borderId="0" xfId="0" applyFont="1" applyFill="1"/>
    <xf numFmtId="2" fontId="13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eroes" displayName="Heroes" ref="A1:Q134" totalsRowShown="0">
  <autoFilter ref="A1:Q134" xr:uid="{00000000-0009-0000-0100-000001000000}"/>
  <tableColumns count="17">
    <tableColumn id="1" xr3:uid="{00000000-0010-0000-0000-000001000000}" name="id"/>
    <tableColumn id="2" xr3:uid="{00000000-0010-0000-0000-000002000000}" name="name"/>
    <tableColumn id="3" xr3:uid="{00000000-0010-0000-0000-000003000000}" name="role"/>
    <tableColumn id="4" xr3:uid="{00000000-0010-0000-0000-000004000000}" name="role2"/>
    <tableColumn id="5" xr3:uid="{00000000-0010-0000-0000-000005000000}" name="offense"/>
    <tableColumn id="6" xr3:uid="{00000000-0010-0000-0000-000006000000}" name="ability_effects"/>
    <tableColumn id="7" xr3:uid="{00000000-0010-0000-0000-000007000000}" name="durability"/>
    <tableColumn id="8" xr3:uid="{00000000-0010-0000-0000-000008000000}" name="difficulty"/>
    <tableColumn id="9" xr3:uid="{00000000-0010-0000-0000-000009000000}" name="style1"/>
    <tableColumn id="10" xr3:uid="{00000000-0010-0000-0000-00000A000000}" name="style2"/>
    <tableColumn id="11" xr3:uid="{00000000-0010-0000-0000-00000B000000}" name="damage_type"/>
    <tableColumn id="12" xr3:uid="{00000000-0010-0000-0000-00000C000000}" name="range_type"/>
    <tableColumn id="13" xr3:uid="{00000000-0010-0000-0000-00000D000000}" name="lane1"/>
    <tableColumn id="14" xr3:uid="{00000000-0010-0000-0000-00000E000000}" name="lane2"/>
    <tableColumn id="15" xr3:uid="{00000000-0010-0000-0000-00000F000000}" name="power_spike"/>
    <tableColumn id="16" xr3:uid="{00000000-0010-0000-0000-000010000000}" name="resource"/>
    <tableColumn id="17" xr3:uid="{00000000-0010-0000-0000-000011000000}" name="spike_ord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"/>
  <sheetViews>
    <sheetView zoomScaleNormal="100" workbookViewId="0"/>
  </sheetViews>
  <sheetFormatPr defaultColWidth="8.6640625" defaultRowHeight="14.4" x14ac:dyDescent="0.3"/>
  <cols>
    <col min="1" max="5" width="15" customWidth="1"/>
    <col min="6" max="6" width="18" customWidth="1"/>
    <col min="7" max="17" width="15" customWidth="1"/>
  </cols>
  <sheetData>
    <row r="1" spans="1:17" ht="1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7" ht="15" customHeight="1" x14ac:dyDescent="0.3">
      <c r="A2" t="s">
        <v>17</v>
      </c>
      <c r="B2" t="s">
        <v>18</v>
      </c>
      <c r="C2" t="s">
        <v>19</v>
      </c>
      <c r="E2">
        <v>70</v>
      </c>
      <c r="F2">
        <v>40</v>
      </c>
      <c r="G2">
        <v>10</v>
      </c>
      <c r="H2">
        <v>10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O2" t="s">
        <v>25</v>
      </c>
      <c r="P2" t="s">
        <v>26</v>
      </c>
      <c r="Q2">
        <v>5</v>
      </c>
    </row>
    <row r="3" spans="1:17" ht="15" customHeight="1" x14ac:dyDescent="0.3">
      <c r="A3" t="s">
        <v>27</v>
      </c>
      <c r="B3" t="s">
        <v>28</v>
      </c>
      <c r="C3" t="s">
        <v>29</v>
      </c>
      <c r="E3">
        <v>30</v>
      </c>
      <c r="F3">
        <v>20</v>
      </c>
      <c r="G3">
        <v>80</v>
      </c>
      <c r="H3">
        <v>10</v>
      </c>
      <c r="I3" t="s">
        <v>30</v>
      </c>
      <c r="J3" t="s">
        <v>31</v>
      </c>
      <c r="K3" t="s">
        <v>22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>
        <v>3</v>
      </c>
    </row>
    <row r="4" spans="1:17" ht="15" customHeight="1" x14ac:dyDescent="0.3">
      <c r="A4" t="s">
        <v>37</v>
      </c>
      <c r="B4" t="s">
        <v>38</v>
      </c>
      <c r="C4" t="s">
        <v>39</v>
      </c>
      <c r="E4">
        <v>60</v>
      </c>
      <c r="F4">
        <v>60</v>
      </c>
      <c r="G4">
        <v>20</v>
      </c>
      <c r="H4">
        <v>10</v>
      </c>
      <c r="I4" t="s">
        <v>40</v>
      </c>
      <c r="J4" t="s">
        <v>41</v>
      </c>
      <c r="K4" t="s">
        <v>22</v>
      </c>
      <c r="L4" t="s">
        <v>32</v>
      </c>
      <c r="M4" t="s">
        <v>33</v>
      </c>
      <c r="N4" t="s">
        <v>42</v>
      </c>
      <c r="O4" t="s">
        <v>43</v>
      </c>
      <c r="P4" t="s">
        <v>26</v>
      </c>
      <c r="Q4">
        <v>2</v>
      </c>
    </row>
    <row r="5" spans="1:17" ht="15" customHeight="1" x14ac:dyDescent="0.3">
      <c r="A5" t="s">
        <v>44</v>
      </c>
      <c r="B5" t="s">
        <v>45</v>
      </c>
      <c r="C5" t="s">
        <v>46</v>
      </c>
      <c r="E5">
        <v>50</v>
      </c>
      <c r="F5">
        <v>70</v>
      </c>
      <c r="G5">
        <v>50</v>
      </c>
      <c r="H5">
        <v>70</v>
      </c>
      <c r="I5" t="s">
        <v>30</v>
      </c>
      <c r="J5" t="s">
        <v>21</v>
      </c>
      <c r="K5" t="s">
        <v>47</v>
      </c>
      <c r="L5" t="s">
        <v>32</v>
      </c>
      <c r="M5" t="s">
        <v>34</v>
      </c>
      <c r="N5" t="s">
        <v>33</v>
      </c>
      <c r="O5" t="s">
        <v>25</v>
      </c>
      <c r="P5" t="s">
        <v>36</v>
      </c>
      <c r="Q5">
        <v>5</v>
      </c>
    </row>
    <row r="6" spans="1:17" ht="15" customHeight="1" x14ac:dyDescent="0.3">
      <c r="A6" t="s">
        <v>48</v>
      </c>
      <c r="B6" t="s">
        <v>49</v>
      </c>
      <c r="C6" t="s">
        <v>46</v>
      </c>
      <c r="E6">
        <v>60</v>
      </c>
      <c r="F6">
        <v>100</v>
      </c>
      <c r="G6">
        <v>50</v>
      </c>
      <c r="H6">
        <v>10</v>
      </c>
      <c r="I6" t="s">
        <v>50</v>
      </c>
      <c r="J6" t="s">
        <v>51</v>
      </c>
      <c r="K6" t="s">
        <v>47</v>
      </c>
      <c r="L6" t="s">
        <v>23</v>
      </c>
      <c r="M6" t="s">
        <v>52</v>
      </c>
      <c r="O6" t="s">
        <v>35</v>
      </c>
      <c r="P6" t="s">
        <v>26</v>
      </c>
      <c r="Q6">
        <v>3</v>
      </c>
    </row>
    <row r="7" spans="1:17" ht="15" customHeight="1" x14ac:dyDescent="0.3">
      <c r="A7" t="s">
        <v>53</v>
      </c>
      <c r="B7" t="s">
        <v>54</v>
      </c>
      <c r="C7" t="s">
        <v>55</v>
      </c>
      <c r="E7">
        <v>10</v>
      </c>
      <c r="F7">
        <v>100</v>
      </c>
      <c r="G7">
        <v>80</v>
      </c>
      <c r="H7">
        <v>10</v>
      </c>
      <c r="I7" t="s">
        <v>56</v>
      </c>
      <c r="J7" t="s">
        <v>57</v>
      </c>
      <c r="K7" t="s">
        <v>22</v>
      </c>
      <c r="L7" t="s">
        <v>32</v>
      </c>
      <c r="M7" t="s">
        <v>42</v>
      </c>
      <c r="O7" t="s">
        <v>43</v>
      </c>
      <c r="P7" t="s">
        <v>26</v>
      </c>
      <c r="Q7">
        <v>2</v>
      </c>
    </row>
    <row r="8" spans="1:17" ht="15" customHeight="1" x14ac:dyDescent="0.3">
      <c r="A8" t="s">
        <v>58</v>
      </c>
      <c r="B8" t="s">
        <v>59</v>
      </c>
      <c r="C8" t="s">
        <v>29</v>
      </c>
      <c r="D8" t="s">
        <v>39</v>
      </c>
      <c r="E8">
        <v>50</v>
      </c>
      <c r="F8">
        <v>10</v>
      </c>
      <c r="G8">
        <v>50</v>
      </c>
      <c r="H8">
        <v>40</v>
      </c>
      <c r="I8" t="s">
        <v>30</v>
      </c>
      <c r="J8" t="s">
        <v>20</v>
      </c>
      <c r="K8" t="s">
        <v>22</v>
      </c>
      <c r="L8" t="s">
        <v>32</v>
      </c>
      <c r="M8" t="s">
        <v>33</v>
      </c>
      <c r="O8" t="s">
        <v>35</v>
      </c>
      <c r="P8" t="s">
        <v>36</v>
      </c>
      <c r="Q8">
        <v>3</v>
      </c>
    </row>
    <row r="9" spans="1:17" ht="15" customHeight="1" x14ac:dyDescent="0.3">
      <c r="A9" t="s">
        <v>60</v>
      </c>
      <c r="B9" t="s">
        <v>61</v>
      </c>
      <c r="C9" t="s">
        <v>39</v>
      </c>
      <c r="E9">
        <v>70</v>
      </c>
      <c r="F9">
        <v>10</v>
      </c>
      <c r="G9">
        <v>50</v>
      </c>
      <c r="H9">
        <v>40</v>
      </c>
      <c r="I9" t="s">
        <v>40</v>
      </c>
      <c r="J9" t="s">
        <v>31</v>
      </c>
      <c r="K9" t="s">
        <v>47</v>
      </c>
      <c r="L9" t="s">
        <v>32</v>
      </c>
      <c r="M9" t="s">
        <v>33</v>
      </c>
      <c r="O9" t="s">
        <v>43</v>
      </c>
      <c r="P9" t="s">
        <v>26</v>
      </c>
      <c r="Q9">
        <v>2</v>
      </c>
    </row>
    <row r="10" spans="1:17" ht="15" customHeight="1" x14ac:dyDescent="0.3">
      <c r="A10" t="s">
        <v>62</v>
      </c>
      <c r="B10" t="s">
        <v>63</v>
      </c>
      <c r="C10" t="s">
        <v>55</v>
      </c>
      <c r="E10">
        <v>30</v>
      </c>
      <c r="F10">
        <v>90</v>
      </c>
      <c r="G10">
        <v>90</v>
      </c>
      <c r="H10">
        <v>30</v>
      </c>
      <c r="I10" t="s">
        <v>57</v>
      </c>
      <c r="J10" t="s">
        <v>64</v>
      </c>
      <c r="K10" t="s">
        <v>22</v>
      </c>
      <c r="L10" t="s">
        <v>32</v>
      </c>
      <c r="M10" t="s">
        <v>42</v>
      </c>
      <c r="O10" t="s">
        <v>43</v>
      </c>
      <c r="P10" t="s">
        <v>26</v>
      </c>
      <c r="Q10">
        <v>2</v>
      </c>
    </row>
    <row r="11" spans="1:17" ht="15" customHeight="1" x14ac:dyDescent="0.3">
      <c r="A11" t="s">
        <v>65</v>
      </c>
      <c r="B11" t="s">
        <v>66</v>
      </c>
      <c r="C11" t="s">
        <v>55</v>
      </c>
      <c r="E11">
        <v>10</v>
      </c>
      <c r="F11">
        <v>100</v>
      </c>
      <c r="G11">
        <v>80</v>
      </c>
      <c r="H11">
        <v>20</v>
      </c>
      <c r="I11" t="s">
        <v>41</v>
      </c>
      <c r="J11" t="s">
        <v>57</v>
      </c>
      <c r="K11" t="s">
        <v>22</v>
      </c>
      <c r="L11" t="s">
        <v>32</v>
      </c>
      <c r="M11" t="s">
        <v>42</v>
      </c>
      <c r="O11" t="s">
        <v>43</v>
      </c>
      <c r="P11" t="s">
        <v>26</v>
      </c>
      <c r="Q11">
        <v>2</v>
      </c>
    </row>
    <row r="12" spans="1:17" ht="15" customHeight="1" x14ac:dyDescent="0.3">
      <c r="A12" t="s">
        <v>67</v>
      </c>
      <c r="B12" t="s">
        <v>68</v>
      </c>
      <c r="C12" t="s">
        <v>29</v>
      </c>
      <c r="D12" t="s">
        <v>46</v>
      </c>
      <c r="E12">
        <v>60</v>
      </c>
      <c r="F12">
        <v>40</v>
      </c>
      <c r="G12">
        <v>50</v>
      </c>
      <c r="H12">
        <v>30</v>
      </c>
      <c r="I12" t="s">
        <v>50</v>
      </c>
      <c r="J12" t="s">
        <v>21</v>
      </c>
      <c r="K12" t="s">
        <v>69</v>
      </c>
      <c r="L12" t="s">
        <v>32</v>
      </c>
      <c r="M12" t="s">
        <v>33</v>
      </c>
      <c r="N12" t="s">
        <v>34</v>
      </c>
      <c r="O12" t="s">
        <v>35</v>
      </c>
      <c r="P12" t="s">
        <v>26</v>
      </c>
      <c r="Q12">
        <v>3</v>
      </c>
    </row>
    <row r="13" spans="1:17" ht="15" customHeight="1" x14ac:dyDescent="0.3">
      <c r="A13" t="s">
        <v>70</v>
      </c>
      <c r="B13" t="s">
        <v>71</v>
      </c>
      <c r="C13" t="s">
        <v>19</v>
      </c>
      <c r="E13">
        <v>60</v>
      </c>
      <c r="F13">
        <v>20</v>
      </c>
      <c r="G13">
        <v>20</v>
      </c>
      <c r="H13">
        <v>50</v>
      </c>
      <c r="I13" t="s">
        <v>20</v>
      </c>
      <c r="J13" t="s">
        <v>40</v>
      </c>
      <c r="K13" t="s">
        <v>22</v>
      </c>
      <c r="L13" t="s">
        <v>23</v>
      </c>
      <c r="M13" t="s">
        <v>24</v>
      </c>
      <c r="O13" t="s">
        <v>25</v>
      </c>
      <c r="P13" t="s">
        <v>26</v>
      </c>
      <c r="Q13">
        <v>5</v>
      </c>
    </row>
    <row r="14" spans="1:17" ht="15" customHeight="1" x14ac:dyDescent="0.3">
      <c r="A14" t="s">
        <v>72</v>
      </c>
      <c r="B14" t="s">
        <v>73</v>
      </c>
      <c r="C14" t="s">
        <v>19</v>
      </c>
      <c r="E14">
        <v>70</v>
      </c>
      <c r="F14">
        <v>40</v>
      </c>
      <c r="G14">
        <v>30</v>
      </c>
      <c r="H14">
        <v>70</v>
      </c>
      <c r="I14" t="s">
        <v>40</v>
      </c>
      <c r="J14" t="s">
        <v>50</v>
      </c>
      <c r="K14" t="s">
        <v>22</v>
      </c>
      <c r="L14" t="s">
        <v>23</v>
      </c>
      <c r="M14" t="s">
        <v>24</v>
      </c>
      <c r="O14" t="s">
        <v>74</v>
      </c>
      <c r="P14" t="s">
        <v>26</v>
      </c>
      <c r="Q14">
        <v>4</v>
      </c>
    </row>
    <row r="15" spans="1:17" ht="15" customHeight="1" x14ac:dyDescent="0.3">
      <c r="A15" t="s">
        <v>75</v>
      </c>
      <c r="B15" t="s">
        <v>76</v>
      </c>
      <c r="C15" t="s">
        <v>77</v>
      </c>
      <c r="E15">
        <v>20</v>
      </c>
      <c r="F15">
        <v>70</v>
      </c>
      <c r="G15">
        <v>60</v>
      </c>
      <c r="H15">
        <v>20</v>
      </c>
      <c r="I15" t="s">
        <v>78</v>
      </c>
      <c r="J15" t="s">
        <v>51</v>
      </c>
      <c r="K15" t="s">
        <v>47</v>
      </c>
      <c r="L15" t="s">
        <v>23</v>
      </c>
      <c r="M15" t="s">
        <v>42</v>
      </c>
      <c r="O15" t="s">
        <v>43</v>
      </c>
      <c r="P15" t="s">
        <v>26</v>
      </c>
      <c r="Q15">
        <v>2</v>
      </c>
    </row>
    <row r="16" spans="1:17" ht="15" customHeight="1" x14ac:dyDescent="0.3">
      <c r="A16" t="s">
        <v>79</v>
      </c>
      <c r="B16" t="s">
        <v>80</v>
      </c>
      <c r="C16" t="s">
        <v>46</v>
      </c>
      <c r="E16">
        <v>80</v>
      </c>
      <c r="F16">
        <v>80</v>
      </c>
      <c r="G16">
        <v>10</v>
      </c>
      <c r="H16">
        <v>10</v>
      </c>
      <c r="I16" t="s">
        <v>40</v>
      </c>
      <c r="J16" t="s">
        <v>41</v>
      </c>
      <c r="K16" t="s">
        <v>47</v>
      </c>
      <c r="L16" t="s">
        <v>23</v>
      </c>
      <c r="M16" t="s">
        <v>52</v>
      </c>
      <c r="O16" t="s">
        <v>35</v>
      </c>
      <c r="P16" t="s">
        <v>26</v>
      </c>
      <c r="Q16">
        <v>3</v>
      </c>
    </row>
    <row r="17" spans="1:17" ht="15" customHeight="1" x14ac:dyDescent="0.3">
      <c r="A17" t="s">
        <v>81</v>
      </c>
      <c r="B17" t="s">
        <v>82</v>
      </c>
      <c r="C17" t="s">
        <v>29</v>
      </c>
      <c r="D17" t="s">
        <v>39</v>
      </c>
      <c r="E17">
        <v>50</v>
      </c>
      <c r="F17">
        <v>60</v>
      </c>
      <c r="G17">
        <v>20</v>
      </c>
      <c r="H17">
        <v>10</v>
      </c>
      <c r="I17" t="s">
        <v>40</v>
      </c>
      <c r="J17" t="s">
        <v>83</v>
      </c>
      <c r="K17" t="s">
        <v>22</v>
      </c>
      <c r="L17" t="s">
        <v>32</v>
      </c>
      <c r="M17" t="s">
        <v>34</v>
      </c>
      <c r="O17" t="s">
        <v>35</v>
      </c>
      <c r="P17" t="s">
        <v>26</v>
      </c>
      <c r="Q17">
        <v>3</v>
      </c>
    </row>
    <row r="18" spans="1:17" ht="15" customHeight="1" x14ac:dyDescent="0.3">
      <c r="A18" t="s">
        <v>84</v>
      </c>
      <c r="B18" t="s">
        <v>85</v>
      </c>
      <c r="C18" t="s">
        <v>39</v>
      </c>
      <c r="E18">
        <v>70</v>
      </c>
      <c r="F18">
        <v>10</v>
      </c>
      <c r="G18">
        <v>60</v>
      </c>
      <c r="H18">
        <v>100</v>
      </c>
      <c r="I18" t="s">
        <v>86</v>
      </c>
      <c r="J18" t="s">
        <v>40</v>
      </c>
      <c r="K18" t="s">
        <v>22</v>
      </c>
      <c r="L18" t="s">
        <v>32</v>
      </c>
      <c r="M18" t="s">
        <v>33</v>
      </c>
      <c r="O18" t="s">
        <v>87</v>
      </c>
      <c r="P18" t="s">
        <v>88</v>
      </c>
      <c r="Q18">
        <v>1</v>
      </c>
    </row>
    <row r="19" spans="1:17" ht="15" customHeight="1" x14ac:dyDescent="0.3">
      <c r="A19" t="s">
        <v>89</v>
      </c>
      <c r="B19" t="s">
        <v>90</v>
      </c>
      <c r="C19" t="s">
        <v>19</v>
      </c>
      <c r="E19">
        <v>80</v>
      </c>
      <c r="F19">
        <v>10</v>
      </c>
      <c r="G19">
        <v>10</v>
      </c>
      <c r="H19">
        <v>10</v>
      </c>
      <c r="I19" t="s">
        <v>20</v>
      </c>
      <c r="J19" t="s">
        <v>50</v>
      </c>
      <c r="K19" t="s">
        <v>22</v>
      </c>
      <c r="L19" t="s">
        <v>23</v>
      </c>
      <c r="M19" t="s">
        <v>24</v>
      </c>
      <c r="O19" t="s">
        <v>25</v>
      </c>
      <c r="P19" t="s">
        <v>26</v>
      </c>
      <c r="Q19">
        <v>5</v>
      </c>
    </row>
    <row r="20" spans="1:17" ht="15" customHeight="1" x14ac:dyDescent="0.3">
      <c r="A20" t="s">
        <v>91</v>
      </c>
      <c r="B20" t="s">
        <v>92</v>
      </c>
      <c r="C20" t="s">
        <v>55</v>
      </c>
      <c r="D20" t="s">
        <v>77</v>
      </c>
      <c r="E20">
        <v>10</v>
      </c>
      <c r="F20">
        <v>80</v>
      </c>
      <c r="G20">
        <v>100</v>
      </c>
      <c r="H20">
        <v>40</v>
      </c>
      <c r="I20" t="s">
        <v>56</v>
      </c>
      <c r="J20" t="s">
        <v>78</v>
      </c>
      <c r="K20" t="s">
        <v>22</v>
      </c>
      <c r="L20" t="s">
        <v>32</v>
      </c>
      <c r="M20" t="s">
        <v>42</v>
      </c>
      <c r="O20" t="s">
        <v>35</v>
      </c>
      <c r="P20" t="s">
        <v>36</v>
      </c>
      <c r="Q20">
        <v>3</v>
      </c>
    </row>
    <row r="21" spans="1:17" ht="15" customHeight="1" x14ac:dyDescent="0.3">
      <c r="A21" t="s">
        <v>93</v>
      </c>
      <c r="B21" t="s">
        <v>94</v>
      </c>
      <c r="C21" t="s">
        <v>77</v>
      </c>
      <c r="D21" t="s">
        <v>55</v>
      </c>
      <c r="E21">
        <v>10</v>
      </c>
      <c r="F21">
        <v>90</v>
      </c>
      <c r="G21">
        <v>100</v>
      </c>
      <c r="H21">
        <v>40</v>
      </c>
      <c r="I21" t="s">
        <v>64</v>
      </c>
      <c r="J21" t="s">
        <v>56</v>
      </c>
      <c r="K21" t="s">
        <v>22</v>
      </c>
      <c r="L21" t="s">
        <v>32</v>
      </c>
      <c r="M21" t="s">
        <v>42</v>
      </c>
      <c r="O21" t="s">
        <v>35</v>
      </c>
      <c r="P21" t="s">
        <v>26</v>
      </c>
      <c r="Q21">
        <v>3</v>
      </c>
    </row>
    <row r="22" spans="1:17" ht="15" customHeight="1" x14ac:dyDescent="0.3">
      <c r="A22" t="s">
        <v>95</v>
      </c>
      <c r="B22" t="s">
        <v>96</v>
      </c>
      <c r="C22" t="s">
        <v>39</v>
      </c>
      <c r="E22">
        <v>50</v>
      </c>
      <c r="F22">
        <v>10</v>
      </c>
      <c r="G22">
        <v>40</v>
      </c>
      <c r="H22">
        <v>50</v>
      </c>
      <c r="I22" t="s">
        <v>40</v>
      </c>
      <c r="J22" t="s">
        <v>97</v>
      </c>
      <c r="K22" t="s">
        <v>22</v>
      </c>
      <c r="L22" t="s">
        <v>32</v>
      </c>
      <c r="M22" t="s">
        <v>33</v>
      </c>
      <c r="O22" t="s">
        <v>43</v>
      </c>
      <c r="P22" t="s">
        <v>88</v>
      </c>
      <c r="Q22">
        <v>2</v>
      </c>
    </row>
    <row r="23" spans="1:17" ht="15" customHeight="1" x14ac:dyDescent="0.3">
      <c r="A23" t="s">
        <v>98</v>
      </c>
      <c r="B23" t="s">
        <v>99</v>
      </c>
      <c r="C23" t="s">
        <v>29</v>
      </c>
      <c r="E23">
        <v>50</v>
      </c>
      <c r="F23">
        <v>50</v>
      </c>
      <c r="G23">
        <v>60</v>
      </c>
      <c r="H23">
        <v>50</v>
      </c>
      <c r="I23" t="s">
        <v>64</v>
      </c>
      <c r="J23" t="s">
        <v>20</v>
      </c>
      <c r="K23" t="s">
        <v>22</v>
      </c>
      <c r="L23" t="s">
        <v>32</v>
      </c>
      <c r="M23" t="s">
        <v>34</v>
      </c>
      <c r="N23" t="s">
        <v>33</v>
      </c>
      <c r="O23" t="s">
        <v>35</v>
      </c>
      <c r="P23" t="s">
        <v>36</v>
      </c>
      <c r="Q23">
        <v>3</v>
      </c>
    </row>
    <row r="24" spans="1:17" ht="15" customHeight="1" x14ac:dyDescent="0.3">
      <c r="A24" t="s">
        <v>100</v>
      </c>
      <c r="B24" t="s">
        <v>101</v>
      </c>
      <c r="C24" t="s">
        <v>46</v>
      </c>
      <c r="E24">
        <v>70</v>
      </c>
      <c r="F24">
        <v>80</v>
      </c>
      <c r="G24">
        <v>10</v>
      </c>
      <c r="H24">
        <v>20</v>
      </c>
      <c r="I24" t="s">
        <v>21</v>
      </c>
      <c r="J24" t="s">
        <v>50</v>
      </c>
      <c r="K24" t="s">
        <v>47</v>
      </c>
      <c r="L24" t="s">
        <v>23</v>
      </c>
      <c r="M24" t="s">
        <v>52</v>
      </c>
      <c r="O24" t="s">
        <v>35</v>
      </c>
      <c r="P24" t="s">
        <v>26</v>
      </c>
      <c r="Q24">
        <v>3</v>
      </c>
    </row>
    <row r="25" spans="1:17" ht="15" customHeight="1" x14ac:dyDescent="0.3">
      <c r="A25" t="s">
        <v>102</v>
      </c>
      <c r="B25" t="s">
        <v>103</v>
      </c>
      <c r="C25" t="s">
        <v>39</v>
      </c>
      <c r="E25">
        <v>60</v>
      </c>
      <c r="F25">
        <v>60</v>
      </c>
      <c r="G25">
        <v>10</v>
      </c>
      <c r="H25">
        <v>90</v>
      </c>
      <c r="I25" t="s">
        <v>40</v>
      </c>
      <c r="J25" t="s">
        <v>104</v>
      </c>
      <c r="K25" t="s">
        <v>22</v>
      </c>
      <c r="L25" t="s">
        <v>32</v>
      </c>
      <c r="M25" t="s">
        <v>33</v>
      </c>
      <c r="N25" t="s">
        <v>42</v>
      </c>
      <c r="O25" t="s">
        <v>43</v>
      </c>
      <c r="P25" t="s">
        <v>36</v>
      </c>
      <c r="Q25">
        <v>2</v>
      </c>
    </row>
    <row r="26" spans="1:17" ht="15" customHeight="1" x14ac:dyDescent="0.3">
      <c r="A26" t="s">
        <v>105</v>
      </c>
      <c r="B26" t="s">
        <v>106</v>
      </c>
      <c r="C26" t="s">
        <v>46</v>
      </c>
      <c r="E26">
        <v>90</v>
      </c>
      <c r="F26">
        <v>40</v>
      </c>
      <c r="G26">
        <v>30</v>
      </c>
      <c r="H26">
        <v>80</v>
      </c>
      <c r="I26" t="s">
        <v>50</v>
      </c>
      <c r="J26" t="s">
        <v>40</v>
      </c>
      <c r="K26" t="s">
        <v>47</v>
      </c>
      <c r="L26" t="s">
        <v>23</v>
      </c>
      <c r="M26" t="s">
        <v>52</v>
      </c>
      <c r="O26" t="s">
        <v>35</v>
      </c>
      <c r="P26" t="s">
        <v>26</v>
      </c>
      <c r="Q26">
        <v>3</v>
      </c>
    </row>
    <row r="27" spans="1:17" ht="15" customHeight="1" x14ac:dyDescent="0.3">
      <c r="A27" t="s">
        <v>107</v>
      </c>
      <c r="B27" t="s">
        <v>108</v>
      </c>
      <c r="C27" t="s">
        <v>29</v>
      </c>
      <c r="E27">
        <v>30</v>
      </c>
      <c r="F27">
        <v>80</v>
      </c>
      <c r="G27">
        <v>50</v>
      </c>
      <c r="H27">
        <v>70</v>
      </c>
      <c r="I27" t="s">
        <v>57</v>
      </c>
      <c r="J27" t="s">
        <v>109</v>
      </c>
      <c r="K27" t="s">
        <v>22</v>
      </c>
      <c r="L27" t="s">
        <v>32</v>
      </c>
      <c r="M27" t="s">
        <v>34</v>
      </c>
      <c r="N27" t="s">
        <v>42</v>
      </c>
      <c r="O27" t="s">
        <v>87</v>
      </c>
      <c r="P27" t="s">
        <v>36</v>
      </c>
      <c r="Q27">
        <v>1</v>
      </c>
    </row>
    <row r="28" spans="1:17" ht="15" customHeight="1" x14ac:dyDescent="0.3">
      <c r="A28" t="s">
        <v>110</v>
      </c>
      <c r="B28" t="s">
        <v>111</v>
      </c>
      <c r="C28" t="s">
        <v>29</v>
      </c>
      <c r="E28">
        <v>50</v>
      </c>
      <c r="F28">
        <v>10</v>
      </c>
      <c r="G28">
        <v>50</v>
      </c>
      <c r="H28">
        <v>30</v>
      </c>
      <c r="I28" t="s">
        <v>112</v>
      </c>
      <c r="J28" t="s">
        <v>20</v>
      </c>
      <c r="K28" t="s">
        <v>22</v>
      </c>
      <c r="L28" t="s">
        <v>32</v>
      </c>
      <c r="M28" t="s">
        <v>34</v>
      </c>
      <c r="N28" t="s">
        <v>33</v>
      </c>
      <c r="O28" t="s">
        <v>43</v>
      </c>
      <c r="P28" t="s">
        <v>26</v>
      </c>
      <c r="Q28">
        <v>2</v>
      </c>
    </row>
    <row r="29" spans="1:17" ht="15" customHeight="1" x14ac:dyDescent="0.3">
      <c r="A29" t="s">
        <v>113</v>
      </c>
      <c r="B29" t="s">
        <v>114</v>
      </c>
      <c r="C29" t="s">
        <v>29</v>
      </c>
      <c r="E29">
        <v>40</v>
      </c>
      <c r="F29">
        <v>70</v>
      </c>
      <c r="G29">
        <v>60</v>
      </c>
      <c r="H29">
        <v>10</v>
      </c>
      <c r="I29" t="s">
        <v>30</v>
      </c>
      <c r="J29" t="s">
        <v>115</v>
      </c>
      <c r="K29" t="s">
        <v>22</v>
      </c>
      <c r="L29" t="s">
        <v>32</v>
      </c>
      <c r="M29" t="s">
        <v>33</v>
      </c>
      <c r="N29" t="s">
        <v>34</v>
      </c>
      <c r="O29" t="s">
        <v>35</v>
      </c>
      <c r="P29" t="s">
        <v>26</v>
      </c>
      <c r="Q29">
        <v>3</v>
      </c>
    </row>
    <row r="30" spans="1:17" ht="15" customHeight="1" x14ac:dyDescent="0.3">
      <c r="A30" t="s">
        <v>116</v>
      </c>
      <c r="B30" t="s">
        <v>117</v>
      </c>
      <c r="C30" t="s">
        <v>29</v>
      </c>
      <c r="E30">
        <v>20</v>
      </c>
      <c r="F30">
        <v>90</v>
      </c>
      <c r="G30">
        <v>90</v>
      </c>
      <c r="H30">
        <v>40</v>
      </c>
      <c r="I30" t="s">
        <v>30</v>
      </c>
      <c r="J30" t="s">
        <v>56</v>
      </c>
      <c r="K30" t="s">
        <v>22</v>
      </c>
      <c r="L30" t="s">
        <v>32</v>
      </c>
      <c r="M30" t="s">
        <v>34</v>
      </c>
      <c r="O30" t="s">
        <v>74</v>
      </c>
      <c r="P30" t="s">
        <v>26</v>
      </c>
      <c r="Q30">
        <v>4</v>
      </c>
    </row>
    <row r="31" spans="1:17" ht="15" customHeight="1" x14ac:dyDescent="0.3">
      <c r="A31" t="s">
        <v>118</v>
      </c>
      <c r="B31" t="s">
        <v>119</v>
      </c>
      <c r="C31" t="s">
        <v>39</v>
      </c>
      <c r="D31" t="s">
        <v>19</v>
      </c>
      <c r="E31">
        <v>90</v>
      </c>
      <c r="F31">
        <v>20</v>
      </c>
      <c r="G31">
        <v>40</v>
      </c>
      <c r="H31">
        <v>70</v>
      </c>
      <c r="I31" t="s">
        <v>104</v>
      </c>
      <c r="J31" t="s">
        <v>20</v>
      </c>
      <c r="K31" t="s">
        <v>22</v>
      </c>
      <c r="L31" t="s">
        <v>120</v>
      </c>
      <c r="M31" t="s">
        <v>33</v>
      </c>
      <c r="O31" t="s">
        <v>74</v>
      </c>
      <c r="P31" t="s">
        <v>26</v>
      </c>
      <c r="Q31">
        <v>4</v>
      </c>
    </row>
    <row r="32" spans="1:17" ht="15" customHeight="1" x14ac:dyDescent="0.3">
      <c r="A32" t="s">
        <v>121</v>
      </c>
      <c r="B32" t="s">
        <v>122</v>
      </c>
      <c r="C32" t="s">
        <v>19</v>
      </c>
      <c r="E32">
        <v>60</v>
      </c>
      <c r="F32">
        <v>60</v>
      </c>
      <c r="G32">
        <v>20</v>
      </c>
      <c r="H32">
        <v>50</v>
      </c>
      <c r="I32" t="s">
        <v>20</v>
      </c>
      <c r="J32" t="s">
        <v>57</v>
      </c>
      <c r="K32" t="s">
        <v>22</v>
      </c>
      <c r="L32" t="s">
        <v>23</v>
      </c>
      <c r="M32" t="s">
        <v>24</v>
      </c>
      <c r="O32" t="s">
        <v>25</v>
      </c>
      <c r="P32" t="s">
        <v>26</v>
      </c>
      <c r="Q32">
        <v>5</v>
      </c>
    </row>
    <row r="33" spans="1:17" ht="15" customHeight="1" x14ac:dyDescent="0.3">
      <c r="A33" t="s">
        <v>123</v>
      </c>
      <c r="B33" t="s">
        <v>124</v>
      </c>
      <c r="C33" t="s">
        <v>55</v>
      </c>
      <c r="D33" t="s">
        <v>77</v>
      </c>
      <c r="E33">
        <v>30</v>
      </c>
      <c r="F33">
        <v>90</v>
      </c>
      <c r="G33">
        <v>80</v>
      </c>
      <c r="H33">
        <v>50</v>
      </c>
      <c r="I33" t="s">
        <v>125</v>
      </c>
      <c r="J33" t="s">
        <v>56</v>
      </c>
      <c r="K33" t="s">
        <v>47</v>
      </c>
      <c r="L33" t="s">
        <v>32</v>
      </c>
      <c r="M33" t="s">
        <v>42</v>
      </c>
      <c r="O33" t="s">
        <v>43</v>
      </c>
      <c r="P33" t="s">
        <v>36</v>
      </c>
      <c r="Q33">
        <v>2</v>
      </c>
    </row>
    <row r="34" spans="1:17" ht="15" customHeight="1" x14ac:dyDescent="0.3">
      <c r="A34" t="s">
        <v>126</v>
      </c>
      <c r="B34" t="s">
        <v>127</v>
      </c>
      <c r="C34" t="s">
        <v>46</v>
      </c>
      <c r="E34">
        <v>100</v>
      </c>
      <c r="F34">
        <v>70</v>
      </c>
      <c r="G34">
        <v>30</v>
      </c>
      <c r="H34">
        <v>60</v>
      </c>
      <c r="I34" t="s">
        <v>20</v>
      </c>
      <c r="J34" t="s">
        <v>41</v>
      </c>
      <c r="K34" t="s">
        <v>47</v>
      </c>
      <c r="L34" t="s">
        <v>23</v>
      </c>
      <c r="M34" t="s">
        <v>52</v>
      </c>
      <c r="O34" t="s">
        <v>35</v>
      </c>
      <c r="P34" t="s">
        <v>26</v>
      </c>
      <c r="Q34">
        <v>3</v>
      </c>
    </row>
    <row r="35" spans="1:17" ht="15" customHeight="1" x14ac:dyDescent="0.3">
      <c r="A35" t="s">
        <v>128</v>
      </c>
      <c r="B35" t="s">
        <v>129</v>
      </c>
      <c r="C35" t="s">
        <v>77</v>
      </c>
      <c r="E35">
        <v>10</v>
      </c>
      <c r="F35">
        <v>20</v>
      </c>
      <c r="G35">
        <v>70</v>
      </c>
      <c r="H35">
        <v>30</v>
      </c>
      <c r="I35" t="s">
        <v>78</v>
      </c>
      <c r="J35" t="s">
        <v>30</v>
      </c>
      <c r="K35" t="s">
        <v>47</v>
      </c>
      <c r="L35" t="s">
        <v>23</v>
      </c>
      <c r="M35" t="s">
        <v>42</v>
      </c>
      <c r="O35" t="s">
        <v>43</v>
      </c>
      <c r="P35" t="s">
        <v>26</v>
      </c>
      <c r="Q35">
        <v>2</v>
      </c>
    </row>
    <row r="36" spans="1:17" ht="15" customHeight="1" x14ac:dyDescent="0.3">
      <c r="A36" t="s">
        <v>130</v>
      </c>
      <c r="B36" t="s">
        <v>131</v>
      </c>
      <c r="C36" t="s">
        <v>29</v>
      </c>
      <c r="D36" t="s">
        <v>55</v>
      </c>
      <c r="E36">
        <v>40</v>
      </c>
      <c r="F36">
        <v>40</v>
      </c>
      <c r="G36">
        <v>90</v>
      </c>
      <c r="H36">
        <v>40</v>
      </c>
      <c r="I36" t="s">
        <v>30</v>
      </c>
      <c r="J36" t="s">
        <v>40</v>
      </c>
      <c r="K36" t="s">
        <v>22</v>
      </c>
      <c r="L36" t="s">
        <v>32</v>
      </c>
      <c r="M36" t="s">
        <v>42</v>
      </c>
      <c r="N36" t="s">
        <v>34</v>
      </c>
      <c r="O36" t="s">
        <v>87</v>
      </c>
      <c r="P36" t="s">
        <v>36</v>
      </c>
      <c r="Q36">
        <v>1</v>
      </c>
    </row>
    <row r="37" spans="1:17" ht="15" customHeight="1" x14ac:dyDescent="0.3">
      <c r="A37" t="s">
        <v>132</v>
      </c>
      <c r="B37" t="s">
        <v>133</v>
      </c>
      <c r="C37" t="s">
        <v>46</v>
      </c>
      <c r="E37">
        <v>70</v>
      </c>
      <c r="F37">
        <v>100</v>
      </c>
      <c r="G37">
        <v>40</v>
      </c>
      <c r="H37">
        <v>10</v>
      </c>
      <c r="I37" t="s">
        <v>57</v>
      </c>
      <c r="J37" t="s">
        <v>40</v>
      </c>
      <c r="K37" t="s">
        <v>47</v>
      </c>
      <c r="L37" t="s">
        <v>23</v>
      </c>
      <c r="M37" t="s">
        <v>52</v>
      </c>
      <c r="O37" t="s">
        <v>35</v>
      </c>
      <c r="P37" t="s">
        <v>26</v>
      </c>
      <c r="Q37">
        <v>3</v>
      </c>
    </row>
    <row r="38" spans="1:17" ht="15" customHeight="1" x14ac:dyDescent="0.3">
      <c r="A38" t="s">
        <v>134</v>
      </c>
      <c r="B38" t="s">
        <v>135</v>
      </c>
      <c r="C38" t="s">
        <v>29</v>
      </c>
      <c r="E38">
        <v>40</v>
      </c>
      <c r="F38">
        <v>40</v>
      </c>
      <c r="G38">
        <v>80</v>
      </c>
      <c r="H38">
        <v>50</v>
      </c>
      <c r="I38" t="s">
        <v>64</v>
      </c>
      <c r="J38" t="s">
        <v>21</v>
      </c>
      <c r="K38" t="s">
        <v>22</v>
      </c>
      <c r="L38" t="s">
        <v>32</v>
      </c>
      <c r="M38" t="s">
        <v>34</v>
      </c>
      <c r="O38" t="s">
        <v>35</v>
      </c>
      <c r="P38" t="s">
        <v>36</v>
      </c>
      <c r="Q38">
        <v>3</v>
      </c>
    </row>
    <row r="39" spans="1:17" ht="15" customHeight="1" x14ac:dyDescent="0.3">
      <c r="A39" t="s">
        <v>136</v>
      </c>
      <c r="B39" t="s">
        <v>137</v>
      </c>
      <c r="C39" t="s">
        <v>46</v>
      </c>
      <c r="E39">
        <v>90</v>
      </c>
      <c r="F39">
        <v>50</v>
      </c>
      <c r="G39">
        <v>20</v>
      </c>
      <c r="H39">
        <v>10</v>
      </c>
      <c r="I39" t="s">
        <v>112</v>
      </c>
      <c r="J39" t="s">
        <v>56</v>
      </c>
      <c r="K39" t="s">
        <v>47</v>
      </c>
      <c r="L39" t="s">
        <v>23</v>
      </c>
      <c r="M39" t="s">
        <v>52</v>
      </c>
      <c r="O39" t="s">
        <v>35</v>
      </c>
      <c r="P39" t="s">
        <v>26</v>
      </c>
      <c r="Q39">
        <v>3</v>
      </c>
    </row>
    <row r="40" spans="1:17" ht="15" customHeight="1" x14ac:dyDescent="0.3">
      <c r="A40" t="s">
        <v>138</v>
      </c>
      <c r="B40" t="s">
        <v>139</v>
      </c>
      <c r="C40" t="s">
        <v>29</v>
      </c>
      <c r="D40" t="s">
        <v>19</v>
      </c>
      <c r="E40">
        <v>40</v>
      </c>
      <c r="F40">
        <v>10</v>
      </c>
      <c r="G40">
        <v>60</v>
      </c>
      <c r="H40">
        <v>50</v>
      </c>
      <c r="I40" t="s">
        <v>20</v>
      </c>
      <c r="J40" t="s">
        <v>83</v>
      </c>
      <c r="K40" t="s">
        <v>22</v>
      </c>
      <c r="L40" t="s">
        <v>120</v>
      </c>
      <c r="M40" t="s">
        <v>33</v>
      </c>
      <c r="O40" t="s">
        <v>35</v>
      </c>
      <c r="P40" t="s">
        <v>26</v>
      </c>
      <c r="Q40">
        <v>3</v>
      </c>
    </row>
    <row r="41" spans="1:17" ht="15" customHeight="1" x14ac:dyDescent="0.3">
      <c r="A41" t="s">
        <v>140</v>
      </c>
      <c r="B41" t="s">
        <v>141</v>
      </c>
      <c r="C41" t="s">
        <v>19</v>
      </c>
      <c r="E41">
        <v>80</v>
      </c>
      <c r="F41">
        <v>10</v>
      </c>
      <c r="G41">
        <v>30</v>
      </c>
      <c r="H41">
        <v>40</v>
      </c>
      <c r="I41" t="s">
        <v>115</v>
      </c>
      <c r="J41" t="s">
        <v>20</v>
      </c>
      <c r="K41" t="s">
        <v>22</v>
      </c>
      <c r="L41" t="s">
        <v>23</v>
      </c>
      <c r="M41" t="s">
        <v>24</v>
      </c>
      <c r="O41" t="s">
        <v>25</v>
      </c>
      <c r="P41" t="s">
        <v>26</v>
      </c>
      <c r="Q41">
        <v>5</v>
      </c>
    </row>
    <row r="42" spans="1:17" ht="15" customHeight="1" x14ac:dyDescent="0.3">
      <c r="A42" t="s">
        <v>142</v>
      </c>
      <c r="B42" t="s">
        <v>143</v>
      </c>
      <c r="C42" t="s">
        <v>55</v>
      </c>
      <c r="D42" t="s">
        <v>29</v>
      </c>
      <c r="E42">
        <v>30</v>
      </c>
      <c r="F42">
        <v>90</v>
      </c>
      <c r="G42">
        <v>90</v>
      </c>
      <c r="H42">
        <v>10</v>
      </c>
      <c r="I42" t="s">
        <v>56</v>
      </c>
      <c r="J42" t="s">
        <v>144</v>
      </c>
      <c r="K42" t="s">
        <v>47</v>
      </c>
      <c r="L42" t="s">
        <v>32</v>
      </c>
      <c r="M42" t="s">
        <v>42</v>
      </c>
      <c r="N42" t="s">
        <v>34</v>
      </c>
      <c r="O42" t="s">
        <v>35</v>
      </c>
      <c r="P42" t="s">
        <v>36</v>
      </c>
      <c r="Q42">
        <v>3</v>
      </c>
    </row>
    <row r="43" spans="1:17" ht="15" customHeight="1" x14ac:dyDescent="0.3">
      <c r="A43" t="s">
        <v>145</v>
      </c>
      <c r="B43" t="s">
        <v>146</v>
      </c>
      <c r="C43" t="s">
        <v>39</v>
      </c>
      <c r="D43" t="s">
        <v>46</v>
      </c>
      <c r="E43">
        <v>90</v>
      </c>
      <c r="F43">
        <v>10</v>
      </c>
      <c r="G43">
        <v>30</v>
      </c>
      <c r="H43">
        <v>60</v>
      </c>
      <c r="I43" t="s">
        <v>40</v>
      </c>
      <c r="J43" t="s">
        <v>50</v>
      </c>
      <c r="K43" t="s">
        <v>47</v>
      </c>
      <c r="L43" t="s">
        <v>23</v>
      </c>
      <c r="M43" t="s">
        <v>33</v>
      </c>
      <c r="N43" t="s">
        <v>52</v>
      </c>
      <c r="O43" t="s">
        <v>43</v>
      </c>
      <c r="P43" t="s">
        <v>26</v>
      </c>
      <c r="Q43">
        <v>2</v>
      </c>
    </row>
    <row r="44" spans="1:17" ht="15" customHeight="1" x14ac:dyDescent="0.3">
      <c r="A44" t="s">
        <v>147</v>
      </c>
      <c r="B44" t="s">
        <v>148</v>
      </c>
      <c r="C44" t="s">
        <v>19</v>
      </c>
      <c r="E44">
        <v>80</v>
      </c>
      <c r="F44">
        <v>10</v>
      </c>
      <c r="G44">
        <v>10</v>
      </c>
      <c r="H44">
        <v>50</v>
      </c>
      <c r="I44" t="s">
        <v>20</v>
      </c>
      <c r="J44" t="s">
        <v>21</v>
      </c>
      <c r="K44" t="s">
        <v>22</v>
      </c>
      <c r="L44" t="s">
        <v>23</v>
      </c>
      <c r="M44" t="s">
        <v>24</v>
      </c>
      <c r="O44" t="s">
        <v>25</v>
      </c>
      <c r="P44" t="s">
        <v>36</v>
      </c>
      <c r="Q44">
        <v>5</v>
      </c>
    </row>
    <row r="45" spans="1:17" ht="15" customHeight="1" x14ac:dyDescent="0.3">
      <c r="A45" t="s">
        <v>149</v>
      </c>
      <c r="B45" t="s">
        <v>150</v>
      </c>
      <c r="C45" t="s">
        <v>55</v>
      </c>
      <c r="D45" t="s">
        <v>29</v>
      </c>
      <c r="E45">
        <v>40</v>
      </c>
      <c r="F45">
        <v>80</v>
      </c>
      <c r="G45">
        <v>90</v>
      </c>
      <c r="H45">
        <v>60</v>
      </c>
      <c r="I45" t="s">
        <v>57</v>
      </c>
      <c r="J45" t="s">
        <v>40</v>
      </c>
      <c r="K45" t="s">
        <v>22</v>
      </c>
      <c r="L45" t="s">
        <v>32</v>
      </c>
      <c r="M45" t="s">
        <v>42</v>
      </c>
      <c r="O45" t="s">
        <v>43</v>
      </c>
      <c r="P45" t="s">
        <v>36</v>
      </c>
      <c r="Q45">
        <v>2</v>
      </c>
    </row>
    <row r="46" spans="1:17" ht="15" customHeight="1" x14ac:dyDescent="0.3">
      <c r="A46" t="s">
        <v>151</v>
      </c>
      <c r="B46" t="s">
        <v>152</v>
      </c>
      <c r="C46" t="s">
        <v>29</v>
      </c>
      <c r="E46">
        <v>50</v>
      </c>
      <c r="F46">
        <v>50</v>
      </c>
      <c r="G46">
        <v>70</v>
      </c>
      <c r="H46">
        <v>60</v>
      </c>
      <c r="I46" t="s">
        <v>97</v>
      </c>
      <c r="J46" t="s">
        <v>20</v>
      </c>
      <c r="K46" t="s">
        <v>22</v>
      </c>
      <c r="L46" t="s">
        <v>32</v>
      </c>
      <c r="M46" t="s">
        <v>34</v>
      </c>
      <c r="O46" t="s">
        <v>25</v>
      </c>
      <c r="P46" t="s">
        <v>36</v>
      </c>
      <c r="Q46">
        <v>5</v>
      </c>
    </row>
    <row r="47" spans="1:17" ht="15" customHeight="1" x14ac:dyDescent="0.3">
      <c r="A47" t="s">
        <v>153</v>
      </c>
      <c r="B47" t="s">
        <v>154</v>
      </c>
      <c r="C47" t="s">
        <v>46</v>
      </c>
      <c r="E47">
        <v>100</v>
      </c>
      <c r="F47">
        <v>70</v>
      </c>
      <c r="G47">
        <v>30</v>
      </c>
      <c r="H47">
        <v>20</v>
      </c>
      <c r="I47" t="s">
        <v>21</v>
      </c>
      <c r="J47" t="s">
        <v>40</v>
      </c>
      <c r="K47" t="s">
        <v>47</v>
      </c>
      <c r="L47" t="s">
        <v>23</v>
      </c>
      <c r="M47" t="s">
        <v>52</v>
      </c>
      <c r="O47" t="s">
        <v>35</v>
      </c>
      <c r="P47" t="s">
        <v>26</v>
      </c>
      <c r="Q47">
        <v>3</v>
      </c>
    </row>
    <row r="48" spans="1:17" ht="15" customHeight="1" x14ac:dyDescent="0.3">
      <c r="A48" t="s">
        <v>155</v>
      </c>
      <c r="B48" t="s">
        <v>156</v>
      </c>
      <c r="C48" t="s">
        <v>39</v>
      </c>
      <c r="E48">
        <v>50</v>
      </c>
      <c r="F48">
        <v>10</v>
      </c>
      <c r="G48">
        <v>40</v>
      </c>
      <c r="H48">
        <v>50</v>
      </c>
      <c r="I48" t="s">
        <v>97</v>
      </c>
      <c r="J48" t="s">
        <v>109</v>
      </c>
      <c r="K48" t="s">
        <v>22</v>
      </c>
      <c r="L48" t="s">
        <v>32</v>
      </c>
      <c r="M48" t="s">
        <v>33</v>
      </c>
      <c r="O48" t="s">
        <v>43</v>
      </c>
      <c r="P48" t="s">
        <v>26</v>
      </c>
      <c r="Q48">
        <v>2</v>
      </c>
    </row>
    <row r="49" spans="1:17" ht="15" customHeight="1" x14ac:dyDescent="0.3">
      <c r="A49" t="s">
        <v>157</v>
      </c>
      <c r="B49" t="s">
        <v>158</v>
      </c>
      <c r="C49" t="s">
        <v>77</v>
      </c>
      <c r="E49">
        <v>40</v>
      </c>
      <c r="F49">
        <v>20</v>
      </c>
      <c r="G49">
        <v>40</v>
      </c>
      <c r="H49">
        <v>50</v>
      </c>
      <c r="I49" t="s">
        <v>56</v>
      </c>
      <c r="J49" t="s">
        <v>64</v>
      </c>
      <c r="K49" t="s">
        <v>47</v>
      </c>
      <c r="L49" t="s">
        <v>23</v>
      </c>
      <c r="M49" t="s">
        <v>42</v>
      </c>
      <c r="O49" t="s">
        <v>43</v>
      </c>
      <c r="P49" t="s">
        <v>26</v>
      </c>
      <c r="Q49">
        <v>2</v>
      </c>
    </row>
    <row r="50" spans="1:17" ht="15" customHeight="1" x14ac:dyDescent="0.3">
      <c r="A50" t="s">
        <v>159</v>
      </c>
      <c r="B50" t="s">
        <v>160</v>
      </c>
      <c r="C50" t="s">
        <v>55</v>
      </c>
      <c r="E50">
        <v>20</v>
      </c>
      <c r="F50">
        <v>80</v>
      </c>
      <c r="G50">
        <v>100</v>
      </c>
      <c r="H50">
        <v>30</v>
      </c>
      <c r="I50" t="s">
        <v>30</v>
      </c>
      <c r="J50" t="s">
        <v>51</v>
      </c>
      <c r="K50" t="s">
        <v>47</v>
      </c>
      <c r="L50" t="s">
        <v>32</v>
      </c>
      <c r="M50" t="s">
        <v>42</v>
      </c>
      <c r="O50" t="s">
        <v>43</v>
      </c>
      <c r="P50" t="s">
        <v>26</v>
      </c>
      <c r="Q50">
        <v>2</v>
      </c>
    </row>
    <row r="51" spans="1:17" ht="15" customHeight="1" x14ac:dyDescent="0.3">
      <c r="A51" t="s">
        <v>161</v>
      </c>
      <c r="B51" t="s">
        <v>162</v>
      </c>
      <c r="C51" t="s">
        <v>46</v>
      </c>
      <c r="E51">
        <v>100</v>
      </c>
      <c r="F51">
        <v>40</v>
      </c>
      <c r="G51">
        <v>10</v>
      </c>
      <c r="H51">
        <v>40</v>
      </c>
      <c r="I51" t="s">
        <v>112</v>
      </c>
      <c r="J51" t="s">
        <v>20</v>
      </c>
      <c r="K51" t="s">
        <v>47</v>
      </c>
      <c r="L51" t="s">
        <v>23</v>
      </c>
      <c r="M51" t="s">
        <v>52</v>
      </c>
      <c r="O51" t="s">
        <v>35</v>
      </c>
      <c r="P51" t="s">
        <v>26</v>
      </c>
      <c r="Q51">
        <v>3</v>
      </c>
    </row>
    <row r="52" spans="1:17" ht="15" customHeight="1" x14ac:dyDescent="0.3">
      <c r="A52" t="s">
        <v>163</v>
      </c>
      <c r="B52" t="s">
        <v>164</v>
      </c>
      <c r="C52" t="s">
        <v>39</v>
      </c>
      <c r="E52">
        <v>50</v>
      </c>
      <c r="F52">
        <v>50</v>
      </c>
      <c r="G52">
        <v>30</v>
      </c>
      <c r="H52">
        <v>50</v>
      </c>
      <c r="I52" t="s">
        <v>40</v>
      </c>
      <c r="J52" t="s">
        <v>51</v>
      </c>
      <c r="K52" t="s">
        <v>22</v>
      </c>
      <c r="L52" t="s">
        <v>32</v>
      </c>
      <c r="M52" t="s">
        <v>33</v>
      </c>
      <c r="N52" t="s">
        <v>42</v>
      </c>
      <c r="O52" t="s">
        <v>43</v>
      </c>
      <c r="P52" t="s">
        <v>36</v>
      </c>
      <c r="Q52">
        <v>2</v>
      </c>
    </row>
    <row r="53" spans="1:17" ht="15" customHeight="1" x14ac:dyDescent="0.3">
      <c r="A53" t="s">
        <v>165</v>
      </c>
      <c r="B53" t="s">
        <v>166</v>
      </c>
      <c r="C53" t="s">
        <v>46</v>
      </c>
      <c r="E53">
        <v>90</v>
      </c>
      <c r="F53">
        <v>50</v>
      </c>
      <c r="G53">
        <v>20</v>
      </c>
      <c r="H53">
        <v>30</v>
      </c>
      <c r="I53" t="s">
        <v>50</v>
      </c>
      <c r="J53" t="s">
        <v>21</v>
      </c>
      <c r="K53" t="s">
        <v>47</v>
      </c>
      <c r="L53" t="s">
        <v>23</v>
      </c>
      <c r="M53" t="s">
        <v>52</v>
      </c>
      <c r="O53" t="s">
        <v>35</v>
      </c>
      <c r="P53" t="s">
        <v>26</v>
      </c>
      <c r="Q53">
        <v>3</v>
      </c>
    </row>
    <row r="54" spans="1:17" ht="15" customHeight="1" x14ac:dyDescent="0.3">
      <c r="A54" t="s">
        <v>167</v>
      </c>
      <c r="B54" t="s">
        <v>168</v>
      </c>
      <c r="C54" t="s">
        <v>19</v>
      </c>
      <c r="D54" t="s">
        <v>39</v>
      </c>
      <c r="E54">
        <v>70</v>
      </c>
      <c r="F54">
        <v>20</v>
      </c>
      <c r="G54">
        <v>10</v>
      </c>
      <c r="H54">
        <v>40</v>
      </c>
      <c r="I54" t="s">
        <v>50</v>
      </c>
      <c r="J54" t="s">
        <v>115</v>
      </c>
      <c r="K54" t="s">
        <v>22</v>
      </c>
      <c r="L54" t="s">
        <v>23</v>
      </c>
      <c r="M54" t="s">
        <v>24</v>
      </c>
      <c r="O54" t="s">
        <v>74</v>
      </c>
      <c r="P54" t="s">
        <v>88</v>
      </c>
      <c r="Q54">
        <v>4</v>
      </c>
    </row>
    <row r="55" spans="1:17" ht="15" customHeight="1" x14ac:dyDescent="0.3">
      <c r="A55" t="s">
        <v>169</v>
      </c>
      <c r="B55" t="s">
        <v>170</v>
      </c>
      <c r="C55" t="s">
        <v>29</v>
      </c>
      <c r="E55">
        <v>30</v>
      </c>
      <c r="F55">
        <v>60</v>
      </c>
      <c r="G55">
        <v>60</v>
      </c>
      <c r="H55">
        <v>50</v>
      </c>
      <c r="I55" t="s">
        <v>41</v>
      </c>
      <c r="J55" t="s">
        <v>40</v>
      </c>
      <c r="K55" t="s">
        <v>22</v>
      </c>
      <c r="L55" t="s">
        <v>32</v>
      </c>
      <c r="M55" t="s">
        <v>42</v>
      </c>
      <c r="N55" t="s">
        <v>34</v>
      </c>
      <c r="O55" t="s">
        <v>43</v>
      </c>
      <c r="P55" t="s">
        <v>26</v>
      </c>
      <c r="Q55">
        <v>2</v>
      </c>
    </row>
    <row r="56" spans="1:17" ht="15" customHeight="1" x14ac:dyDescent="0.3">
      <c r="A56" t="s">
        <v>171</v>
      </c>
      <c r="B56" t="s">
        <v>172</v>
      </c>
      <c r="C56" t="s">
        <v>77</v>
      </c>
      <c r="E56">
        <v>20</v>
      </c>
      <c r="F56">
        <v>50</v>
      </c>
      <c r="G56">
        <v>30</v>
      </c>
      <c r="H56">
        <v>50</v>
      </c>
      <c r="I56" t="s">
        <v>64</v>
      </c>
      <c r="J56" t="s">
        <v>78</v>
      </c>
      <c r="K56" t="s">
        <v>47</v>
      </c>
      <c r="L56" t="s">
        <v>23</v>
      </c>
      <c r="M56" t="s">
        <v>42</v>
      </c>
      <c r="O56" t="s">
        <v>35</v>
      </c>
      <c r="P56" t="s">
        <v>26</v>
      </c>
      <c r="Q56">
        <v>3</v>
      </c>
    </row>
    <row r="57" spans="1:17" ht="15" customHeight="1" x14ac:dyDescent="0.3">
      <c r="A57" t="s">
        <v>173</v>
      </c>
      <c r="B57" t="s">
        <v>174</v>
      </c>
      <c r="C57" t="s">
        <v>39</v>
      </c>
      <c r="E57">
        <v>90</v>
      </c>
      <c r="F57">
        <v>10</v>
      </c>
      <c r="G57">
        <v>30</v>
      </c>
      <c r="H57">
        <v>80</v>
      </c>
      <c r="I57" t="s">
        <v>40</v>
      </c>
      <c r="J57" t="s">
        <v>109</v>
      </c>
      <c r="K57" t="s">
        <v>47</v>
      </c>
      <c r="L57" t="s">
        <v>32</v>
      </c>
      <c r="M57" t="s">
        <v>33</v>
      </c>
      <c r="N57" t="s">
        <v>52</v>
      </c>
      <c r="O57" t="s">
        <v>43</v>
      </c>
      <c r="P57" t="s">
        <v>26</v>
      </c>
      <c r="Q57">
        <v>2</v>
      </c>
    </row>
    <row r="58" spans="1:17" ht="15" customHeight="1" x14ac:dyDescent="0.3">
      <c r="A58" t="s">
        <v>175</v>
      </c>
      <c r="B58" t="s">
        <v>176</v>
      </c>
      <c r="C58" t="s">
        <v>46</v>
      </c>
      <c r="E58">
        <v>70</v>
      </c>
      <c r="F58">
        <v>70</v>
      </c>
      <c r="G58">
        <v>20</v>
      </c>
      <c r="H58">
        <v>40</v>
      </c>
      <c r="I58" t="s">
        <v>50</v>
      </c>
      <c r="J58" t="s">
        <v>57</v>
      </c>
      <c r="K58" t="s">
        <v>47</v>
      </c>
      <c r="L58" t="s">
        <v>23</v>
      </c>
      <c r="M58" t="s">
        <v>52</v>
      </c>
      <c r="O58" t="s">
        <v>35</v>
      </c>
      <c r="P58" t="s">
        <v>26</v>
      </c>
      <c r="Q58">
        <v>3</v>
      </c>
    </row>
    <row r="59" spans="1:17" ht="15" customHeight="1" x14ac:dyDescent="0.3">
      <c r="A59" t="s">
        <v>177</v>
      </c>
      <c r="B59" t="s">
        <v>178</v>
      </c>
      <c r="C59" t="s">
        <v>29</v>
      </c>
      <c r="E59">
        <v>30</v>
      </c>
      <c r="F59">
        <v>50</v>
      </c>
      <c r="G59">
        <v>60</v>
      </c>
      <c r="H59">
        <v>40</v>
      </c>
      <c r="I59" t="s">
        <v>97</v>
      </c>
      <c r="J59" t="s">
        <v>31</v>
      </c>
      <c r="K59" t="s">
        <v>22</v>
      </c>
      <c r="L59" t="s">
        <v>32</v>
      </c>
      <c r="M59" t="s">
        <v>33</v>
      </c>
      <c r="N59" t="s">
        <v>34</v>
      </c>
      <c r="O59" t="s">
        <v>43</v>
      </c>
      <c r="P59" t="s">
        <v>36</v>
      </c>
      <c r="Q59">
        <v>2</v>
      </c>
    </row>
    <row r="60" spans="1:17" ht="15" customHeight="1" x14ac:dyDescent="0.3">
      <c r="A60" t="s">
        <v>179</v>
      </c>
      <c r="B60" t="s">
        <v>180</v>
      </c>
      <c r="C60" t="s">
        <v>55</v>
      </c>
      <c r="E60">
        <v>20</v>
      </c>
      <c r="F60">
        <v>20</v>
      </c>
      <c r="G60">
        <v>100</v>
      </c>
      <c r="H60">
        <v>30</v>
      </c>
      <c r="I60" t="s">
        <v>30</v>
      </c>
      <c r="J60" t="s">
        <v>78</v>
      </c>
      <c r="K60" t="s">
        <v>47</v>
      </c>
      <c r="L60" t="s">
        <v>32</v>
      </c>
      <c r="M60" t="s">
        <v>34</v>
      </c>
      <c r="O60" t="s">
        <v>74</v>
      </c>
      <c r="P60" t="s">
        <v>26</v>
      </c>
      <c r="Q60">
        <v>4</v>
      </c>
    </row>
    <row r="61" spans="1:17" ht="15" customHeight="1" x14ac:dyDescent="0.3">
      <c r="A61" t="s">
        <v>181</v>
      </c>
      <c r="B61" t="s">
        <v>182</v>
      </c>
      <c r="C61" t="s">
        <v>19</v>
      </c>
      <c r="E61">
        <v>70</v>
      </c>
      <c r="F61">
        <v>80</v>
      </c>
      <c r="G61">
        <v>20</v>
      </c>
      <c r="H61">
        <v>10</v>
      </c>
      <c r="I61" t="s">
        <v>64</v>
      </c>
      <c r="J61" t="s">
        <v>56</v>
      </c>
      <c r="K61" t="s">
        <v>22</v>
      </c>
      <c r="L61" t="s">
        <v>23</v>
      </c>
      <c r="M61" t="s">
        <v>24</v>
      </c>
      <c r="O61" t="s">
        <v>25</v>
      </c>
      <c r="P61" t="s">
        <v>26</v>
      </c>
      <c r="Q61">
        <v>5</v>
      </c>
    </row>
    <row r="62" spans="1:17" ht="15" customHeight="1" x14ac:dyDescent="0.3">
      <c r="A62" t="s">
        <v>183</v>
      </c>
      <c r="B62" t="s">
        <v>184</v>
      </c>
      <c r="C62" t="s">
        <v>46</v>
      </c>
      <c r="E62">
        <v>80</v>
      </c>
      <c r="F62">
        <v>20</v>
      </c>
      <c r="G62">
        <v>40</v>
      </c>
      <c r="H62">
        <v>30</v>
      </c>
      <c r="I62" t="s">
        <v>50</v>
      </c>
      <c r="J62" t="s">
        <v>20</v>
      </c>
      <c r="K62" t="s">
        <v>47</v>
      </c>
      <c r="L62" t="s">
        <v>23</v>
      </c>
      <c r="M62" t="s">
        <v>52</v>
      </c>
      <c r="O62" t="s">
        <v>35</v>
      </c>
      <c r="P62" t="s">
        <v>26</v>
      </c>
      <c r="Q62">
        <v>3</v>
      </c>
    </row>
    <row r="63" spans="1:17" ht="15" customHeight="1" x14ac:dyDescent="0.3">
      <c r="A63" t="s">
        <v>185</v>
      </c>
      <c r="B63" t="s">
        <v>186</v>
      </c>
      <c r="C63" t="s">
        <v>77</v>
      </c>
      <c r="D63" t="s">
        <v>29</v>
      </c>
      <c r="E63">
        <v>60</v>
      </c>
      <c r="F63">
        <v>60</v>
      </c>
      <c r="G63">
        <v>30</v>
      </c>
      <c r="H63">
        <v>70</v>
      </c>
      <c r="I63" t="s">
        <v>41</v>
      </c>
      <c r="J63" t="s">
        <v>40</v>
      </c>
      <c r="K63" t="s">
        <v>47</v>
      </c>
      <c r="L63" t="s">
        <v>32</v>
      </c>
      <c r="M63" t="s">
        <v>42</v>
      </c>
      <c r="O63" t="s">
        <v>43</v>
      </c>
      <c r="P63" t="s">
        <v>26</v>
      </c>
      <c r="Q63">
        <v>2</v>
      </c>
    </row>
    <row r="64" spans="1:17" ht="15" customHeight="1" x14ac:dyDescent="0.3">
      <c r="A64" t="s">
        <v>187</v>
      </c>
      <c r="B64" t="s">
        <v>188</v>
      </c>
      <c r="C64" t="s">
        <v>39</v>
      </c>
      <c r="D64" t="s">
        <v>46</v>
      </c>
      <c r="E64">
        <v>70</v>
      </c>
      <c r="F64">
        <v>100</v>
      </c>
      <c r="G64">
        <v>30</v>
      </c>
      <c r="H64">
        <v>70</v>
      </c>
      <c r="I64" t="s">
        <v>104</v>
      </c>
      <c r="J64" t="s">
        <v>40</v>
      </c>
      <c r="K64" t="s">
        <v>47</v>
      </c>
      <c r="L64" t="s">
        <v>120</v>
      </c>
      <c r="M64" t="s">
        <v>52</v>
      </c>
      <c r="N64" t="s">
        <v>42</v>
      </c>
      <c r="O64" t="s">
        <v>43</v>
      </c>
      <c r="P64" t="s">
        <v>26</v>
      </c>
      <c r="Q64">
        <v>2</v>
      </c>
    </row>
    <row r="65" spans="1:17" ht="15" customHeight="1" x14ac:dyDescent="0.3">
      <c r="A65" t="s">
        <v>189</v>
      </c>
      <c r="B65" t="s">
        <v>190</v>
      </c>
      <c r="C65" t="s">
        <v>29</v>
      </c>
      <c r="E65">
        <v>30</v>
      </c>
      <c r="F65">
        <v>50</v>
      </c>
      <c r="G65">
        <v>70</v>
      </c>
      <c r="H65">
        <v>60</v>
      </c>
      <c r="I65" t="s">
        <v>125</v>
      </c>
      <c r="J65" t="s">
        <v>40</v>
      </c>
      <c r="K65" t="s">
        <v>22</v>
      </c>
      <c r="L65" t="s">
        <v>32</v>
      </c>
      <c r="M65" t="s">
        <v>34</v>
      </c>
      <c r="O65" t="s">
        <v>25</v>
      </c>
      <c r="P65" t="s">
        <v>26</v>
      </c>
      <c r="Q65">
        <v>5</v>
      </c>
    </row>
    <row r="66" spans="1:17" ht="15" customHeight="1" x14ac:dyDescent="0.3">
      <c r="A66" t="s">
        <v>191</v>
      </c>
      <c r="B66" t="s">
        <v>192</v>
      </c>
      <c r="C66" t="s">
        <v>19</v>
      </c>
      <c r="E66">
        <v>60</v>
      </c>
      <c r="F66">
        <v>10</v>
      </c>
      <c r="G66">
        <v>30</v>
      </c>
      <c r="H66">
        <v>60</v>
      </c>
      <c r="I66" t="s">
        <v>86</v>
      </c>
      <c r="J66" t="s">
        <v>21</v>
      </c>
      <c r="K66" t="s">
        <v>22</v>
      </c>
      <c r="L66" t="s">
        <v>23</v>
      </c>
      <c r="M66" t="s">
        <v>24</v>
      </c>
      <c r="O66" t="s">
        <v>25</v>
      </c>
      <c r="P66" t="s">
        <v>26</v>
      </c>
      <c r="Q66">
        <v>5</v>
      </c>
    </row>
    <row r="67" spans="1:17" ht="15" customHeight="1" x14ac:dyDescent="0.3">
      <c r="A67" t="s">
        <v>193</v>
      </c>
      <c r="B67" t="s">
        <v>194</v>
      </c>
      <c r="C67" t="s">
        <v>46</v>
      </c>
      <c r="E67">
        <v>100</v>
      </c>
      <c r="F67">
        <v>70</v>
      </c>
      <c r="G67">
        <v>20</v>
      </c>
      <c r="H67">
        <v>20</v>
      </c>
      <c r="I67" t="s">
        <v>21</v>
      </c>
      <c r="J67" t="s">
        <v>57</v>
      </c>
      <c r="K67" t="s">
        <v>47</v>
      </c>
      <c r="L67" t="s">
        <v>23</v>
      </c>
      <c r="M67" t="s">
        <v>52</v>
      </c>
      <c r="O67" t="s">
        <v>35</v>
      </c>
      <c r="P67" t="s">
        <v>26</v>
      </c>
      <c r="Q67">
        <v>3</v>
      </c>
    </row>
    <row r="68" spans="1:17" ht="15" customHeight="1" x14ac:dyDescent="0.3">
      <c r="A68" t="s">
        <v>195</v>
      </c>
      <c r="B68" t="s">
        <v>196</v>
      </c>
      <c r="C68" t="s">
        <v>29</v>
      </c>
      <c r="E68">
        <v>50</v>
      </c>
      <c r="F68">
        <v>30</v>
      </c>
      <c r="G68">
        <v>70</v>
      </c>
      <c r="H68">
        <v>60</v>
      </c>
      <c r="I68" t="s">
        <v>64</v>
      </c>
      <c r="J68" t="s">
        <v>20</v>
      </c>
      <c r="K68" t="s">
        <v>22</v>
      </c>
      <c r="L68" t="s">
        <v>32</v>
      </c>
      <c r="M68" t="s">
        <v>33</v>
      </c>
      <c r="O68" t="s">
        <v>35</v>
      </c>
      <c r="P68" t="s">
        <v>36</v>
      </c>
      <c r="Q68">
        <v>3</v>
      </c>
    </row>
    <row r="69" spans="1:17" ht="15" customHeight="1" x14ac:dyDescent="0.3">
      <c r="A69" t="s">
        <v>197</v>
      </c>
      <c r="B69" t="s">
        <v>198</v>
      </c>
      <c r="C69" t="s">
        <v>46</v>
      </c>
      <c r="E69">
        <v>90</v>
      </c>
      <c r="F69">
        <v>20</v>
      </c>
      <c r="G69">
        <v>30</v>
      </c>
      <c r="H69">
        <v>90</v>
      </c>
      <c r="I69" t="s">
        <v>40</v>
      </c>
      <c r="J69" t="s">
        <v>97</v>
      </c>
      <c r="K69" t="s">
        <v>47</v>
      </c>
      <c r="L69" t="s">
        <v>23</v>
      </c>
      <c r="M69" t="s">
        <v>52</v>
      </c>
      <c r="O69" t="s">
        <v>25</v>
      </c>
      <c r="P69" t="s">
        <v>26</v>
      </c>
      <c r="Q69">
        <v>5</v>
      </c>
    </row>
    <row r="70" spans="1:17" ht="15" customHeight="1" x14ac:dyDescent="0.3">
      <c r="A70" t="s">
        <v>199</v>
      </c>
      <c r="B70" t="s">
        <v>200</v>
      </c>
      <c r="C70" t="s">
        <v>39</v>
      </c>
      <c r="E70">
        <v>80</v>
      </c>
      <c r="F70">
        <v>20</v>
      </c>
      <c r="G70">
        <v>70</v>
      </c>
      <c r="H70">
        <v>80</v>
      </c>
      <c r="I70" t="s">
        <v>40</v>
      </c>
      <c r="J70" t="s">
        <v>104</v>
      </c>
      <c r="K70" t="s">
        <v>22</v>
      </c>
      <c r="L70" t="s">
        <v>32</v>
      </c>
      <c r="M70" t="s">
        <v>33</v>
      </c>
      <c r="O70" t="s">
        <v>35</v>
      </c>
      <c r="P70" t="s">
        <v>88</v>
      </c>
      <c r="Q70">
        <v>3</v>
      </c>
    </row>
    <row r="71" spans="1:17" ht="15" customHeight="1" x14ac:dyDescent="0.3">
      <c r="A71" t="s">
        <v>201</v>
      </c>
      <c r="B71" t="s">
        <v>202</v>
      </c>
      <c r="C71" t="s">
        <v>55</v>
      </c>
      <c r="E71">
        <v>40</v>
      </c>
      <c r="F71">
        <v>100</v>
      </c>
      <c r="G71">
        <v>90</v>
      </c>
      <c r="H71">
        <v>10</v>
      </c>
      <c r="I71" t="s">
        <v>30</v>
      </c>
      <c r="J71" t="s">
        <v>56</v>
      </c>
      <c r="K71" t="s">
        <v>47</v>
      </c>
      <c r="L71" t="s">
        <v>32</v>
      </c>
      <c r="M71" t="s">
        <v>42</v>
      </c>
      <c r="O71" t="s">
        <v>74</v>
      </c>
      <c r="P71" t="s">
        <v>26</v>
      </c>
      <c r="Q71">
        <v>4</v>
      </c>
    </row>
    <row r="72" spans="1:17" ht="15" customHeight="1" x14ac:dyDescent="0.3">
      <c r="A72" t="s">
        <v>203</v>
      </c>
      <c r="B72" t="s">
        <v>204</v>
      </c>
      <c r="C72" t="s">
        <v>19</v>
      </c>
      <c r="D72" t="s">
        <v>46</v>
      </c>
      <c r="E72">
        <v>100</v>
      </c>
      <c r="F72">
        <v>10</v>
      </c>
      <c r="G72">
        <v>20</v>
      </c>
      <c r="H72">
        <v>90</v>
      </c>
      <c r="I72" t="s">
        <v>20</v>
      </c>
      <c r="J72" t="s">
        <v>50</v>
      </c>
      <c r="K72" t="s">
        <v>47</v>
      </c>
      <c r="L72" t="s">
        <v>23</v>
      </c>
      <c r="M72" t="s">
        <v>52</v>
      </c>
      <c r="N72" t="s">
        <v>24</v>
      </c>
      <c r="O72" t="s">
        <v>35</v>
      </c>
      <c r="P72" t="s">
        <v>36</v>
      </c>
      <c r="Q72">
        <v>3</v>
      </c>
    </row>
    <row r="73" spans="1:17" ht="15" customHeight="1" x14ac:dyDescent="0.3">
      <c r="A73" t="s">
        <v>205</v>
      </c>
      <c r="B73" t="s">
        <v>206</v>
      </c>
      <c r="C73" t="s">
        <v>29</v>
      </c>
      <c r="E73">
        <v>40</v>
      </c>
      <c r="F73">
        <v>20</v>
      </c>
      <c r="G73">
        <v>70</v>
      </c>
      <c r="H73">
        <v>40</v>
      </c>
      <c r="I73" t="s">
        <v>30</v>
      </c>
      <c r="J73" t="s">
        <v>20</v>
      </c>
      <c r="K73" t="s">
        <v>22</v>
      </c>
      <c r="L73" t="s">
        <v>32</v>
      </c>
      <c r="M73" t="s">
        <v>34</v>
      </c>
      <c r="O73" t="s">
        <v>35</v>
      </c>
      <c r="P73" t="s">
        <v>36</v>
      </c>
      <c r="Q73">
        <v>3</v>
      </c>
    </row>
    <row r="74" spans="1:17" ht="15" customHeight="1" x14ac:dyDescent="0.3">
      <c r="A74" t="s">
        <v>207</v>
      </c>
      <c r="B74" t="s">
        <v>208</v>
      </c>
      <c r="C74" t="s">
        <v>46</v>
      </c>
      <c r="E74">
        <v>50</v>
      </c>
      <c r="F74">
        <v>10</v>
      </c>
      <c r="G74">
        <v>40</v>
      </c>
      <c r="H74">
        <v>50</v>
      </c>
      <c r="I74" t="s">
        <v>64</v>
      </c>
      <c r="J74" t="s">
        <v>109</v>
      </c>
      <c r="K74" t="s">
        <v>47</v>
      </c>
      <c r="L74" t="s">
        <v>23</v>
      </c>
      <c r="M74" t="s">
        <v>24</v>
      </c>
      <c r="N74" t="s">
        <v>33</v>
      </c>
      <c r="O74" t="s">
        <v>35</v>
      </c>
      <c r="P74" t="s">
        <v>26</v>
      </c>
      <c r="Q74">
        <v>3</v>
      </c>
    </row>
    <row r="75" spans="1:17" ht="15" customHeight="1" x14ac:dyDescent="0.3">
      <c r="A75" t="s">
        <v>209</v>
      </c>
      <c r="B75" t="s">
        <v>210</v>
      </c>
      <c r="C75" t="s">
        <v>29</v>
      </c>
      <c r="E75">
        <v>40</v>
      </c>
      <c r="F75">
        <v>80</v>
      </c>
      <c r="G75">
        <v>60</v>
      </c>
      <c r="H75">
        <v>40</v>
      </c>
      <c r="I75" t="s">
        <v>57</v>
      </c>
      <c r="J75" t="s">
        <v>56</v>
      </c>
      <c r="K75" t="s">
        <v>22</v>
      </c>
      <c r="L75" t="s">
        <v>32</v>
      </c>
      <c r="M75" t="s">
        <v>34</v>
      </c>
      <c r="N75" t="s">
        <v>42</v>
      </c>
      <c r="O75" t="s">
        <v>35</v>
      </c>
      <c r="P75" t="s">
        <v>26</v>
      </c>
      <c r="Q75">
        <v>3</v>
      </c>
    </row>
    <row r="76" spans="1:17" ht="15" customHeight="1" x14ac:dyDescent="0.3">
      <c r="A76" t="s">
        <v>211</v>
      </c>
      <c r="B76" t="s">
        <v>212</v>
      </c>
      <c r="C76" t="s">
        <v>46</v>
      </c>
      <c r="D76" t="s">
        <v>39</v>
      </c>
      <c r="E76">
        <v>80</v>
      </c>
      <c r="F76">
        <v>80</v>
      </c>
      <c r="G76">
        <v>40</v>
      </c>
      <c r="H76">
        <v>60</v>
      </c>
      <c r="I76" t="s">
        <v>40</v>
      </c>
      <c r="J76" t="s">
        <v>97</v>
      </c>
      <c r="K76" t="s">
        <v>47</v>
      </c>
      <c r="L76" t="s">
        <v>23</v>
      </c>
      <c r="M76" t="s">
        <v>52</v>
      </c>
      <c r="O76" t="s">
        <v>43</v>
      </c>
      <c r="P76" t="s">
        <v>26</v>
      </c>
      <c r="Q76">
        <v>2</v>
      </c>
    </row>
    <row r="77" spans="1:17" ht="15" customHeight="1" x14ac:dyDescent="0.3">
      <c r="A77" t="s">
        <v>213</v>
      </c>
      <c r="B77" t="s">
        <v>214</v>
      </c>
      <c r="C77" t="s">
        <v>77</v>
      </c>
      <c r="D77" t="s">
        <v>46</v>
      </c>
      <c r="E77">
        <v>60</v>
      </c>
      <c r="F77">
        <v>10</v>
      </c>
      <c r="G77">
        <v>40</v>
      </c>
      <c r="H77">
        <v>40</v>
      </c>
      <c r="I77" t="s">
        <v>78</v>
      </c>
      <c r="J77" t="s">
        <v>21</v>
      </c>
      <c r="K77" t="s">
        <v>47</v>
      </c>
      <c r="L77" t="s">
        <v>23</v>
      </c>
      <c r="M77" t="s">
        <v>52</v>
      </c>
      <c r="N77" t="s">
        <v>42</v>
      </c>
      <c r="O77" t="s">
        <v>25</v>
      </c>
      <c r="P77" t="s">
        <v>26</v>
      </c>
      <c r="Q77">
        <v>5</v>
      </c>
    </row>
    <row r="78" spans="1:17" ht="15" customHeight="1" x14ac:dyDescent="0.3">
      <c r="A78" t="s">
        <v>215</v>
      </c>
      <c r="B78" t="s">
        <v>216</v>
      </c>
      <c r="C78" t="s">
        <v>29</v>
      </c>
      <c r="E78">
        <v>70</v>
      </c>
      <c r="F78">
        <v>50</v>
      </c>
      <c r="G78">
        <v>40</v>
      </c>
      <c r="H78">
        <v>10</v>
      </c>
      <c r="I78" t="s">
        <v>57</v>
      </c>
      <c r="J78" t="s">
        <v>40</v>
      </c>
      <c r="K78" t="s">
        <v>22</v>
      </c>
      <c r="L78" t="s">
        <v>32</v>
      </c>
      <c r="M78" t="s">
        <v>42</v>
      </c>
      <c r="N78" t="s">
        <v>34</v>
      </c>
      <c r="O78" t="s">
        <v>43</v>
      </c>
      <c r="P78" t="s">
        <v>36</v>
      </c>
      <c r="Q78">
        <v>2</v>
      </c>
    </row>
    <row r="79" spans="1:17" ht="15" customHeight="1" x14ac:dyDescent="0.3">
      <c r="A79" t="s">
        <v>217</v>
      </c>
      <c r="B79" t="s">
        <v>218</v>
      </c>
      <c r="C79" t="s">
        <v>55</v>
      </c>
      <c r="E79">
        <v>20</v>
      </c>
      <c r="F79">
        <v>100</v>
      </c>
      <c r="G79">
        <v>90</v>
      </c>
      <c r="H79">
        <v>50</v>
      </c>
      <c r="I79" t="s">
        <v>57</v>
      </c>
      <c r="J79" t="s">
        <v>144</v>
      </c>
      <c r="K79" t="s">
        <v>69</v>
      </c>
      <c r="L79" t="s">
        <v>120</v>
      </c>
      <c r="M79" t="s">
        <v>42</v>
      </c>
      <c r="O79" t="s">
        <v>43</v>
      </c>
      <c r="P79" t="s">
        <v>26</v>
      </c>
      <c r="Q79">
        <v>2</v>
      </c>
    </row>
    <row r="80" spans="1:17" ht="15" customHeight="1" x14ac:dyDescent="0.3">
      <c r="A80" t="s">
        <v>219</v>
      </c>
      <c r="B80" t="s">
        <v>220</v>
      </c>
      <c r="C80" t="s">
        <v>19</v>
      </c>
      <c r="E80">
        <v>70</v>
      </c>
      <c r="F80">
        <v>10</v>
      </c>
      <c r="G80">
        <v>30</v>
      </c>
      <c r="H80">
        <v>40</v>
      </c>
      <c r="I80" t="s">
        <v>40</v>
      </c>
      <c r="J80" t="s">
        <v>109</v>
      </c>
      <c r="K80" t="s">
        <v>22</v>
      </c>
      <c r="L80" t="s">
        <v>23</v>
      </c>
      <c r="M80" t="s">
        <v>24</v>
      </c>
      <c r="O80" t="s">
        <v>74</v>
      </c>
      <c r="P80" t="s">
        <v>88</v>
      </c>
      <c r="Q80">
        <v>4</v>
      </c>
    </row>
    <row r="81" spans="1:17" ht="15" customHeight="1" x14ac:dyDescent="0.3">
      <c r="A81" t="s">
        <v>221</v>
      </c>
      <c r="B81" t="s">
        <v>222</v>
      </c>
      <c r="C81" t="s">
        <v>29</v>
      </c>
      <c r="E81">
        <v>50</v>
      </c>
      <c r="F81">
        <v>70</v>
      </c>
      <c r="G81">
        <v>40</v>
      </c>
      <c r="H81">
        <v>40</v>
      </c>
      <c r="I81" t="s">
        <v>57</v>
      </c>
      <c r="J81" t="s">
        <v>40</v>
      </c>
      <c r="K81" t="s">
        <v>47</v>
      </c>
      <c r="L81" t="s">
        <v>32</v>
      </c>
      <c r="M81" t="s">
        <v>34</v>
      </c>
      <c r="O81" t="s">
        <v>35</v>
      </c>
      <c r="P81" t="s">
        <v>36</v>
      </c>
      <c r="Q81">
        <v>3</v>
      </c>
    </row>
    <row r="82" spans="1:17" ht="15" customHeight="1" x14ac:dyDescent="0.3">
      <c r="A82" t="s">
        <v>223</v>
      </c>
      <c r="B82" t="s">
        <v>224</v>
      </c>
      <c r="C82" t="s">
        <v>46</v>
      </c>
      <c r="E82">
        <v>30</v>
      </c>
      <c r="F82">
        <v>60</v>
      </c>
      <c r="G82">
        <v>90</v>
      </c>
      <c r="H82">
        <v>60</v>
      </c>
      <c r="I82" t="s">
        <v>64</v>
      </c>
      <c r="J82" t="s">
        <v>30</v>
      </c>
      <c r="K82" t="s">
        <v>69</v>
      </c>
      <c r="L82" t="s">
        <v>32</v>
      </c>
      <c r="M82" t="s">
        <v>34</v>
      </c>
      <c r="O82" t="s">
        <v>35</v>
      </c>
      <c r="P82" t="s">
        <v>26</v>
      </c>
      <c r="Q82">
        <v>3</v>
      </c>
    </row>
    <row r="83" spans="1:17" ht="15" customHeight="1" x14ac:dyDescent="0.3">
      <c r="A83" t="s">
        <v>225</v>
      </c>
      <c r="B83" t="s">
        <v>226</v>
      </c>
      <c r="C83" t="s">
        <v>29</v>
      </c>
      <c r="D83" t="s">
        <v>55</v>
      </c>
      <c r="E83">
        <v>30</v>
      </c>
      <c r="F83">
        <v>40</v>
      </c>
      <c r="G83">
        <v>90</v>
      </c>
      <c r="H83">
        <v>20</v>
      </c>
      <c r="I83" t="s">
        <v>144</v>
      </c>
      <c r="J83" t="s">
        <v>21</v>
      </c>
      <c r="K83" t="s">
        <v>22</v>
      </c>
      <c r="L83" t="s">
        <v>32</v>
      </c>
      <c r="M83" t="s">
        <v>34</v>
      </c>
      <c r="O83" t="s">
        <v>35</v>
      </c>
      <c r="P83" t="s">
        <v>36</v>
      </c>
      <c r="Q83">
        <v>3</v>
      </c>
    </row>
    <row r="84" spans="1:17" ht="15" customHeight="1" x14ac:dyDescent="0.3">
      <c r="A84" t="s">
        <v>227</v>
      </c>
      <c r="B84" t="s">
        <v>228</v>
      </c>
      <c r="C84" t="s">
        <v>29</v>
      </c>
      <c r="E84">
        <v>30</v>
      </c>
      <c r="F84">
        <v>10</v>
      </c>
      <c r="G84">
        <v>80</v>
      </c>
      <c r="H84">
        <v>40</v>
      </c>
      <c r="I84" t="s">
        <v>115</v>
      </c>
      <c r="J84" t="s">
        <v>30</v>
      </c>
      <c r="K84" t="s">
        <v>22</v>
      </c>
      <c r="L84" t="s">
        <v>120</v>
      </c>
      <c r="M84" t="s">
        <v>34</v>
      </c>
      <c r="O84" t="s">
        <v>35</v>
      </c>
      <c r="P84" t="s">
        <v>36</v>
      </c>
      <c r="Q84">
        <v>3</v>
      </c>
    </row>
    <row r="85" spans="1:17" ht="15" customHeight="1" x14ac:dyDescent="0.3">
      <c r="A85" t="s">
        <v>229</v>
      </c>
      <c r="B85" t="s">
        <v>230</v>
      </c>
      <c r="C85" t="s">
        <v>39</v>
      </c>
      <c r="E85">
        <v>60</v>
      </c>
      <c r="F85">
        <v>30</v>
      </c>
      <c r="G85">
        <v>50</v>
      </c>
      <c r="H85">
        <v>70</v>
      </c>
      <c r="I85" t="s">
        <v>86</v>
      </c>
      <c r="J85" t="s">
        <v>40</v>
      </c>
      <c r="K85" t="s">
        <v>22</v>
      </c>
      <c r="L85" t="s">
        <v>32</v>
      </c>
      <c r="M85" t="s">
        <v>33</v>
      </c>
      <c r="O85" t="s">
        <v>43</v>
      </c>
      <c r="P85" t="s">
        <v>88</v>
      </c>
      <c r="Q85">
        <v>2</v>
      </c>
    </row>
    <row r="86" spans="1:17" ht="15" customHeight="1" x14ac:dyDescent="0.3">
      <c r="A86" t="s">
        <v>231</v>
      </c>
      <c r="B86" t="s">
        <v>232</v>
      </c>
      <c r="C86" t="s">
        <v>29</v>
      </c>
      <c r="E86">
        <v>50</v>
      </c>
      <c r="F86">
        <v>20</v>
      </c>
      <c r="G86">
        <v>50</v>
      </c>
      <c r="H86">
        <v>40</v>
      </c>
      <c r="I86" t="s">
        <v>40</v>
      </c>
      <c r="J86" t="s">
        <v>30</v>
      </c>
      <c r="K86" t="s">
        <v>22</v>
      </c>
      <c r="L86" t="s">
        <v>32</v>
      </c>
      <c r="M86" t="s">
        <v>34</v>
      </c>
      <c r="N86" t="s">
        <v>33</v>
      </c>
      <c r="O86" t="s">
        <v>35</v>
      </c>
      <c r="P86" t="s">
        <v>36</v>
      </c>
      <c r="Q86">
        <v>3</v>
      </c>
    </row>
    <row r="87" spans="1:17" ht="15" customHeight="1" x14ac:dyDescent="0.3">
      <c r="A87" t="s">
        <v>233</v>
      </c>
      <c r="B87" t="s">
        <v>234</v>
      </c>
      <c r="C87" t="s">
        <v>46</v>
      </c>
      <c r="E87">
        <v>100</v>
      </c>
      <c r="F87">
        <v>20</v>
      </c>
      <c r="G87">
        <v>50</v>
      </c>
      <c r="H87">
        <v>50</v>
      </c>
      <c r="I87" t="s">
        <v>50</v>
      </c>
      <c r="J87" t="s">
        <v>21</v>
      </c>
      <c r="K87" t="s">
        <v>47</v>
      </c>
      <c r="L87" t="s">
        <v>23</v>
      </c>
      <c r="M87" t="s">
        <v>52</v>
      </c>
      <c r="O87" t="s">
        <v>35</v>
      </c>
      <c r="P87" t="s">
        <v>26</v>
      </c>
      <c r="Q87">
        <v>3</v>
      </c>
    </row>
    <row r="88" spans="1:17" ht="15" customHeight="1" x14ac:dyDescent="0.3">
      <c r="A88" t="s">
        <v>235</v>
      </c>
      <c r="B88" t="s">
        <v>236</v>
      </c>
      <c r="C88" t="s">
        <v>55</v>
      </c>
      <c r="E88">
        <v>30</v>
      </c>
      <c r="F88">
        <v>60</v>
      </c>
      <c r="G88">
        <v>100</v>
      </c>
      <c r="H88">
        <v>20</v>
      </c>
      <c r="I88" t="s">
        <v>237</v>
      </c>
      <c r="J88" t="s">
        <v>83</v>
      </c>
      <c r="K88" t="s">
        <v>47</v>
      </c>
      <c r="L88" t="s">
        <v>32</v>
      </c>
      <c r="M88" t="s">
        <v>33</v>
      </c>
      <c r="N88" t="s">
        <v>42</v>
      </c>
      <c r="O88" t="s">
        <v>35</v>
      </c>
      <c r="P88" t="s">
        <v>26</v>
      </c>
      <c r="Q88">
        <v>3</v>
      </c>
    </row>
    <row r="89" spans="1:17" ht="15" customHeight="1" x14ac:dyDescent="0.3">
      <c r="A89" t="s">
        <v>238</v>
      </c>
      <c r="B89" t="s">
        <v>239</v>
      </c>
      <c r="C89" t="s">
        <v>29</v>
      </c>
      <c r="D89" t="s">
        <v>55</v>
      </c>
      <c r="E89">
        <v>70</v>
      </c>
      <c r="F89">
        <v>30</v>
      </c>
      <c r="G89">
        <v>50</v>
      </c>
      <c r="H89">
        <v>30</v>
      </c>
      <c r="I89" t="s">
        <v>20</v>
      </c>
      <c r="J89" t="s">
        <v>30</v>
      </c>
      <c r="K89" t="s">
        <v>22</v>
      </c>
      <c r="L89" t="s">
        <v>32</v>
      </c>
      <c r="M89" t="s">
        <v>34</v>
      </c>
      <c r="O89" t="s">
        <v>43</v>
      </c>
      <c r="P89" t="s">
        <v>36</v>
      </c>
      <c r="Q89">
        <v>2</v>
      </c>
    </row>
    <row r="90" spans="1:17" ht="15" customHeight="1" x14ac:dyDescent="0.3">
      <c r="A90" t="s">
        <v>240</v>
      </c>
      <c r="B90" t="s">
        <v>241</v>
      </c>
      <c r="C90" t="s">
        <v>19</v>
      </c>
      <c r="E90">
        <v>60</v>
      </c>
      <c r="F90">
        <v>30</v>
      </c>
      <c r="G90">
        <v>20</v>
      </c>
      <c r="H90">
        <v>60</v>
      </c>
      <c r="I90" t="s">
        <v>97</v>
      </c>
      <c r="J90" t="s">
        <v>86</v>
      </c>
      <c r="K90" t="s">
        <v>22</v>
      </c>
      <c r="L90" t="s">
        <v>23</v>
      </c>
      <c r="M90" t="s">
        <v>24</v>
      </c>
      <c r="O90" t="s">
        <v>74</v>
      </c>
      <c r="P90" t="s">
        <v>26</v>
      </c>
      <c r="Q90">
        <v>4</v>
      </c>
    </row>
    <row r="91" spans="1:17" ht="15" customHeight="1" x14ac:dyDescent="0.3">
      <c r="A91" t="s">
        <v>242</v>
      </c>
      <c r="B91" t="s">
        <v>243</v>
      </c>
      <c r="C91" t="s">
        <v>29</v>
      </c>
      <c r="E91">
        <v>40</v>
      </c>
      <c r="F91">
        <v>70</v>
      </c>
      <c r="G91">
        <v>50</v>
      </c>
      <c r="H91">
        <v>20</v>
      </c>
      <c r="I91" t="s">
        <v>41</v>
      </c>
      <c r="J91" t="s">
        <v>30</v>
      </c>
      <c r="K91" t="s">
        <v>47</v>
      </c>
      <c r="L91" t="s">
        <v>32</v>
      </c>
      <c r="M91" t="s">
        <v>34</v>
      </c>
      <c r="O91" t="s">
        <v>35</v>
      </c>
      <c r="P91" t="s">
        <v>26</v>
      </c>
      <c r="Q91">
        <v>3</v>
      </c>
    </row>
    <row r="92" spans="1:17" ht="15" customHeight="1" x14ac:dyDescent="0.3">
      <c r="A92" t="s">
        <v>244</v>
      </c>
      <c r="B92" t="s">
        <v>245</v>
      </c>
      <c r="C92" t="s">
        <v>46</v>
      </c>
      <c r="E92">
        <v>100</v>
      </c>
      <c r="F92">
        <v>50</v>
      </c>
      <c r="G92">
        <v>40</v>
      </c>
      <c r="H92">
        <v>40</v>
      </c>
      <c r="I92" t="s">
        <v>50</v>
      </c>
      <c r="J92" t="s">
        <v>21</v>
      </c>
      <c r="K92" t="s">
        <v>47</v>
      </c>
      <c r="L92" t="s">
        <v>23</v>
      </c>
      <c r="M92" t="s">
        <v>52</v>
      </c>
      <c r="O92" t="s">
        <v>25</v>
      </c>
      <c r="P92" t="s">
        <v>26</v>
      </c>
      <c r="Q92">
        <v>5</v>
      </c>
    </row>
    <row r="93" spans="1:17" ht="15" customHeight="1" x14ac:dyDescent="0.3">
      <c r="A93" t="s">
        <v>246</v>
      </c>
      <c r="B93" t="s">
        <v>247</v>
      </c>
      <c r="C93" t="s">
        <v>77</v>
      </c>
      <c r="D93" t="s">
        <v>55</v>
      </c>
      <c r="E93">
        <v>20</v>
      </c>
      <c r="F93">
        <v>80</v>
      </c>
      <c r="G93">
        <v>90</v>
      </c>
      <c r="H93">
        <v>40</v>
      </c>
      <c r="I93" t="s">
        <v>56</v>
      </c>
      <c r="J93" t="s">
        <v>30</v>
      </c>
      <c r="K93" t="s">
        <v>47</v>
      </c>
      <c r="L93" t="s">
        <v>32</v>
      </c>
      <c r="M93" t="s">
        <v>42</v>
      </c>
      <c r="O93" t="s">
        <v>43</v>
      </c>
      <c r="P93" t="s">
        <v>26</v>
      </c>
      <c r="Q93">
        <v>2</v>
      </c>
    </row>
    <row r="94" spans="1:17" ht="15" customHeight="1" x14ac:dyDescent="0.3">
      <c r="A94" t="s">
        <v>248</v>
      </c>
      <c r="B94" t="s">
        <v>249</v>
      </c>
      <c r="C94" t="s">
        <v>55</v>
      </c>
      <c r="E94">
        <v>10</v>
      </c>
      <c r="F94">
        <v>90</v>
      </c>
      <c r="G94">
        <v>80</v>
      </c>
      <c r="H94">
        <v>50</v>
      </c>
      <c r="I94" t="s">
        <v>56</v>
      </c>
      <c r="J94" t="s">
        <v>57</v>
      </c>
      <c r="K94" t="s">
        <v>47</v>
      </c>
      <c r="L94" t="s">
        <v>32</v>
      </c>
      <c r="M94" t="s">
        <v>42</v>
      </c>
      <c r="O94" t="s">
        <v>43</v>
      </c>
      <c r="P94" t="s">
        <v>26</v>
      </c>
      <c r="Q94">
        <v>2</v>
      </c>
    </row>
    <row r="95" spans="1:17" ht="15" customHeight="1" x14ac:dyDescent="0.3">
      <c r="A95" t="s">
        <v>250</v>
      </c>
      <c r="B95" t="s">
        <v>251</v>
      </c>
      <c r="C95" t="s">
        <v>19</v>
      </c>
      <c r="E95">
        <v>70</v>
      </c>
      <c r="F95">
        <v>70</v>
      </c>
      <c r="G95">
        <v>30</v>
      </c>
      <c r="H95">
        <v>50</v>
      </c>
      <c r="I95" t="s">
        <v>112</v>
      </c>
      <c r="J95" t="s">
        <v>57</v>
      </c>
      <c r="K95" t="s">
        <v>69</v>
      </c>
      <c r="L95" t="s">
        <v>23</v>
      </c>
      <c r="M95" t="s">
        <v>33</v>
      </c>
      <c r="N95" t="s">
        <v>24</v>
      </c>
      <c r="O95" t="s">
        <v>35</v>
      </c>
      <c r="P95" t="s">
        <v>26</v>
      </c>
      <c r="Q95">
        <v>3</v>
      </c>
    </row>
    <row r="96" spans="1:17" ht="15" customHeight="1" x14ac:dyDescent="0.3">
      <c r="A96" t="s">
        <v>252</v>
      </c>
      <c r="B96" t="s">
        <v>253</v>
      </c>
      <c r="C96" t="s">
        <v>29</v>
      </c>
      <c r="E96">
        <v>40</v>
      </c>
      <c r="F96">
        <v>70</v>
      </c>
      <c r="G96">
        <v>70</v>
      </c>
      <c r="H96">
        <v>70</v>
      </c>
      <c r="I96" t="s">
        <v>30</v>
      </c>
      <c r="J96" t="s">
        <v>125</v>
      </c>
      <c r="K96" t="s">
        <v>22</v>
      </c>
      <c r="L96" t="s">
        <v>32</v>
      </c>
      <c r="M96" t="s">
        <v>34</v>
      </c>
      <c r="O96" t="s">
        <v>35</v>
      </c>
      <c r="P96" t="s">
        <v>36</v>
      </c>
      <c r="Q96">
        <v>3</v>
      </c>
    </row>
    <row r="97" spans="1:17" ht="15" customHeight="1" x14ac:dyDescent="0.3">
      <c r="A97" t="s">
        <v>254</v>
      </c>
      <c r="B97" t="s">
        <v>255</v>
      </c>
      <c r="C97" t="s">
        <v>46</v>
      </c>
      <c r="E97">
        <v>100</v>
      </c>
      <c r="F97">
        <v>40</v>
      </c>
      <c r="G97">
        <v>20</v>
      </c>
      <c r="H97">
        <v>50</v>
      </c>
      <c r="I97" t="s">
        <v>21</v>
      </c>
      <c r="J97" t="s">
        <v>125</v>
      </c>
      <c r="K97" t="s">
        <v>47</v>
      </c>
      <c r="L97" t="s">
        <v>23</v>
      </c>
      <c r="M97" t="s">
        <v>52</v>
      </c>
      <c r="O97" t="s">
        <v>35</v>
      </c>
      <c r="P97" t="s">
        <v>26</v>
      </c>
      <c r="Q97">
        <v>3</v>
      </c>
    </row>
    <row r="98" spans="1:17" ht="15" customHeight="1" x14ac:dyDescent="0.3">
      <c r="A98" t="s">
        <v>256</v>
      </c>
      <c r="B98" t="s">
        <v>257</v>
      </c>
      <c r="C98" t="s">
        <v>39</v>
      </c>
      <c r="D98" t="s">
        <v>29</v>
      </c>
      <c r="E98">
        <v>50</v>
      </c>
      <c r="F98">
        <v>20</v>
      </c>
      <c r="G98">
        <v>60</v>
      </c>
      <c r="H98">
        <v>70</v>
      </c>
      <c r="I98" t="s">
        <v>97</v>
      </c>
      <c r="J98" t="s">
        <v>109</v>
      </c>
      <c r="K98" t="s">
        <v>22</v>
      </c>
      <c r="L98" t="s">
        <v>32</v>
      </c>
      <c r="M98" t="s">
        <v>34</v>
      </c>
      <c r="O98" t="s">
        <v>43</v>
      </c>
      <c r="P98" t="s">
        <v>26</v>
      </c>
      <c r="Q98">
        <v>2</v>
      </c>
    </row>
    <row r="99" spans="1:17" ht="15" customHeight="1" x14ac:dyDescent="0.3">
      <c r="A99" t="s">
        <v>258</v>
      </c>
      <c r="B99" t="s">
        <v>259</v>
      </c>
      <c r="C99" t="s">
        <v>29</v>
      </c>
      <c r="E99">
        <v>50</v>
      </c>
      <c r="F99">
        <v>50</v>
      </c>
      <c r="G99">
        <v>80</v>
      </c>
      <c r="H99">
        <v>50</v>
      </c>
      <c r="I99" t="s">
        <v>30</v>
      </c>
      <c r="J99" t="s">
        <v>21</v>
      </c>
      <c r="K99" t="s">
        <v>22</v>
      </c>
      <c r="L99" t="s">
        <v>32</v>
      </c>
      <c r="M99" t="s">
        <v>42</v>
      </c>
      <c r="N99" t="s">
        <v>34</v>
      </c>
      <c r="O99" t="s">
        <v>43</v>
      </c>
      <c r="P99" t="s">
        <v>36</v>
      </c>
      <c r="Q99">
        <v>2</v>
      </c>
    </row>
    <row r="100" spans="1:17" ht="15" customHeight="1" x14ac:dyDescent="0.3">
      <c r="A100" t="s">
        <v>260</v>
      </c>
      <c r="B100" t="s">
        <v>261</v>
      </c>
      <c r="C100" t="s">
        <v>55</v>
      </c>
      <c r="D100" t="s">
        <v>29</v>
      </c>
      <c r="E100">
        <v>30</v>
      </c>
      <c r="F100">
        <v>90</v>
      </c>
      <c r="G100">
        <v>100</v>
      </c>
      <c r="H100">
        <v>40</v>
      </c>
      <c r="I100" t="s">
        <v>30</v>
      </c>
      <c r="J100" t="s">
        <v>57</v>
      </c>
      <c r="K100" t="s">
        <v>22</v>
      </c>
      <c r="L100" t="s">
        <v>32</v>
      </c>
      <c r="M100" t="s">
        <v>33</v>
      </c>
      <c r="O100" t="s">
        <v>35</v>
      </c>
      <c r="P100" t="s">
        <v>26</v>
      </c>
      <c r="Q100">
        <v>3</v>
      </c>
    </row>
    <row r="101" spans="1:17" ht="15" customHeight="1" x14ac:dyDescent="0.3">
      <c r="A101" t="s">
        <v>262</v>
      </c>
      <c r="B101" t="s">
        <v>263</v>
      </c>
      <c r="C101" t="s">
        <v>19</v>
      </c>
      <c r="E101">
        <v>70</v>
      </c>
      <c r="F101">
        <v>50</v>
      </c>
      <c r="G101">
        <v>40</v>
      </c>
      <c r="H101">
        <v>50</v>
      </c>
      <c r="I101" t="s">
        <v>40</v>
      </c>
      <c r="J101" t="s">
        <v>57</v>
      </c>
      <c r="K101" t="s">
        <v>22</v>
      </c>
      <c r="L101" t="s">
        <v>23</v>
      </c>
      <c r="M101" t="s">
        <v>24</v>
      </c>
      <c r="O101" t="s">
        <v>74</v>
      </c>
      <c r="P101" t="s">
        <v>26</v>
      </c>
      <c r="Q101">
        <v>4</v>
      </c>
    </row>
    <row r="102" spans="1:17" ht="15" customHeight="1" x14ac:dyDescent="0.3">
      <c r="A102" t="s">
        <v>264</v>
      </c>
      <c r="B102" t="s">
        <v>265</v>
      </c>
      <c r="C102" t="s">
        <v>46</v>
      </c>
      <c r="E102">
        <v>80</v>
      </c>
      <c r="F102">
        <v>40</v>
      </c>
      <c r="G102">
        <v>40</v>
      </c>
      <c r="H102">
        <v>70</v>
      </c>
      <c r="I102" t="s">
        <v>51</v>
      </c>
      <c r="J102" t="s">
        <v>21</v>
      </c>
      <c r="K102" t="s">
        <v>47</v>
      </c>
      <c r="L102" t="s">
        <v>23</v>
      </c>
      <c r="M102" t="s">
        <v>52</v>
      </c>
      <c r="O102" t="s">
        <v>35</v>
      </c>
      <c r="P102" t="s">
        <v>26</v>
      </c>
      <c r="Q102">
        <v>3</v>
      </c>
    </row>
    <row r="103" spans="1:17" ht="15" customHeight="1" x14ac:dyDescent="0.3">
      <c r="A103" t="s">
        <v>266</v>
      </c>
      <c r="B103" t="s">
        <v>267</v>
      </c>
      <c r="C103" t="s">
        <v>77</v>
      </c>
      <c r="D103" t="s">
        <v>39</v>
      </c>
      <c r="E103">
        <v>20</v>
      </c>
      <c r="F103">
        <v>40</v>
      </c>
      <c r="G103">
        <v>80</v>
      </c>
      <c r="H103">
        <v>40</v>
      </c>
      <c r="I103" t="s">
        <v>64</v>
      </c>
      <c r="J103" t="s">
        <v>109</v>
      </c>
      <c r="K103" t="s">
        <v>47</v>
      </c>
      <c r="L103" t="s">
        <v>23</v>
      </c>
      <c r="M103" t="s">
        <v>42</v>
      </c>
      <c r="O103" t="s">
        <v>43</v>
      </c>
      <c r="P103" t="s">
        <v>26</v>
      </c>
      <c r="Q103">
        <v>2</v>
      </c>
    </row>
    <row r="104" spans="1:17" ht="15" customHeight="1" x14ac:dyDescent="0.3">
      <c r="A104" t="s">
        <v>268</v>
      </c>
      <c r="B104" t="s">
        <v>269</v>
      </c>
      <c r="C104" t="s">
        <v>29</v>
      </c>
      <c r="D104" t="s">
        <v>39</v>
      </c>
      <c r="E104">
        <v>50</v>
      </c>
      <c r="F104">
        <v>40</v>
      </c>
      <c r="G104">
        <v>60</v>
      </c>
      <c r="H104">
        <v>80</v>
      </c>
      <c r="I104" t="s">
        <v>109</v>
      </c>
      <c r="J104" t="s">
        <v>40</v>
      </c>
      <c r="K104" t="s">
        <v>22</v>
      </c>
      <c r="L104" t="s">
        <v>32</v>
      </c>
      <c r="M104" t="s">
        <v>34</v>
      </c>
      <c r="O104" t="s">
        <v>87</v>
      </c>
      <c r="P104" t="s">
        <v>36</v>
      </c>
      <c r="Q104">
        <v>1</v>
      </c>
    </row>
    <row r="105" spans="1:17" ht="15" customHeight="1" x14ac:dyDescent="0.3">
      <c r="A105" t="s">
        <v>270</v>
      </c>
      <c r="B105" t="s">
        <v>271</v>
      </c>
      <c r="C105" t="s">
        <v>55</v>
      </c>
      <c r="E105">
        <v>30</v>
      </c>
      <c r="F105">
        <v>100</v>
      </c>
      <c r="G105">
        <v>100</v>
      </c>
      <c r="H105">
        <v>70</v>
      </c>
      <c r="I105" t="s">
        <v>30</v>
      </c>
      <c r="J105" t="s">
        <v>41</v>
      </c>
      <c r="K105" t="s">
        <v>47</v>
      </c>
      <c r="L105" t="s">
        <v>32</v>
      </c>
      <c r="M105" t="s">
        <v>42</v>
      </c>
      <c r="N105" t="s">
        <v>34</v>
      </c>
      <c r="O105" t="s">
        <v>43</v>
      </c>
      <c r="P105" t="s">
        <v>26</v>
      </c>
      <c r="Q105">
        <v>2</v>
      </c>
    </row>
    <row r="106" spans="1:17" ht="15" customHeight="1" x14ac:dyDescent="0.3">
      <c r="A106" t="s">
        <v>272</v>
      </c>
      <c r="B106" t="s">
        <v>273</v>
      </c>
      <c r="C106" t="s">
        <v>19</v>
      </c>
      <c r="E106">
        <v>80</v>
      </c>
      <c r="F106">
        <v>10</v>
      </c>
      <c r="G106">
        <v>30</v>
      </c>
      <c r="H106">
        <v>70</v>
      </c>
      <c r="I106" t="s">
        <v>20</v>
      </c>
      <c r="J106" t="s">
        <v>40</v>
      </c>
      <c r="K106" t="s">
        <v>22</v>
      </c>
      <c r="L106" t="s">
        <v>23</v>
      </c>
      <c r="M106" t="s">
        <v>24</v>
      </c>
      <c r="O106" t="s">
        <v>74</v>
      </c>
      <c r="P106" t="s">
        <v>36</v>
      </c>
      <c r="Q106">
        <v>4</v>
      </c>
    </row>
    <row r="107" spans="1:17" ht="15" customHeight="1" x14ac:dyDescent="0.3">
      <c r="A107" t="s">
        <v>274</v>
      </c>
      <c r="B107" t="s">
        <v>275</v>
      </c>
      <c r="C107" t="s">
        <v>29</v>
      </c>
      <c r="E107">
        <v>70</v>
      </c>
      <c r="F107">
        <v>30</v>
      </c>
      <c r="G107">
        <v>80</v>
      </c>
      <c r="H107">
        <v>30</v>
      </c>
      <c r="I107" t="s">
        <v>64</v>
      </c>
      <c r="J107" t="s">
        <v>40</v>
      </c>
      <c r="K107" t="s">
        <v>69</v>
      </c>
      <c r="L107" t="s">
        <v>32</v>
      </c>
      <c r="M107" t="s">
        <v>34</v>
      </c>
      <c r="O107" t="s">
        <v>35</v>
      </c>
      <c r="P107" t="s">
        <v>36</v>
      </c>
      <c r="Q107">
        <v>3</v>
      </c>
    </row>
    <row r="108" spans="1:17" ht="15" customHeight="1" x14ac:dyDescent="0.3">
      <c r="A108" t="s">
        <v>276</v>
      </c>
      <c r="B108" t="s">
        <v>277</v>
      </c>
      <c r="C108" t="s">
        <v>19</v>
      </c>
      <c r="E108">
        <v>60</v>
      </c>
      <c r="F108">
        <v>20</v>
      </c>
      <c r="G108">
        <v>20</v>
      </c>
      <c r="H108">
        <v>20</v>
      </c>
      <c r="I108" t="s">
        <v>20</v>
      </c>
      <c r="J108" t="s">
        <v>21</v>
      </c>
      <c r="K108" t="s">
        <v>47</v>
      </c>
      <c r="L108" t="s">
        <v>23</v>
      </c>
      <c r="M108" t="s">
        <v>24</v>
      </c>
      <c r="O108" t="s">
        <v>74</v>
      </c>
      <c r="P108" t="s">
        <v>26</v>
      </c>
      <c r="Q108">
        <v>4</v>
      </c>
    </row>
    <row r="109" spans="1:17" ht="15" customHeight="1" x14ac:dyDescent="0.3">
      <c r="A109" t="s">
        <v>278</v>
      </c>
      <c r="B109" t="s">
        <v>279</v>
      </c>
      <c r="C109" t="s">
        <v>29</v>
      </c>
      <c r="E109">
        <v>60</v>
      </c>
      <c r="F109">
        <v>10</v>
      </c>
      <c r="G109">
        <v>60</v>
      </c>
      <c r="H109">
        <v>40</v>
      </c>
      <c r="I109" t="s">
        <v>20</v>
      </c>
      <c r="J109" t="s">
        <v>30</v>
      </c>
      <c r="K109" t="s">
        <v>22</v>
      </c>
      <c r="L109" t="s">
        <v>32</v>
      </c>
      <c r="M109" t="s">
        <v>33</v>
      </c>
      <c r="O109" t="s">
        <v>35</v>
      </c>
      <c r="P109" t="s">
        <v>36</v>
      </c>
      <c r="Q109">
        <v>3</v>
      </c>
    </row>
    <row r="110" spans="1:17" ht="15" customHeight="1" x14ac:dyDescent="0.3">
      <c r="A110" t="s">
        <v>280</v>
      </c>
      <c r="B110" t="s">
        <v>281</v>
      </c>
      <c r="C110" t="s">
        <v>39</v>
      </c>
      <c r="E110">
        <v>70</v>
      </c>
      <c r="F110">
        <v>10</v>
      </c>
      <c r="G110">
        <v>30</v>
      </c>
      <c r="H110">
        <v>50</v>
      </c>
      <c r="I110" t="s">
        <v>97</v>
      </c>
      <c r="J110" t="s">
        <v>40</v>
      </c>
      <c r="K110" t="s">
        <v>47</v>
      </c>
      <c r="L110" t="s">
        <v>32</v>
      </c>
      <c r="M110" t="s">
        <v>33</v>
      </c>
      <c r="O110" t="s">
        <v>43</v>
      </c>
      <c r="P110" t="s">
        <v>26</v>
      </c>
      <c r="Q110">
        <v>2</v>
      </c>
    </row>
    <row r="111" spans="1:17" ht="15" customHeight="1" x14ac:dyDescent="0.3">
      <c r="A111" t="s">
        <v>282</v>
      </c>
      <c r="B111" t="s">
        <v>283</v>
      </c>
      <c r="C111" t="s">
        <v>46</v>
      </c>
      <c r="E111">
        <v>90</v>
      </c>
      <c r="F111">
        <v>80</v>
      </c>
      <c r="G111">
        <v>50</v>
      </c>
      <c r="H111">
        <v>80</v>
      </c>
      <c r="I111" t="s">
        <v>40</v>
      </c>
      <c r="J111" t="s">
        <v>30</v>
      </c>
      <c r="K111" t="s">
        <v>47</v>
      </c>
      <c r="L111" t="s">
        <v>23</v>
      </c>
      <c r="M111" t="s">
        <v>52</v>
      </c>
      <c r="O111" t="s">
        <v>35</v>
      </c>
      <c r="P111" t="s">
        <v>26</v>
      </c>
      <c r="Q111">
        <v>3</v>
      </c>
    </row>
    <row r="112" spans="1:17" ht="15" customHeight="1" x14ac:dyDescent="0.3">
      <c r="A112" t="s">
        <v>284</v>
      </c>
      <c r="B112" t="s">
        <v>285</v>
      </c>
      <c r="C112" t="s">
        <v>55</v>
      </c>
      <c r="D112" t="s">
        <v>19</v>
      </c>
      <c r="E112">
        <v>30</v>
      </c>
      <c r="F112">
        <v>100</v>
      </c>
      <c r="G112">
        <v>70</v>
      </c>
      <c r="H112">
        <v>30</v>
      </c>
      <c r="I112" t="s">
        <v>64</v>
      </c>
      <c r="J112" t="s">
        <v>57</v>
      </c>
      <c r="K112" t="s">
        <v>69</v>
      </c>
      <c r="L112" t="s">
        <v>120</v>
      </c>
      <c r="M112" t="s">
        <v>34</v>
      </c>
      <c r="N112" t="s">
        <v>42</v>
      </c>
      <c r="O112" t="s">
        <v>25</v>
      </c>
      <c r="P112" t="s">
        <v>36</v>
      </c>
      <c r="Q112">
        <v>5</v>
      </c>
    </row>
    <row r="113" spans="1:17" ht="15" customHeight="1" x14ac:dyDescent="0.3">
      <c r="A113" t="s">
        <v>286</v>
      </c>
      <c r="B113" t="s">
        <v>287</v>
      </c>
      <c r="C113" t="s">
        <v>77</v>
      </c>
      <c r="E113">
        <v>10</v>
      </c>
      <c r="F113">
        <v>70</v>
      </c>
      <c r="G113">
        <v>60</v>
      </c>
      <c r="H113">
        <v>10</v>
      </c>
      <c r="I113" t="s">
        <v>78</v>
      </c>
      <c r="J113" t="s">
        <v>51</v>
      </c>
      <c r="K113" t="s">
        <v>47</v>
      </c>
      <c r="L113" t="s">
        <v>23</v>
      </c>
      <c r="M113" t="s">
        <v>42</v>
      </c>
      <c r="O113" t="s">
        <v>35</v>
      </c>
      <c r="P113" t="s">
        <v>26</v>
      </c>
      <c r="Q113">
        <v>3</v>
      </c>
    </row>
    <row r="114" spans="1:17" ht="15" customHeight="1" x14ac:dyDescent="0.3">
      <c r="A114" t="s">
        <v>288</v>
      </c>
      <c r="B114" t="s">
        <v>289</v>
      </c>
      <c r="C114" t="s">
        <v>29</v>
      </c>
      <c r="D114" t="s">
        <v>39</v>
      </c>
      <c r="E114">
        <v>60</v>
      </c>
      <c r="F114">
        <v>80</v>
      </c>
      <c r="G114">
        <v>50</v>
      </c>
      <c r="H114">
        <v>40</v>
      </c>
      <c r="I114" t="s">
        <v>41</v>
      </c>
      <c r="J114" t="s">
        <v>40</v>
      </c>
      <c r="K114" t="s">
        <v>22</v>
      </c>
      <c r="L114" t="s">
        <v>32</v>
      </c>
      <c r="M114" t="s">
        <v>33</v>
      </c>
      <c r="N114" t="s">
        <v>34</v>
      </c>
      <c r="O114" t="s">
        <v>35</v>
      </c>
      <c r="P114" t="s">
        <v>36</v>
      </c>
      <c r="Q114">
        <v>3</v>
      </c>
    </row>
    <row r="115" spans="1:17" ht="15" customHeight="1" x14ac:dyDescent="0.3">
      <c r="A115" t="s">
        <v>290</v>
      </c>
      <c r="B115" t="s">
        <v>291</v>
      </c>
      <c r="C115" t="s">
        <v>19</v>
      </c>
      <c r="E115">
        <v>90</v>
      </c>
      <c r="F115">
        <v>40</v>
      </c>
      <c r="G115">
        <v>20</v>
      </c>
      <c r="H115">
        <v>40</v>
      </c>
      <c r="I115" t="s">
        <v>64</v>
      </c>
      <c r="J115" t="s">
        <v>20</v>
      </c>
      <c r="K115" t="s">
        <v>69</v>
      </c>
      <c r="L115" t="s">
        <v>23</v>
      </c>
      <c r="M115" t="s">
        <v>24</v>
      </c>
      <c r="O115" t="s">
        <v>74</v>
      </c>
      <c r="P115" t="s">
        <v>26</v>
      </c>
      <c r="Q115">
        <v>4</v>
      </c>
    </row>
    <row r="116" spans="1:17" ht="15" customHeight="1" x14ac:dyDescent="0.3">
      <c r="A116" t="s">
        <v>292</v>
      </c>
      <c r="B116" t="s">
        <v>293</v>
      </c>
      <c r="C116" t="s">
        <v>46</v>
      </c>
      <c r="E116">
        <v>100</v>
      </c>
      <c r="F116">
        <v>80</v>
      </c>
      <c r="G116">
        <v>20</v>
      </c>
      <c r="H116">
        <v>30</v>
      </c>
      <c r="I116" t="s">
        <v>50</v>
      </c>
      <c r="J116" t="s">
        <v>40</v>
      </c>
      <c r="K116" t="s">
        <v>47</v>
      </c>
      <c r="L116" t="s">
        <v>23</v>
      </c>
      <c r="M116" t="s">
        <v>52</v>
      </c>
      <c r="O116" t="s">
        <v>35</v>
      </c>
      <c r="P116" t="s">
        <v>26</v>
      </c>
      <c r="Q116">
        <v>3</v>
      </c>
    </row>
    <row r="117" spans="1:17" ht="15" customHeight="1" x14ac:dyDescent="0.3">
      <c r="A117" t="s">
        <v>294</v>
      </c>
      <c r="B117" t="s">
        <v>295</v>
      </c>
      <c r="C117" t="s">
        <v>39</v>
      </c>
      <c r="D117" t="s">
        <v>29</v>
      </c>
      <c r="E117">
        <v>60</v>
      </c>
      <c r="F117">
        <v>70</v>
      </c>
      <c r="G117">
        <v>60</v>
      </c>
      <c r="H117">
        <v>20</v>
      </c>
      <c r="I117" t="s">
        <v>40</v>
      </c>
      <c r="J117" t="s">
        <v>97</v>
      </c>
      <c r="K117" t="s">
        <v>47</v>
      </c>
      <c r="L117" t="s">
        <v>32</v>
      </c>
      <c r="M117" t="s">
        <v>33</v>
      </c>
      <c r="N117" t="s">
        <v>34</v>
      </c>
      <c r="O117" t="s">
        <v>43</v>
      </c>
      <c r="P117" t="s">
        <v>26</v>
      </c>
      <c r="Q117">
        <v>2</v>
      </c>
    </row>
    <row r="118" spans="1:17" ht="15" customHeight="1" x14ac:dyDescent="0.3">
      <c r="A118" t="s">
        <v>296</v>
      </c>
      <c r="B118" t="s">
        <v>297</v>
      </c>
      <c r="C118" t="s">
        <v>29</v>
      </c>
      <c r="D118" t="s">
        <v>55</v>
      </c>
      <c r="E118">
        <v>50</v>
      </c>
      <c r="F118">
        <v>60</v>
      </c>
      <c r="G118">
        <v>80</v>
      </c>
      <c r="H118">
        <v>40</v>
      </c>
      <c r="I118" t="s">
        <v>30</v>
      </c>
      <c r="J118" t="s">
        <v>56</v>
      </c>
      <c r="K118" t="s">
        <v>22</v>
      </c>
      <c r="L118" t="s">
        <v>32</v>
      </c>
      <c r="M118" t="s">
        <v>33</v>
      </c>
      <c r="O118" t="s">
        <v>35</v>
      </c>
      <c r="P118" t="s">
        <v>36</v>
      </c>
      <c r="Q118">
        <v>3</v>
      </c>
    </row>
    <row r="119" spans="1:17" ht="15" customHeight="1" x14ac:dyDescent="0.3">
      <c r="A119" t="s">
        <v>298</v>
      </c>
      <c r="B119" t="s">
        <v>299</v>
      </c>
      <c r="C119" t="s">
        <v>39</v>
      </c>
      <c r="E119">
        <v>70</v>
      </c>
      <c r="F119">
        <v>10</v>
      </c>
      <c r="G119">
        <v>30</v>
      </c>
      <c r="H119">
        <v>90</v>
      </c>
      <c r="I119" t="s">
        <v>86</v>
      </c>
      <c r="J119" t="s">
        <v>64</v>
      </c>
      <c r="K119" t="s">
        <v>47</v>
      </c>
      <c r="L119" t="s">
        <v>32</v>
      </c>
      <c r="M119" t="s">
        <v>33</v>
      </c>
      <c r="O119" t="s">
        <v>43</v>
      </c>
      <c r="P119" t="s">
        <v>36</v>
      </c>
      <c r="Q119">
        <v>2</v>
      </c>
    </row>
    <row r="120" spans="1:17" ht="15" customHeight="1" x14ac:dyDescent="0.3">
      <c r="A120" t="s">
        <v>300</v>
      </c>
      <c r="B120" t="s">
        <v>301</v>
      </c>
      <c r="C120" t="s">
        <v>46</v>
      </c>
      <c r="E120">
        <v>90</v>
      </c>
      <c r="F120">
        <v>30</v>
      </c>
      <c r="G120">
        <v>30</v>
      </c>
      <c r="H120">
        <v>60</v>
      </c>
      <c r="I120" t="s">
        <v>104</v>
      </c>
      <c r="J120" t="s">
        <v>50</v>
      </c>
      <c r="K120" t="s">
        <v>47</v>
      </c>
      <c r="L120" t="s">
        <v>23</v>
      </c>
      <c r="M120" t="s">
        <v>52</v>
      </c>
      <c r="O120" t="s">
        <v>35</v>
      </c>
      <c r="P120" t="s">
        <v>26</v>
      </c>
      <c r="Q120">
        <v>3</v>
      </c>
    </row>
    <row r="121" spans="1:17" ht="15" customHeight="1" x14ac:dyDescent="0.3">
      <c r="A121" t="s">
        <v>302</v>
      </c>
      <c r="B121" t="s">
        <v>303</v>
      </c>
      <c r="C121" t="s">
        <v>29</v>
      </c>
      <c r="D121" t="s">
        <v>39</v>
      </c>
      <c r="E121">
        <v>60</v>
      </c>
      <c r="F121">
        <v>50</v>
      </c>
      <c r="G121">
        <v>60</v>
      </c>
      <c r="H121">
        <v>50</v>
      </c>
      <c r="I121" t="s">
        <v>109</v>
      </c>
      <c r="J121" t="s">
        <v>30</v>
      </c>
      <c r="K121" t="s">
        <v>22</v>
      </c>
      <c r="L121" t="s">
        <v>32</v>
      </c>
      <c r="M121" t="s">
        <v>34</v>
      </c>
      <c r="O121" t="s">
        <v>35</v>
      </c>
      <c r="P121" t="s">
        <v>36</v>
      </c>
      <c r="Q121">
        <v>3</v>
      </c>
    </row>
    <row r="122" spans="1:17" ht="15" customHeight="1" x14ac:dyDescent="0.3">
      <c r="A122" t="s">
        <v>304</v>
      </c>
      <c r="B122" t="s">
        <v>305</v>
      </c>
      <c r="C122" t="s">
        <v>19</v>
      </c>
      <c r="E122">
        <v>70</v>
      </c>
      <c r="F122">
        <v>50</v>
      </c>
      <c r="G122">
        <v>30</v>
      </c>
      <c r="H122">
        <v>40</v>
      </c>
      <c r="I122" t="s">
        <v>21</v>
      </c>
      <c r="J122" t="s">
        <v>20</v>
      </c>
      <c r="K122" t="s">
        <v>22</v>
      </c>
      <c r="L122" t="s">
        <v>23</v>
      </c>
      <c r="M122" t="s">
        <v>24</v>
      </c>
      <c r="O122" t="s">
        <v>25</v>
      </c>
      <c r="P122" t="s">
        <v>26</v>
      </c>
      <c r="Q122">
        <v>5</v>
      </c>
    </row>
    <row r="123" spans="1:17" ht="15" customHeight="1" x14ac:dyDescent="0.3">
      <c r="A123" t="s">
        <v>306</v>
      </c>
      <c r="B123" t="s">
        <v>307</v>
      </c>
      <c r="C123" t="s">
        <v>39</v>
      </c>
      <c r="E123">
        <v>60</v>
      </c>
      <c r="F123">
        <v>20</v>
      </c>
      <c r="G123">
        <v>30</v>
      </c>
      <c r="H123">
        <v>60</v>
      </c>
      <c r="I123" t="s">
        <v>109</v>
      </c>
      <c r="J123" t="s">
        <v>40</v>
      </c>
      <c r="K123" t="s">
        <v>22</v>
      </c>
      <c r="L123" t="s">
        <v>32</v>
      </c>
      <c r="M123" t="s">
        <v>33</v>
      </c>
      <c r="O123" t="s">
        <v>43</v>
      </c>
      <c r="P123" t="s">
        <v>88</v>
      </c>
      <c r="Q123">
        <v>2</v>
      </c>
    </row>
    <row r="124" spans="1:17" ht="15" customHeight="1" x14ac:dyDescent="0.3">
      <c r="A124" t="s">
        <v>308</v>
      </c>
      <c r="B124" t="s">
        <v>309</v>
      </c>
      <c r="C124" t="s">
        <v>29</v>
      </c>
      <c r="E124">
        <v>60</v>
      </c>
      <c r="F124">
        <v>30</v>
      </c>
      <c r="G124">
        <v>50</v>
      </c>
      <c r="H124">
        <v>20</v>
      </c>
      <c r="I124" t="s">
        <v>30</v>
      </c>
      <c r="J124" t="s">
        <v>86</v>
      </c>
      <c r="K124" t="s">
        <v>22</v>
      </c>
      <c r="L124" t="s">
        <v>32</v>
      </c>
      <c r="M124" t="s">
        <v>34</v>
      </c>
      <c r="O124" t="s">
        <v>35</v>
      </c>
      <c r="P124" t="s">
        <v>36</v>
      </c>
      <c r="Q124">
        <v>3</v>
      </c>
    </row>
    <row r="125" spans="1:17" ht="15" customHeight="1" x14ac:dyDescent="0.3">
      <c r="A125" t="s">
        <v>310</v>
      </c>
      <c r="B125" t="s">
        <v>311</v>
      </c>
      <c r="C125" t="s">
        <v>77</v>
      </c>
      <c r="D125" t="s">
        <v>55</v>
      </c>
      <c r="E125">
        <v>20</v>
      </c>
      <c r="F125">
        <v>60</v>
      </c>
      <c r="G125">
        <v>80</v>
      </c>
      <c r="H125">
        <v>60</v>
      </c>
      <c r="I125" t="s">
        <v>125</v>
      </c>
      <c r="J125" t="s">
        <v>57</v>
      </c>
      <c r="K125" t="s">
        <v>47</v>
      </c>
      <c r="L125" t="s">
        <v>120</v>
      </c>
      <c r="M125" t="s">
        <v>42</v>
      </c>
      <c r="O125" t="s">
        <v>43</v>
      </c>
      <c r="P125" t="s">
        <v>26</v>
      </c>
      <c r="Q125">
        <v>2</v>
      </c>
    </row>
    <row r="126" spans="1:17" ht="15" customHeight="1" x14ac:dyDescent="0.3">
      <c r="A126" t="s">
        <v>312</v>
      </c>
      <c r="B126" t="s">
        <v>313</v>
      </c>
      <c r="C126" t="s">
        <v>46</v>
      </c>
      <c r="E126">
        <v>80</v>
      </c>
      <c r="F126">
        <v>80</v>
      </c>
      <c r="G126">
        <v>40</v>
      </c>
      <c r="H126">
        <v>40</v>
      </c>
      <c r="I126" t="s">
        <v>56</v>
      </c>
      <c r="J126" t="s">
        <v>50</v>
      </c>
      <c r="K126" t="s">
        <v>47</v>
      </c>
      <c r="L126" t="s">
        <v>23</v>
      </c>
      <c r="M126" t="s">
        <v>52</v>
      </c>
      <c r="O126" t="s">
        <v>35</v>
      </c>
      <c r="P126" t="s">
        <v>26</v>
      </c>
      <c r="Q126">
        <v>3</v>
      </c>
    </row>
    <row r="127" spans="1:17" ht="15" customHeight="1" x14ac:dyDescent="0.3">
      <c r="A127" t="s">
        <v>314</v>
      </c>
      <c r="B127" t="s">
        <v>315</v>
      </c>
      <c r="C127" t="s">
        <v>39</v>
      </c>
      <c r="D127" t="s">
        <v>29</v>
      </c>
      <c r="E127">
        <v>60</v>
      </c>
      <c r="F127">
        <v>50</v>
      </c>
      <c r="G127">
        <v>60</v>
      </c>
      <c r="H127">
        <v>50</v>
      </c>
      <c r="I127" t="s">
        <v>40</v>
      </c>
      <c r="J127" t="s">
        <v>144</v>
      </c>
      <c r="K127" t="s">
        <v>22</v>
      </c>
      <c r="L127" t="s">
        <v>32</v>
      </c>
      <c r="M127" t="s">
        <v>33</v>
      </c>
      <c r="O127" t="s">
        <v>43</v>
      </c>
      <c r="P127" t="s">
        <v>36</v>
      </c>
      <c r="Q127">
        <v>2</v>
      </c>
    </row>
    <row r="128" spans="1:17" ht="15" customHeight="1" x14ac:dyDescent="0.3">
      <c r="A128" t="s">
        <v>316</v>
      </c>
      <c r="B128" t="s">
        <v>317</v>
      </c>
      <c r="C128" t="s">
        <v>29</v>
      </c>
      <c r="E128">
        <v>50</v>
      </c>
      <c r="F128">
        <v>60</v>
      </c>
      <c r="G128">
        <v>80</v>
      </c>
      <c r="H128">
        <v>30</v>
      </c>
      <c r="I128" t="s">
        <v>20</v>
      </c>
      <c r="J128" t="s">
        <v>30</v>
      </c>
      <c r="K128" t="s">
        <v>22</v>
      </c>
      <c r="L128" t="s">
        <v>32</v>
      </c>
      <c r="M128" t="s">
        <v>34</v>
      </c>
      <c r="N128" t="s">
        <v>33</v>
      </c>
      <c r="O128" t="s">
        <v>35</v>
      </c>
      <c r="P128" t="s">
        <v>36</v>
      </c>
      <c r="Q128">
        <v>3</v>
      </c>
    </row>
    <row r="129" spans="1:17" ht="15" customHeight="1" x14ac:dyDescent="0.3">
      <c r="A129" t="s">
        <v>318</v>
      </c>
      <c r="B129" t="s">
        <v>319</v>
      </c>
      <c r="C129" t="s">
        <v>77</v>
      </c>
      <c r="D129" t="s">
        <v>29</v>
      </c>
      <c r="E129">
        <v>30</v>
      </c>
      <c r="F129">
        <v>90</v>
      </c>
      <c r="G129">
        <v>60</v>
      </c>
      <c r="H129">
        <v>40</v>
      </c>
      <c r="I129" t="s">
        <v>64</v>
      </c>
      <c r="J129" t="s">
        <v>78</v>
      </c>
      <c r="K129" t="s">
        <v>22</v>
      </c>
      <c r="L129" t="s">
        <v>32</v>
      </c>
      <c r="M129" t="s">
        <v>42</v>
      </c>
      <c r="O129" t="s">
        <v>43</v>
      </c>
      <c r="P129" t="s">
        <v>36</v>
      </c>
      <c r="Q129">
        <v>2</v>
      </c>
    </row>
    <row r="130" spans="1:17" ht="15" customHeight="1" x14ac:dyDescent="0.3">
      <c r="A130" t="s">
        <v>320</v>
      </c>
      <c r="B130" t="s">
        <v>321</v>
      </c>
      <c r="C130" t="s">
        <v>46</v>
      </c>
      <c r="E130">
        <v>80</v>
      </c>
      <c r="F130">
        <v>50</v>
      </c>
      <c r="G130">
        <v>30</v>
      </c>
      <c r="H130">
        <v>20</v>
      </c>
      <c r="I130" t="s">
        <v>40</v>
      </c>
      <c r="J130" t="s">
        <v>21</v>
      </c>
      <c r="K130" t="s">
        <v>47</v>
      </c>
      <c r="L130" t="s">
        <v>23</v>
      </c>
      <c r="M130" t="s">
        <v>52</v>
      </c>
      <c r="O130" t="s">
        <v>35</v>
      </c>
      <c r="P130" t="s">
        <v>26</v>
      </c>
      <c r="Q130">
        <v>3</v>
      </c>
    </row>
    <row r="131" spans="1:17" ht="15" customHeight="1" x14ac:dyDescent="0.3">
      <c r="A131" t="s">
        <v>322</v>
      </c>
      <c r="B131" t="s">
        <v>323</v>
      </c>
      <c r="C131" t="s">
        <v>19</v>
      </c>
      <c r="E131">
        <v>70</v>
      </c>
      <c r="F131">
        <v>10</v>
      </c>
      <c r="G131">
        <v>20</v>
      </c>
      <c r="H131">
        <v>40</v>
      </c>
      <c r="I131" t="s">
        <v>20</v>
      </c>
      <c r="J131" t="s">
        <v>50</v>
      </c>
      <c r="K131" t="s">
        <v>22</v>
      </c>
      <c r="L131" t="s">
        <v>23</v>
      </c>
      <c r="M131" t="s">
        <v>24</v>
      </c>
      <c r="O131" t="s">
        <v>74</v>
      </c>
      <c r="P131" t="s">
        <v>26</v>
      </c>
      <c r="Q131">
        <v>4</v>
      </c>
    </row>
    <row r="132" spans="1:17" ht="15" customHeight="1" x14ac:dyDescent="0.3">
      <c r="A132" t="s">
        <v>324</v>
      </c>
      <c r="B132" t="s">
        <v>325</v>
      </c>
      <c r="C132" t="s">
        <v>29</v>
      </c>
      <c r="D132" t="s">
        <v>39</v>
      </c>
      <c r="E132">
        <v>60</v>
      </c>
      <c r="F132">
        <v>50</v>
      </c>
      <c r="G132">
        <v>60</v>
      </c>
      <c r="H132">
        <v>50</v>
      </c>
      <c r="I132" t="s">
        <v>40</v>
      </c>
      <c r="J132" t="s">
        <v>109</v>
      </c>
      <c r="K132" t="s">
        <v>22</v>
      </c>
      <c r="L132" t="s">
        <v>32</v>
      </c>
      <c r="M132" t="s">
        <v>34</v>
      </c>
      <c r="O132" t="s">
        <v>35</v>
      </c>
      <c r="P132" t="s">
        <v>36</v>
      </c>
      <c r="Q132">
        <v>3</v>
      </c>
    </row>
    <row r="133" spans="1:17" ht="15" customHeight="1" x14ac:dyDescent="0.3">
      <c r="A133" t="s">
        <v>326</v>
      </c>
      <c r="B133" t="s">
        <v>327</v>
      </c>
      <c r="C133" t="s">
        <v>77</v>
      </c>
      <c r="E133">
        <v>30</v>
      </c>
      <c r="F133">
        <v>100</v>
      </c>
      <c r="G133">
        <v>70</v>
      </c>
      <c r="H133">
        <v>30</v>
      </c>
      <c r="I133" t="s">
        <v>78</v>
      </c>
      <c r="J133" t="s">
        <v>57</v>
      </c>
      <c r="K133" t="s">
        <v>22</v>
      </c>
      <c r="L133" t="s">
        <v>32</v>
      </c>
      <c r="M133" t="s">
        <v>42</v>
      </c>
      <c r="O133" t="s">
        <v>43</v>
      </c>
      <c r="P133" t="s">
        <v>26</v>
      </c>
      <c r="Q133">
        <v>2</v>
      </c>
    </row>
    <row r="134" spans="1:17" ht="15" customHeight="1" x14ac:dyDescent="0.3">
      <c r="A134" t="s">
        <v>328</v>
      </c>
      <c r="B134" t="s">
        <v>329</v>
      </c>
      <c r="C134" t="s">
        <v>39</v>
      </c>
      <c r="E134">
        <v>80</v>
      </c>
      <c r="F134">
        <v>40</v>
      </c>
      <c r="G134">
        <v>40</v>
      </c>
      <c r="H134">
        <v>70</v>
      </c>
      <c r="I134" t="s">
        <v>40</v>
      </c>
      <c r="J134" t="s">
        <v>86</v>
      </c>
      <c r="K134" t="s">
        <v>22</v>
      </c>
      <c r="L134" t="s">
        <v>32</v>
      </c>
      <c r="M134" t="s">
        <v>33</v>
      </c>
      <c r="O134" t="s">
        <v>43</v>
      </c>
      <c r="P134" t="s">
        <v>88</v>
      </c>
      <c r="Q134">
        <v>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89"/>
  <sheetViews>
    <sheetView zoomScaleNormal="100" workbookViewId="0">
      <pane ySplit="3" topLeftCell="A28" activePane="bottomLeft" state="frozen"/>
      <selection pane="bottomLeft" activeCell="F46" sqref="F46"/>
    </sheetView>
  </sheetViews>
  <sheetFormatPr defaultColWidth="8.6640625" defaultRowHeight="14.4" x14ac:dyDescent="0.3"/>
  <cols>
    <col min="1" max="1" width="22" customWidth="1"/>
    <col min="2" max="2" width="16" customWidth="1"/>
    <col min="3" max="3" width="20" customWidth="1"/>
    <col min="4" max="5" width="16" customWidth="1"/>
    <col min="6" max="6" width="40" customWidth="1"/>
    <col min="7" max="22" width="14" customWidth="1"/>
    <col min="23" max="23" width="16" customWidth="1"/>
  </cols>
  <sheetData>
    <row r="1" spans="1:14" ht="17.25" customHeight="1" x14ac:dyDescent="0.3">
      <c r="A1" s="6" t="s">
        <v>330</v>
      </c>
      <c r="B1" s="6"/>
      <c r="C1" s="6"/>
      <c r="D1" s="6"/>
      <c r="E1" s="6"/>
      <c r="F1" s="6"/>
      <c r="G1" s="6"/>
      <c r="H1" s="6"/>
    </row>
    <row r="3" spans="1:14" ht="15" customHeight="1" x14ac:dyDescent="0.3">
      <c r="A3" s="5" t="s">
        <v>331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5" spans="1:14" ht="15" customHeight="1" x14ac:dyDescent="0.3">
      <c r="A5" s="4" t="s">
        <v>332</v>
      </c>
      <c r="B5" s="4"/>
      <c r="C5" s="4"/>
      <c r="D5" s="4"/>
      <c r="E5" s="4"/>
      <c r="F5" s="4"/>
      <c r="G5" s="4"/>
      <c r="H5" s="4"/>
    </row>
    <row r="6" spans="1:14" ht="15" customHeight="1" x14ac:dyDescent="0.3">
      <c r="A6" s="8" t="s">
        <v>333</v>
      </c>
      <c r="B6" s="8" t="s">
        <v>334</v>
      </c>
      <c r="C6" s="8" t="s">
        <v>335</v>
      </c>
    </row>
    <row r="7" spans="1:14" ht="15" customHeight="1" x14ac:dyDescent="0.3">
      <c r="A7" s="9" t="s">
        <v>336</v>
      </c>
      <c r="B7" s="10">
        <v>5</v>
      </c>
      <c r="C7" s="9" t="s">
        <v>337</v>
      </c>
    </row>
    <row r="8" spans="1:14" ht="15" customHeight="1" x14ac:dyDescent="0.3">
      <c r="A8" s="9" t="s">
        <v>338</v>
      </c>
      <c r="B8" s="10">
        <v>0.1</v>
      </c>
      <c r="C8" s="9" t="s">
        <v>339</v>
      </c>
    </row>
    <row r="9" spans="1:14" ht="15" customHeight="1" x14ac:dyDescent="0.3">
      <c r="A9" s="9" t="s">
        <v>340</v>
      </c>
      <c r="B9" s="10">
        <v>0.3</v>
      </c>
      <c r="C9" s="9" t="s">
        <v>341</v>
      </c>
    </row>
    <row r="10" spans="1:14" ht="15" customHeight="1" x14ac:dyDescent="0.3">
      <c r="A10" s="9" t="s">
        <v>342</v>
      </c>
      <c r="B10" s="10">
        <v>5</v>
      </c>
      <c r="C10" s="9" t="s">
        <v>343</v>
      </c>
    </row>
    <row r="11" spans="1:14" ht="15" customHeight="1" x14ac:dyDescent="0.3">
      <c r="A11" s="9" t="s">
        <v>344</v>
      </c>
      <c r="B11" s="10">
        <v>3</v>
      </c>
      <c r="C11" s="9" t="s">
        <v>345</v>
      </c>
    </row>
    <row r="12" spans="1:14" ht="15" customHeight="1" x14ac:dyDescent="0.3">
      <c r="A12" s="9" t="s">
        <v>346</v>
      </c>
      <c r="B12" s="10">
        <v>-2</v>
      </c>
      <c r="C12" s="9" t="s">
        <v>347</v>
      </c>
    </row>
    <row r="13" spans="1:14" ht="15" customHeight="1" x14ac:dyDescent="0.3">
      <c r="A13" s="9" t="s">
        <v>348</v>
      </c>
      <c r="B13" s="10">
        <v>3</v>
      </c>
      <c r="C13" s="9" t="s">
        <v>349</v>
      </c>
    </row>
    <row r="14" spans="1:14" ht="15" customHeight="1" x14ac:dyDescent="0.3">
      <c r="A14" s="9" t="s">
        <v>350</v>
      </c>
      <c r="B14" s="10">
        <v>5</v>
      </c>
      <c r="C14" s="9" t="s">
        <v>351</v>
      </c>
    </row>
    <row r="17" spans="1:8" ht="15" customHeight="1" x14ac:dyDescent="0.3">
      <c r="A17" s="4" t="s">
        <v>352</v>
      </c>
      <c r="B17" s="4"/>
      <c r="C17" s="4"/>
      <c r="D17" s="4"/>
      <c r="E17" s="4"/>
      <c r="F17" s="4"/>
      <c r="G17" s="4"/>
      <c r="H17" s="4"/>
    </row>
    <row r="18" spans="1:8" ht="15" customHeight="1" x14ac:dyDescent="0.3">
      <c r="A18" s="8" t="s">
        <v>353</v>
      </c>
      <c r="B18" s="8" t="s">
        <v>55</v>
      </c>
      <c r="C18" s="8" t="s">
        <v>29</v>
      </c>
      <c r="D18" s="8" t="s">
        <v>39</v>
      </c>
      <c r="E18" s="8" t="s">
        <v>46</v>
      </c>
      <c r="F18" s="8" t="s">
        <v>19</v>
      </c>
      <c r="G18" s="8" t="s">
        <v>77</v>
      </c>
    </row>
    <row r="19" spans="1:8" ht="15" customHeight="1" x14ac:dyDescent="0.3">
      <c r="A19" s="7" t="s">
        <v>55</v>
      </c>
      <c r="B19" s="10">
        <v>0</v>
      </c>
      <c r="C19" s="10">
        <v>0</v>
      </c>
      <c r="D19" s="10">
        <v>2</v>
      </c>
      <c r="E19" s="10">
        <v>-1</v>
      </c>
      <c r="F19" s="10">
        <v>-1</v>
      </c>
      <c r="G19" s="10">
        <v>-1</v>
      </c>
    </row>
    <row r="20" spans="1:8" ht="15" customHeight="1" x14ac:dyDescent="0.3">
      <c r="A20" s="7" t="s">
        <v>29</v>
      </c>
      <c r="B20" s="10">
        <v>0</v>
      </c>
      <c r="C20" s="10">
        <v>0</v>
      </c>
      <c r="D20" s="10">
        <v>1</v>
      </c>
      <c r="E20" s="10">
        <v>1</v>
      </c>
      <c r="F20" s="10">
        <v>2</v>
      </c>
      <c r="G20" s="10">
        <v>0</v>
      </c>
    </row>
    <row r="21" spans="1:8" ht="15" customHeight="1" x14ac:dyDescent="0.3">
      <c r="A21" s="7" t="s">
        <v>39</v>
      </c>
      <c r="B21" s="10">
        <v>-1</v>
      </c>
      <c r="C21" s="10">
        <v>0</v>
      </c>
      <c r="D21" s="10">
        <v>0</v>
      </c>
      <c r="E21" s="10">
        <v>2</v>
      </c>
      <c r="F21" s="10">
        <v>2</v>
      </c>
      <c r="G21" s="10">
        <v>1</v>
      </c>
    </row>
    <row r="22" spans="1:8" ht="15" customHeight="1" x14ac:dyDescent="0.3">
      <c r="A22" s="7" t="s">
        <v>46</v>
      </c>
      <c r="B22" s="10">
        <v>1</v>
      </c>
      <c r="C22" s="10">
        <v>1</v>
      </c>
      <c r="D22" s="10">
        <v>-1</v>
      </c>
      <c r="E22" s="10">
        <v>0</v>
      </c>
      <c r="F22" s="10">
        <v>1</v>
      </c>
      <c r="G22" s="10">
        <v>0</v>
      </c>
    </row>
    <row r="23" spans="1:8" ht="15" customHeight="1" x14ac:dyDescent="0.3">
      <c r="A23" s="7" t="s">
        <v>19</v>
      </c>
      <c r="B23" s="10">
        <v>1</v>
      </c>
      <c r="C23" s="10">
        <v>-1</v>
      </c>
      <c r="D23" s="10">
        <v>-1</v>
      </c>
      <c r="E23" s="10">
        <v>0</v>
      </c>
      <c r="F23" s="10">
        <v>0</v>
      </c>
      <c r="G23" s="10">
        <v>0</v>
      </c>
    </row>
    <row r="24" spans="1:8" ht="15" customHeight="1" x14ac:dyDescent="0.3">
      <c r="A24" s="7" t="s">
        <v>77</v>
      </c>
      <c r="B24" s="10">
        <v>-1</v>
      </c>
      <c r="C24" s="10">
        <v>-1</v>
      </c>
      <c r="D24" s="10">
        <v>-2</v>
      </c>
      <c r="E24" s="10">
        <v>-1</v>
      </c>
      <c r="F24" s="10">
        <v>-1</v>
      </c>
      <c r="G24" s="10">
        <v>0</v>
      </c>
    </row>
    <row r="27" spans="1:8" ht="15" customHeight="1" x14ac:dyDescent="0.3">
      <c r="A27" s="4" t="s">
        <v>354</v>
      </c>
      <c r="B27" s="4"/>
      <c r="C27" s="4"/>
      <c r="D27" s="4"/>
      <c r="E27" s="4"/>
      <c r="F27" s="4"/>
      <c r="G27" s="4"/>
      <c r="H27" s="4"/>
    </row>
    <row r="28" spans="1:8" ht="15" customHeight="1" x14ac:dyDescent="0.3">
      <c r="A28" s="8" t="s">
        <v>355</v>
      </c>
      <c r="B28" s="8" t="s">
        <v>356</v>
      </c>
      <c r="C28" s="8" t="s">
        <v>357</v>
      </c>
      <c r="D28" s="8" t="s">
        <v>358</v>
      </c>
      <c r="E28" s="8" t="s">
        <v>359</v>
      </c>
      <c r="F28" s="8" t="s">
        <v>360</v>
      </c>
    </row>
    <row r="29" spans="1:8" ht="15" customHeight="1" x14ac:dyDescent="0.3">
      <c r="A29" s="10" t="s">
        <v>275</v>
      </c>
      <c r="B29" s="10" t="s">
        <v>361</v>
      </c>
      <c r="C29" s="10" t="s">
        <v>109</v>
      </c>
      <c r="D29" s="10">
        <v>18</v>
      </c>
      <c r="E29" s="10">
        <v>-25</v>
      </c>
      <c r="F29" s="9" t="s">
        <v>362</v>
      </c>
    </row>
    <row r="30" spans="1:8" ht="15" customHeight="1" x14ac:dyDescent="0.3">
      <c r="A30" s="10" t="s">
        <v>275</v>
      </c>
      <c r="B30" s="10" t="s">
        <v>361</v>
      </c>
      <c r="C30" s="10" t="s">
        <v>86</v>
      </c>
      <c r="D30" s="10">
        <v>15</v>
      </c>
      <c r="E30" s="10">
        <v>-22</v>
      </c>
      <c r="F30" s="9" t="s">
        <v>363</v>
      </c>
    </row>
    <row r="31" spans="1:8" ht="15" customHeight="1" x14ac:dyDescent="0.3">
      <c r="A31" s="10" t="s">
        <v>275</v>
      </c>
      <c r="B31" s="10" t="s">
        <v>361</v>
      </c>
      <c r="C31" s="10" t="s">
        <v>83</v>
      </c>
      <c r="D31" s="10">
        <v>10</v>
      </c>
      <c r="E31" s="10">
        <v>-14</v>
      </c>
      <c r="F31" s="9" t="s">
        <v>364</v>
      </c>
    </row>
    <row r="32" spans="1:8" ht="15" customHeight="1" x14ac:dyDescent="0.3">
      <c r="A32" s="10" t="s">
        <v>214</v>
      </c>
      <c r="B32" s="10" t="s">
        <v>365</v>
      </c>
      <c r="C32" s="10" t="s">
        <v>271</v>
      </c>
      <c r="D32" s="10">
        <v>20</v>
      </c>
      <c r="E32" s="10">
        <v>-18</v>
      </c>
      <c r="F32" s="9" t="s">
        <v>366</v>
      </c>
    </row>
    <row r="33" spans="1:6" ht="15" customHeight="1" x14ac:dyDescent="0.3">
      <c r="A33" s="10" t="s">
        <v>66</v>
      </c>
      <c r="B33" s="10" t="s">
        <v>361</v>
      </c>
      <c r="C33" s="10" t="s">
        <v>109</v>
      </c>
      <c r="D33" s="10">
        <v>10</v>
      </c>
      <c r="E33" s="10">
        <v>-12</v>
      </c>
      <c r="F33" s="9" t="s">
        <v>367</v>
      </c>
    </row>
    <row r="34" spans="1:6" ht="15" customHeight="1" x14ac:dyDescent="0.3">
      <c r="A34" s="10" t="s">
        <v>218</v>
      </c>
      <c r="B34" s="10" t="s">
        <v>361</v>
      </c>
      <c r="C34" s="10" t="s">
        <v>109</v>
      </c>
      <c r="D34" s="10">
        <v>14</v>
      </c>
      <c r="E34" s="10">
        <v>-18</v>
      </c>
      <c r="F34" s="9" t="s">
        <v>368</v>
      </c>
    </row>
    <row r="35" spans="1:6" ht="15" customHeight="1" x14ac:dyDescent="0.3">
      <c r="A35" s="10" t="s">
        <v>218</v>
      </c>
      <c r="B35" s="10" t="s">
        <v>361</v>
      </c>
      <c r="C35" s="10" t="s">
        <v>86</v>
      </c>
      <c r="D35" s="10">
        <v>12</v>
      </c>
      <c r="E35" s="10">
        <v>-15</v>
      </c>
      <c r="F35" s="9" t="s">
        <v>369</v>
      </c>
    </row>
    <row r="36" spans="1:6" ht="15" customHeight="1" x14ac:dyDescent="0.3">
      <c r="A36" s="10" t="s">
        <v>94</v>
      </c>
      <c r="B36" s="10" t="s">
        <v>361</v>
      </c>
      <c r="C36" s="10" t="s">
        <v>125</v>
      </c>
      <c r="D36" s="10">
        <v>15</v>
      </c>
      <c r="E36" s="10">
        <v>-20</v>
      </c>
      <c r="F36" s="9" t="s">
        <v>370</v>
      </c>
    </row>
    <row r="37" spans="1:6" ht="15" customHeight="1" x14ac:dyDescent="0.3">
      <c r="A37" s="10" t="s">
        <v>158</v>
      </c>
      <c r="B37" s="10" t="s">
        <v>361</v>
      </c>
      <c r="C37" s="10" t="s">
        <v>57</v>
      </c>
      <c r="D37" s="10">
        <v>12</v>
      </c>
      <c r="E37" s="10">
        <v>-15</v>
      </c>
      <c r="F37" s="9" t="s">
        <v>371</v>
      </c>
    </row>
    <row r="38" spans="1:6" ht="15" customHeight="1" x14ac:dyDescent="0.3">
      <c r="A38" s="10" t="s">
        <v>236</v>
      </c>
      <c r="B38" s="10" t="s">
        <v>361</v>
      </c>
      <c r="C38" s="10" t="s">
        <v>21</v>
      </c>
      <c r="D38" s="10">
        <v>12</v>
      </c>
      <c r="E38" s="10">
        <v>-15</v>
      </c>
      <c r="F38" s="9" t="s">
        <v>372</v>
      </c>
    </row>
    <row r="39" spans="1:6" ht="15" customHeight="1" x14ac:dyDescent="0.3">
      <c r="A39" s="10" t="s">
        <v>236</v>
      </c>
      <c r="B39" s="10" t="s">
        <v>361</v>
      </c>
      <c r="C39" s="10" t="s">
        <v>50</v>
      </c>
      <c r="D39" s="10">
        <v>10</v>
      </c>
      <c r="E39" s="10">
        <v>-12</v>
      </c>
      <c r="F39" s="9" t="s">
        <v>373</v>
      </c>
    </row>
    <row r="40" spans="1:6" ht="15" customHeight="1" x14ac:dyDescent="0.3">
      <c r="A40" s="10" t="s">
        <v>164</v>
      </c>
      <c r="B40" s="10" t="s">
        <v>361</v>
      </c>
      <c r="C40" s="10" t="s">
        <v>50</v>
      </c>
      <c r="D40" s="10">
        <v>12</v>
      </c>
      <c r="E40" s="10">
        <v>-14</v>
      </c>
      <c r="F40" s="9" t="s">
        <v>374</v>
      </c>
    </row>
    <row r="41" spans="1:6" ht="15" customHeight="1" x14ac:dyDescent="0.3">
      <c r="A41" s="10" t="s">
        <v>117</v>
      </c>
      <c r="B41" s="10" t="s">
        <v>361</v>
      </c>
      <c r="C41" s="10" t="s">
        <v>109</v>
      </c>
      <c r="D41" s="10">
        <v>8</v>
      </c>
      <c r="E41" s="10">
        <v>-10</v>
      </c>
      <c r="F41" s="9" t="s">
        <v>375</v>
      </c>
    </row>
    <row r="42" spans="1:6" ht="15" customHeight="1" x14ac:dyDescent="0.3">
      <c r="A42" s="10" t="s">
        <v>38</v>
      </c>
      <c r="B42" s="10" t="s">
        <v>365</v>
      </c>
      <c r="C42" s="10" t="s">
        <v>85</v>
      </c>
      <c r="D42" s="10">
        <v>20</v>
      </c>
      <c r="E42" s="10">
        <v>-20</v>
      </c>
      <c r="F42" s="9"/>
    </row>
    <row r="43" spans="1:6" ht="15" customHeight="1" x14ac:dyDescent="0.3">
      <c r="A43" s="10"/>
      <c r="B43" s="10"/>
      <c r="C43" s="10"/>
      <c r="D43" s="10"/>
      <c r="E43" s="10"/>
      <c r="F43" s="9"/>
    </row>
    <row r="44" spans="1:6" ht="15" customHeight="1" x14ac:dyDescent="0.3">
      <c r="A44" s="10"/>
    </row>
    <row r="45" spans="1:6" ht="15" customHeight="1" x14ac:dyDescent="0.3">
      <c r="A45" s="10"/>
      <c r="B45" s="10"/>
      <c r="C45" s="10"/>
      <c r="D45" s="10"/>
      <c r="E45" s="10"/>
      <c r="F45" s="9"/>
    </row>
    <row r="46" spans="1:6" ht="15" customHeight="1" x14ac:dyDescent="0.3">
      <c r="A46" s="10"/>
      <c r="B46" s="10"/>
      <c r="C46" s="10"/>
      <c r="D46" s="10"/>
      <c r="E46" s="10"/>
      <c r="F46" s="9"/>
    </row>
    <row r="47" spans="1:6" ht="15" customHeight="1" x14ac:dyDescent="0.3">
      <c r="A47" s="10"/>
      <c r="B47" s="10"/>
      <c r="C47" s="10"/>
      <c r="D47" s="10"/>
      <c r="E47" s="10"/>
      <c r="F47" s="9"/>
    </row>
    <row r="48" spans="1:6" ht="15" customHeight="1" x14ac:dyDescent="0.3">
      <c r="A48" s="10"/>
      <c r="B48" s="10"/>
      <c r="C48" s="10"/>
      <c r="D48" s="10"/>
      <c r="E48" s="10"/>
      <c r="F48" s="9"/>
    </row>
    <row r="49" spans="1:6" ht="15" customHeight="1" x14ac:dyDescent="0.3">
      <c r="A49" s="10"/>
      <c r="B49" s="10"/>
      <c r="C49" s="10"/>
      <c r="D49" s="10"/>
      <c r="E49" s="10"/>
      <c r="F49" s="9"/>
    </row>
    <row r="50" spans="1:6" ht="15" customHeight="1" x14ac:dyDescent="0.3">
      <c r="A50" s="10"/>
      <c r="B50" s="10"/>
      <c r="C50" s="10"/>
      <c r="D50" s="10"/>
      <c r="E50" s="10"/>
      <c r="F50" s="9"/>
    </row>
    <row r="51" spans="1:6" ht="15" customHeight="1" x14ac:dyDescent="0.3">
      <c r="A51" s="10"/>
      <c r="B51" s="10"/>
      <c r="C51" s="10"/>
      <c r="D51" s="10"/>
      <c r="E51" s="10"/>
      <c r="F51" s="9"/>
    </row>
    <row r="52" spans="1:6" ht="15" customHeight="1" x14ac:dyDescent="0.3">
      <c r="A52" s="10"/>
      <c r="B52" s="10"/>
      <c r="C52" s="10"/>
      <c r="D52" s="10"/>
      <c r="E52" s="10"/>
      <c r="F52" s="9"/>
    </row>
    <row r="53" spans="1:6" ht="15" customHeight="1" x14ac:dyDescent="0.3">
      <c r="A53" s="10"/>
      <c r="B53" s="10"/>
      <c r="C53" s="10"/>
      <c r="D53" s="10"/>
      <c r="E53" s="10"/>
      <c r="F53" s="9"/>
    </row>
    <row r="54" spans="1:6" ht="15" customHeight="1" x14ac:dyDescent="0.3">
      <c r="A54" s="10"/>
      <c r="B54" s="10"/>
      <c r="C54" s="10"/>
      <c r="D54" s="10"/>
      <c r="E54" s="10"/>
      <c r="F54" s="9"/>
    </row>
    <row r="55" spans="1:6" ht="15" customHeight="1" x14ac:dyDescent="0.3">
      <c r="A55" s="10"/>
      <c r="B55" s="10"/>
      <c r="C55" s="10"/>
      <c r="D55" s="10"/>
      <c r="E55" s="10"/>
      <c r="F55" s="9"/>
    </row>
    <row r="56" spans="1:6" ht="15" customHeight="1" x14ac:dyDescent="0.3">
      <c r="A56" s="10"/>
      <c r="B56" s="10"/>
      <c r="C56" s="10"/>
      <c r="D56" s="10"/>
      <c r="E56" s="10"/>
      <c r="F56" s="9"/>
    </row>
    <row r="57" spans="1:6" ht="15" customHeight="1" x14ac:dyDescent="0.3">
      <c r="A57" s="10"/>
      <c r="B57" s="10"/>
      <c r="C57" s="10"/>
      <c r="D57" s="10"/>
      <c r="E57" s="10"/>
      <c r="F57" s="9"/>
    </row>
    <row r="58" spans="1:6" ht="15" customHeight="1" x14ac:dyDescent="0.3">
      <c r="A58" s="10"/>
      <c r="B58" s="10"/>
      <c r="C58" s="10"/>
      <c r="D58" s="10"/>
      <c r="E58" s="10"/>
      <c r="F58" s="9"/>
    </row>
    <row r="59" spans="1:6" ht="15" customHeight="1" x14ac:dyDescent="0.3">
      <c r="A59" s="10"/>
      <c r="B59" s="10"/>
      <c r="C59" s="10"/>
      <c r="D59" s="10"/>
      <c r="E59" s="10"/>
      <c r="F59" s="9"/>
    </row>
    <row r="60" spans="1:6" ht="15" customHeight="1" x14ac:dyDescent="0.3">
      <c r="A60" s="10"/>
      <c r="B60" s="10"/>
      <c r="C60" s="10"/>
      <c r="D60" s="10"/>
      <c r="E60" s="10"/>
      <c r="F60" s="9"/>
    </row>
    <row r="61" spans="1:6" ht="15" customHeight="1" x14ac:dyDescent="0.3">
      <c r="A61" s="10"/>
      <c r="B61" s="10"/>
      <c r="C61" s="10"/>
      <c r="D61" s="10"/>
      <c r="E61" s="10"/>
      <c r="F61" s="9"/>
    </row>
    <row r="62" spans="1:6" ht="15" customHeight="1" x14ac:dyDescent="0.3">
      <c r="A62" s="10"/>
      <c r="B62" s="10"/>
      <c r="C62" s="10"/>
      <c r="D62" s="10"/>
      <c r="E62" s="10"/>
      <c r="F62" s="9"/>
    </row>
    <row r="63" spans="1:6" ht="15" customHeight="1" x14ac:dyDescent="0.3">
      <c r="A63" s="10"/>
      <c r="B63" s="10"/>
      <c r="C63" s="10"/>
      <c r="D63" s="10"/>
      <c r="E63" s="10"/>
      <c r="F63" s="9"/>
    </row>
    <row r="64" spans="1:6" ht="15" customHeight="1" x14ac:dyDescent="0.3">
      <c r="A64" s="10"/>
      <c r="B64" s="10"/>
      <c r="C64" s="10"/>
      <c r="D64" s="10"/>
      <c r="E64" s="10"/>
      <c r="F64" s="9"/>
    </row>
    <row r="65" spans="1:6" ht="15" customHeight="1" x14ac:dyDescent="0.3">
      <c r="A65" s="10"/>
      <c r="B65" s="10"/>
      <c r="C65" s="10"/>
      <c r="D65" s="10"/>
      <c r="E65" s="10"/>
      <c r="F65" s="9"/>
    </row>
    <row r="66" spans="1:6" ht="15" customHeight="1" x14ac:dyDescent="0.3">
      <c r="A66" s="10"/>
      <c r="B66" s="10"/>
      <c r="C66" s="10"/>
      <c r="D66" s="10"/>
      <c r="E66" s="10"/>
      <c r="F66" s="9"/>
    </row>
    <row r="67" spans="1:6" ht="15" customHeight="1" x14ac:dyDescent="0.3">
      <c r="A67" s="10"/>
      <c r="B67" s="10"/>
      <c r="C67" s="10"/>
      <c r="D67" s="10"/>
      <c r="E67" s="10"/>
      <c r="F67" s="9"/>
    </row>
    <row r="68" spans="1:6" ht="15" customHeight="1" x14ac:dyDescent="0.3">
      <c r="A68" s="10"/>
      <c r="B68" s="10"/>
      <c r="C68" s="10"/>
      <c r="D68" s="10"/>
      <c r="E68" s="10"/>
      <c r="F68" s="9"/>
    </row>
    <row r="69" spans="1:6" ht="15" customHeight="1" x14ac:dyDescent="0.3">
      <c r="A69" s="10"/>
      <c r="B69" s="10"/>
      <c r="C69" s="10"/>
      <c r="D69" s="10"/>
      <c r="E69" s="10"/>
      <c r="F69" s="9"/>
    </row>
    <row r="70" spans="1:6" ht="15" customHeight="1" x14ac:dyDescent="0.3">
      <c r="A70" s="10"/>
      <c r="B70" s="10"/>
      <c r="C70" s="10"/>
      <c r="D70" s="10"/>
      <c r="E70" s="10"/>
      <c r="F70" s="9"/>
    </row>
    <row r="71" spans="1:6" ht="15" customHeight="1" x14ac:dyDescent="0.3">
      <c r="A71" s="10"/>
      <c r="B71" s="10"/>
      <c r="C71" s="10"/>
      <c r="D71" s="10"/>
      <c r="E71" s="10"/>
      <c r="F71" s="9"/>
    </row>
    <row r="72" spans="1:6" ht="15" customHeight="1" x14ac:dyDescent="0.3">
      <c r="A72" s="10"/>
      <c r="B72" s="10"/>
      <c r="C72" s="10"/>
      <c r="D72" s="10"/>
      <c r="E72" s="10"/>
      <c r="F72" s="9"/>
    </row>
    <row r="73" spans="1:6" ht="15" customHeight="1" x14ac:dyDescent="0.3">
      <c r="A73" s="10"/>
      <c r="B73" s="10"/>
      <c r="C73" s="10"/>
      <c r="D73" s="10"/>
      <c r="E73" s="10"/>
      <c r="F73" s="9"/>
    </row>
    <row r="74" spans="1:6" ht="15" customHeight="1" x14ac:dyDescent="0.3">
      <c r="A74" s="10"/>
      <c r="B74" s="10"/>
      <c r="C74" s="10"/>
      <c r="D74" s="10"/>
      <c r="E74" s="10"/>
      <c r="F74" s="9"/>
    </row>
    <row r="75" spans="1:6" ht="15" customHeight="1" x14ac:dyDescent="0.3">
      <c r="A75" s="10"/>
    </row>
    <row r="76" spans="1:6" ht="15" customHeight="1" x14ac:dyDescent="0.3">
      <c r="A76" s="10"/>
      <c r="B76" s="10"/>
      <c r="C76" s="10"/>
      <c r="D76" s="10"/>
      <c r="E76" s="10"/>
      <c r="F76" s="9"/>
    </row>
    <row r="77" spans="1:6" ht="15" customHeight="1" x14ac:dyDescent="0.3">
      <c r="A77" s="10"/>
      <c r="B77" s="10"/>
      <c r="C77" s="10"/>
      <c r="D77" s="10"/>
      <c r="E77" s="10"/>
      <c r="F77" s="9"/>
    </row>
    <row r="78" spans="1:6" ht="15" customHeight="1" x14ac:dyDescent="0.3">
      <c r="A78" s="10"/>
      <c r="B78" s="10"/>
      <c r="C78" s="10"/>
      <c r="D78" s="10"/>
      <c r="E78" s="10"/>
      <c r="F78" s="9"/>
    </row>
    <row r="79" spans="1:6" ht="15" customHeight="1" x14ac:dyDescent="0.3">
      <c r="A79" s="10"/>
      <c r="B79" s="10"/>
      <c r="C79" s="10"/>
      <c r="D79" s="10"/>
      <c r="E79" s="10"/>
      <c r="F79" s="9"/>
    </row>
    <row r="80" spans="1:6" ht="15" customHeight="1" x14ac:dyDescent="0.3">
      <c r="A80" s="10"/>
      <c r="B80" s="10"/>
      <c r="C80" s="10"/>
      <c r="D80" s="10"/>
      <c r="E80" s="10"/>
      <c r="F80" s="9"/>
    </row>
    <row r="81" spans="1:6" ht="15" customHeight="1" x14ac:dyDescent="0.3">
      <c r="A81" s="10"/>
      <c r="B81" s="10"/>
      <c r="C81" s="10"/>
      <c r="D81" s="10"/>
      <c r="E81" s="10"/>
      <c r="F81" s="9"/>
    </row>
    <row r="82" spans="1:6" ht="15" customHeight="1" x14ac:dyDescent="0.3">
      <c r="A82" s="10"/>
      <c r="B82" s="10"/>
      <c r="C82" s="10"/>
      <c r="D82" s="10"/>
      <c r="E82" s="10"/>
      <c r="F82" s="9"/>
    </row>
    <row r="83" spans="1:6" ht="15" customHeight="1" x14ac:dyDescent="0.3">
      <c r="A83" s="10"/>
      <c r="B83" s="10"/>
      <c r="C83" s="10"/>
      <c r="D83" s="10"/>
      <c r="E83" s="10"/>
      <c r="F83" s="9"/>
    </row>
    <row r="84" spans="1:6" ht="15" customHeight="1" x14ac:dyDescent="0.3">
      <c r="A84" s="10"/>
      <c r="B84" s="10"/>
      <c r="C84" s="10"/>
      <c r="D84" s="10"/>
      <c r="E84" s="10"/>
      <c r="F84" s="9"/>
    </row>
    <row r="85" spans="1:6" ht="15" customHeight="1" x14ac:dyDescent="0.3">
      <c r="A85" s="10"/>
      <c r="B85" s="10"/>
      <c r="C85" s="10"/>
      <c r="D85" s="10"/>
      <c r="E85" s="10"/>
      <c r="F85" s="9"/>
    </row>
    <row r="86" spans="1:6" ht="15" customHeight="1" x14ac:dyDescent="0.3">
      <c r="A86" s="10"/>
      <c r="B86" s="10"/>
      <c r="C86" s="10"/>
      <c r="D86" s="10"/>
      <c r="E86" s="10"/>
      <c r="F86" s="9"/>
    </row>
    <row r="87" spans="1:6" ht="15" customHeight="1" x14ac:dyDescent="0.3">
      <c r="A87" s="10"/>
      <c r="B87" s="10"/>
      <c r="C87" s="10"/>
      <c r="D87" s="10"/>
      <c r="E87" s="10"/>
      <c r="F87" s="9"/>
    </row>
    <row r="88" spans="1:6" ht="15" customHeight="1" x14ac:dyDescent="0.3">
      <c r="A88" s="10"/>
      <c r="B88" s="10"/>
      <c r="C88" s="10"/>
      <c r="D88" s="10"/>
      <c r="E88" s="10"/>
      <c r="F88" s="9"/>
    </row>
    <row r="89" spans="1:6" ht="15" customHeight="1" x14ac:dyDescent="0.3">
      <c r="A89" s="10"/>
      <c r="B89" s="10"/>
      <c r="C89" s="10"/>
      <c r="D89" s="10"/>
      <c r="E89" s="10"/>
      <c r="F89" s="9"/>
    </row>
    <row r="90" spans="1:6" ht="15" customHeight="1" x14ac:dyDescent="0.3">
      <c r="A90" s="10"/>
      <c r="B90" s="10"/>
      <c r="C90" s="10"/>
      <c r="D90" s="10"/>
      <c r="E90" s="10"/>
      <c r="F90" s="9"/>
    </row>
    <row r="91" spans="1:6" ht="15" customHeight="1" x14ac:dyDescent="0.3">
      <c r="A91" s="10"/>
      <c r="B91" s="10"/>
      <c r="C91" s="10"/>
      <c r="D91" s="10"/>
      <c r="E91" s="10"/>
      <c r="F91" s="9"/>
    </row>
    <row r="92" spans="1:6" ht="15" customHeight="1" x14ac:dyDescent="0.3">
      <c r="A92" s="10"/>
      <c r="B92" s="10"/>
      <c r="C92" s="10"/>
      <c r="D92" s="10"/>
      <c r="E92" s="10"/>
      <c r="F92" s="9"/>
    </row>
    <row r="93" spans="1:6" ht="15" customHeight="1" x14ac:dyDescent="0.3">
      <c r="A93" s="10"/>
      <c r="B93" s="10"/>
      <c r="C93" s="10"/>
      <c r="D93" s="10"/>
      <c r="E93" s="10"/>
      <c r="F93" s="9"/>
    </row>
    <row r="94" spans="1:6" ht="15" customHeight="1" x14ac:dyDescent="0.3">
      <c r="A94" s="10"/>
      <c r="B94" s="10"/>
      <c r="C94" s="10"/>
      <c r="D94" s="10"/>
      <c r="E94" s="10"/>
      <c r="F94" s="9"/>
    </row>
    <row r="95" spans="1:6" ht="15" customHeight="1" x14ac:dyDescent="0.3">
      <c r="A95" s="10"/>
      <c r="B95" s="10"/>
      <c r="C95" s="10"/>
      <c r="D95" s="10"/>
      <c r="E95" s="10"/>
      <c r="F95" s="9"/>
    </row>
    <row r="96" spans="1:6" ht="15" customHeight="1" x14ac:dyDescent="0.3">
      <c r="A96" s="10"/>
      <c r="B96" s="10"/>
      <c r="C96" s="10"/>
      <c r="D96" s="10"/>
      <c r="E96" s="10"/>
      <c r="F96" s="9"/>
    </row>
    <row r="97" spans="1:6" ht="15" customHeight="1" x14ac:dyDescent="0.3">
      <c r="A97" s="10"/>
      <c r="B97" s="10"/>
      <c r="C97" s="10"/>
      <c r="D97" s="10"/>
      <c r="E97" s="10"/>
      <c r="F97" s="9"/>
    </row>
    <row r="98" spans="1:6" ht="15" customHeight="1" x14ac:dyDescent="0.3">
      <c r="A98" s="10"/>
      <c r="B98" s="10"/>
      <c r="C98" s="10"/>
      <c r="D98" s="10"/>
      <c r="E98" s="10"/>
      <c r="F98" s="9"/>
    </row>
    <row r="99" spans="1:6" ht="15" customHeight="1" x14ac:dyDescent="0.3">
      <c r="A99" s="10"/>
      <c r="B99" s="10"/>
      <c r="C99" s="10"/>
      <c r="D99" s="10"/>
      <c r="E99" s="10"/>
      <c r="F99" s="9"/>
    </row>
    <row r="100" spans="1:6" ht="15" customHeight="1" x14ac:dyDescent="0.3">
      <c r="A100" s="10"/>
      <c r="B100" s="10"/>
      <c r="C100" s="10"/>
      <c r="D100" s="10"/>
      <c r="E100" s="10"/>
      <c r="F100" s="9"/>
    </row>
    <row r="101" spans="1:6" ht="15" customHeight="1" x14ac:dyDescent="0.3">
      <c r="A101" s="10"/>
      <c r="F101" s="9"/>
    </row>
    <row r="102" spans="1:6" ht="15" customHeight="1" x14ac:dyDescent="0.3">
      <c r="A102" s="10"/>
      <c r="B102" s="10"/>
      <c r="C102" s="10"/>
      <c r="D102" s="10"/>
      <c r="E102" s="10"/>
      <c r="F102" s="9"/>
    </row>
    <row r="103" spans="1:6" ht="15" customHeight="1" x14ac:dyDescent="0.3">
      <c r="A103" s="10"/>
      <c r="B103" s="10"/>
      <c r="C103" s="10"/>
      <c r="D103" s="10"/>
      <c r="E103" s="10"/>
      <c r="F103" s="9"/>
    </row>
    <row r="104" spans="1:6" ht="15" customHeight="1" x14ac:dyDescent="0.3">
      <c r="A104" s="10"/>
      <c r="B104" s="10"/>
      <c r="C104" s="10"/>
      <c r="D104" s="10"/>
      <c r="E104" s="10"/>
      <c r="F104" s="9"/>
    </row>
    <row r="105" spans="1:6" ht="15" customHeight="1" x14ac:dyDescent="0.3">
      <c r="A105" s="10"/>
      <c r="B105" s="10"/>
      <c r="C105" s="10"/>
      <c r="D105" s="10"/>
      <c r="E105" s="10"/>
      <c r="F105" s="9"/>
    </row>
    <row r="106" spans="1:6" ht="15" customHeight="1" x14ac:dyDescent="0.3">
      <c r="A106" s="10"/>
      <c r="B106" s="10"/>
      <c r="C106" s="10"/>
      <c r="D106" s="10"/>
      <c r="E106" s="10"/>
      <c r="F106" s="9"/>
    </row>
    <row r="107" spans="1:6" ht="15" customHeight="1" x14ac:dyDescent="0.3">
      <c r="A107" s="10"/>
      <c r="B107" s="10"/>
      <c r="C107" s="10"/>
      <c r="D107" s="10"/>
      <c r="E107" s="10"/>
      <c r="F107" s="9"/>
    </row>
    <row r="108" spans="1:6" ht="15" customHeight="1" x14ac:dyDescent="0.3">
      <c r="A108" s="10"/>
      <c r="B108" s="10"/>
      <c r="C108" s="10"/>
      <c r="D108" s="10"/>
      <c r="E108" s="10"/>
      <c r="F108" s="9"/>
    </row>
    <row r="109" spans="1:6" ht="15" customHeight="1" x14ac:dyDescent="0.3">
      <c r="A109" s="10"/>
      <c r="B109" s="10"/>
      <c r="C109" s="10"/>
      <c r="D109" s="10"/>
      <c r="E109" s="10"/>
      <c r="F109" s="9"/>
    </row>
    <row r="110" spans="1:6" ht="15" customHeight="1" x14ac:dyDescent="0.3">
      <c r="A110" s="10"/>
      <c r="B110" s="10"/>
      <c r="C110" s="10"/>
      <c r="D110" s="10"/>
      <c r="E110" s="10"/>
      <c r="F110" s="9"/>
    </row>
    <row r="111" spans="1:6" ht="15" customHeight="1" x14ac:dyDescent="0.3">
      <c r="A111" s="10"/>
      <c r="B111" s="10"/>
      <c r="C111" s="10"/>
      <c r="D111" s="10"/>
      <c r="E111" s="10"/>
      <c r="F111" s="9"/>
    </row>
    <row r="112" spans="1:6" ht="15" customHeight="1" x14ac:dyDescent="0.3">
      <c r="A112" s="10"/>
      <c r="B112" s="10"/>
      <c r="C112" s="10"/>
      <c r="D112" s="10"/>
      <c r="E112" s="10"/>
      <c r="F112" s="9"/>
    </row>
    <row r="113" spans="1:6" ht="15" customHeight="1" x14ac:dyDescent="0.3">
      <c r="A113" s="10"/>
      <c r="B113" s="10"/>
      <c r="C113" s="10"/>
      <c r="D113" s="10"/>
      <c r="E113" s="10"/>
      <c r="F113" s="9"/>
    </row>
    <row r="114" spans="1:6" ht="15" customHeight="1" x14ac:dyDescent="0.3">
      <c r="A114" s="10"/>
      <c r="B114" s="10"/>
      <c r="C114" s="10"/>
      <c r="D114" s="10"/>
      <c r="E114" s="10"/>
      <c r="F114" s="9"/>
    </row>
    <row r="115" spans="1:6" ht="15" customHeight="1" x14ac:dyDescent="0.3">
      <c r="A115" s="10"/>
      <c r="B115" s="10"/>
      <c r="C115" s="10"/>
      <c r="D115" s="10"/>
      <c r="E115" s="10"/>
      <c r="F115" s="9"/>
    </row>
    <row r="116" spans="1:6" ht="15" customHeight="1" x14ac:dyDescent="0.3">
      <c r="A116" s="10"/>
      <c r="B116" s="10"/>
      <c r="C116" s="10"/>
      <c r="D116" s="10"/>
      <c r="E116" s="10"/>
      <c r="F116" s="9"/>
    </row>
    <row r="117" spans="1:6" ht="15" customHeight="1" x14ac:dyDescent="0.3">
      <c r="A117" s="10"/>
      <c r="B117" s="10"/>
      <c r="C117" s="10"/>
      <c r="D117" s="10"/>
      <c r="E117" s="10"/>
      <c r="F117" s="9"/>
    </row>
    <row r="118" spans="1:6" ht="15" customHeight="1" x14ac:dyDescent="0.3">
      <c r="A118" s="10"/>
      <c r="B118" s="10"/>
      <c r="C118" s="10"/>
      <c r="D118" s="10"/>
      <c r="E118" s="10"/>
      <c r="F118" s="9"/>
    </row>
    <row r="119" spans="1:6" ht="15" customHeight="1" x14ac:dyDescent="0.3">
      <c r="A119" s="10"/>
      <c r="B119" s="10"/>
      <c r="C119" s="10"/>
      <c r="D119" s="10"/>
      <c r="E119" s="10"/>
      <c r="F119" s="9"/>
    </row>
    <row r="120" spans="1:6" ht="15" customHeight="1" x14ac:dyDescent="0.3">
      <c r="A120" s="10"/>
      <c r="B120" s="10"/>
      <c r="C120" s="10"/>
      <c r="D120" s="10"/>
      <c r="E120" s="10"/>
      <c r="F120" s="9"/>
    </row>
    <row r="121" spans="1:6" ht="15" customHeight="1" x14ac:dyDescent="0.3">
      <c r="A121" s="10"/>
      <c r="B121" s="10"/>
      <c r="C121" s="10"/>
      <c r="D121" s="10"/>
      <c r="E121" s="10"/>
      <c r="F121" s="9"/>
    </row>
    <row r="122" spans="1:6" ht="15" customHeight="1" x14ac:dyDescent="0.3">
      <c r="A122" s="10"/>
      <c r="B122" s="10"/>
      <c r="C122" s="10"/>
      <c r="D122" s="10"/>
      <c r="E122" s="10"/>
      <c r="F122" s="9"/>
    </row>
    <row r="123" spans="1:6" ht="15" customHeight="1" x14ac:dyDescent="0.3">
      <c r="A123" s="10"/>
      <c r="B123" s="10"/>
      <c r="C123" s="10"/>
      <c r="D123" s="10"/>
      <c r="E123" s="10"/>
      <c r="F123" s="9"/>
    </row>
    <row r="124" spans="1:6" ht="15" customHeight="1" x14ac:dyDescent="0.3">
      <c r="A124" s="10"/>
      <c r="B124" s="10"/>
      <c r="C124" s="10"/>
      <c r="D124" s="10"/>
      <c r="E124" s="10"/>
      <c r="F124" s="9"/>
    </row>
    <row r="125" spans="1:6" ht="15" customHeight="1" x14ac:dyDescent="0.3">
      <c r="A125" s="10"/>
      <c r="B125" s="10"/>
      <c r="C125" s="10"/>
      <c r="D125" s="10"/>
      <c r="E125" s="10"/>
      <c r="F125" s="9"/>
    </row>
    <row r="126" spans="1:6" ht="15" customHeight="1" x14ac:dyDescent="0.3">
      <c r="A126" s="10"/>
      <c r="B126" s="10"/>
      <c r="C126" s="10"/>
      <c r="D126" s="10"/>
      <c r="E126" s="10"/>
      <c r="F126" s="9"/>
    </row>
    <row r="127" spans="1:6" ht="15" customHeight="1" x14ac:dyDescent="0.3">
      <c r="A127" s="10"/>
      <c r="B127" s="10"/>
      <c r="C127" s="10"/>
      <c r="D127" s="10"/>
      <c r="E127" s="10"/>
      <c r="F127" s="9"/>
    </row>
    <row r="128" spans="1:6" ht="15" customHeight="1" x14ac:dyDescent="0.3">
      <c r="A128" s="10"/>
      <c r="B128" s="10"/>
      <c r="C128" s="10"/>
      <c r="D128" s="10"/>
      <c r="E128" s="10"/>
      <c r="F128" s="9"/>
    </row>
    <row r="129" spans="1:8" ht="15" customHeight="1" x14ac:dyDescent="0.3"/>
    <row r="130" spans="1:8" ht="15" customHeight="1" x14ac:dyDescent="0.3"/>
    <row r="131" spans="1:8" ht="15" customHeight="1" x14ac:dyDescent="0.3">
      <c r="A131" s="4" t="s">
        <v>376</v>
      </c>
      <c r="B131" s="4"/>
      <c r="C131" s="4"/>
      <c r="D131" s="4"/>
      <c r="E131" s="4"/>
      <c r="F131" s="4"/>
      <c r="G131" s="4"/>
      <c r="H131" s="4"/>
    </row>
    <row r="132" spans="1:8" ht="15" customHeight="1" x14ac:dyDescent="0.3">
      <c r="A132" s="8" t="s">
        <v>377</v>
      </c>
      <c r="B132" s="8" t="s">
        <v>361</v>
      </c>
      <c r="C132" s="8" t="s">
        <v>335</v>
      </c>
      <c r="D132" s="8" t="s">
        <v>378</v>
      </c>
      <c r="E132" s="8" t="s">
        <v>379</v>
      </c>
    </row>
    <row r="133" spans="1:8" ht="15" customHeight="1" x14ac:dyDescent="0.3">
      <c r="A133" s="9" t="s">
        <v>380</v>
      </c>
      <c r="B133" s="9" t="s">
        <v>40</v>
      </c>
      <c r="C133" s="9" t="s">
        <v>381</v>
      </c>
      <c r="D133" s="9" t="s">
        <v>382</v>
      </c>
      <c r="E133" s="9" t="s">
        <v>383</v>
      </c>
    </row>
    <row r="134" spans="1:8" ht="15" customHeight="1" x14ac:dyDescent="0.3">
      <c r="A134" s="9" t="s">
        <v>380</v>
      </c>
      <c r="B134" s="9" t="s">
        <v>20</v>
      </c>
      <c r="C134" s="9" t="s">
        <v>384</v>
      </c>
      <c r="D134" s="9" t="s">
        <v>385</v>
      </c>
      <c r="E134" s="9" t="s">
        <v>383</v>
      </c>
    </row>
    <row r="135" spans="1:8" ht="15" customHeight="1" x14ac:dyDescent="0.3">
      <c r="A135" s="9" t="s">
        <v>380</v>
      </c>
      <c r="B135" s="9" t="s">
        <v>50</v>
      </c>
      <c r="C135" s="9" t="s">
        <v>386</v>
      </c>
      <c r="D135" s="9" t="s">
        <v>387</v>
      </c>
      <c r="E135" s="9" t="s">
        <v>383</v>
      </c>
    </row>
    <row r="136" spans="1:8" ht="15" customHeight="1" x14ac:dyDescent="0.3">
      <c r="A136" s="9" t="s">
        <v>380</v>
      </c>
      <c r="B136" s="9" t="s">
        <v>21</v>
      </c>
      <c r="C136" s="9" t="s">
        <v>388</v>
      </c>
      <c r="D136" s="9" t="s">
        <v>389</v>
      </c>
      <c r="E136" s="9" t="s">
        <v>383</v>
      </c>
    </row>
    <row r="137" spans="1:8" ht="15" customHeight="1" x14ac:dyDescent="0.3">
      <c r="A137" s="9" t="s">
        <v>380</v>
      </c>
      <c r="B137" s="9" t="s">
        <v>115</v>
      </c>
      <c r="C137" s="9" t="s">
        <v>390</v>
      </c>
      <c r="D137" s="9" t="s">
        <v>391</v>
      </c>
      <c r="E137" s="9" t="s">
        <v>383</v>
      </c>
    </row>
    <row r="138" spans="1:8" ht="15" customHeight="1" x14ac:dyDescent="0.3">
      <c r="A138" s="9" t="s">
        <v>380</v>
      </c>
      <c r="B138" s="9" t="s">
        <v>31</v>
      </c>
      <c r="C138" s="9" t="s">
        <v>392</v>
      </c>
      <c r="D138" s="9" t="s">
        <v>393</v>
      </c>
      <c r="E138" s="9" t="s">
        <v>383</v>
      </c>
    </row>
    <row r="139" spans="1:8" ht="15" customHeight="1" x14ac:dyDescent="0.3">
      <c r="A139" s="9" t="s">
        <v>394</v>
      </c>
      <c r="B139" s="9" t="s">
        <v>57</v>
      </c>
      <c r="C139" s="9" t="s">
        <v>395</v>
      </c>
      <c r="D139" s="9" t="s">
        <v>396</v>
      </c>
      <c r="E139" s="9" t="s">
        <v>383</v>
      </c>
    </row>
    <row r="140" spans="1:8" ht="15" customHeight="1" x14ac:dyDescent="0.3">
      <c r="A140" s="9" t="s">
        <v>394</v>
      </c>
      <c r="B140" s="9" t="s">
        <v>51</v>
      </c>
      <c r="C140" s="9" t="s">
        <v>397</v>
      </c>
      <c r="D140" s="9" t="s">
        <v>398</v>
      </c>
      <c r="E140" s="9" t="s">
        <v>383</v>
      </c>
    </row>
    <row r="141" spans="1:8" ht="15" customHeight="1" x14ac:dyDescent="0.3">
      <c r="A141" s="9" t="s">
        <v>394</v>
      </c>
      <c r="B141" s="9" t="s">
        <v>56</v>
      </c>
      <c r="C141" s="9" t="s">
        <v>399</v>
      </c>
      <c r="D141" s="9" t="s">
        <v>400</v>
      </c>
      <c r="E141" s="9" t="s">
        <v>383</v>
      </c>
    </row>
    <row r="142" spans="1:8" ht="15" customHeight="1" x14ac:dyDescent="0.3">
      <c r="A142" s="9" t="s">
        <v>394</v>
      </c>
      <c r="B142" s="9" t="s">
        <v>41</v>
      </c>
      <c r="C142" s="9" t="s">
        <v>401</v>
      </c>
      <c r="D142" s="9" t="s">
        <v>402</v>
      </c>
      <c r="E142" s="9" t="s">
        <v>383</v>
      </c>
    </row>
    <row r="143" spans="1:8" ht="15" customHeight="1" x14ac:dyDescent="0.3">
      <c r="A143" s="9" t="s">
        <v>83</v>
      </c>
      <c r="B143" s="9" t="s">
        <v>109</v>
      </c>
      <c r="C143" s="9" t="s">
        <v>403</v>
      </c>
      <c r="D143" s="9" t="s">
        <v>404</v>
      </c>
      <c r="E143" s="9" t="s">
        <v>383</v>
      </c>
    </row>
    <row r="144" spans="1:8" ht="15" customHeight="1" x14ac:dyDescent="0.3">
      <c r="A144" s="9" t="s">
        <v>83</v>
      </c>
      <c r="B144" s="9" t="s">
        <v>86</v>
      </c>
      <c r="C144" s="9" t="s">
        <v>405</v>
      </c>
      <c r="D144" s="9" t="s">
        <v>406</v>
      </c>
      <c r="E144" s="9" t="s">
        <v>383</v>
      </c>
    </row>
    <row r="145" spans="1:5" ht="15" customHeight="1" x14ac:dyDescent="0.3">
      <c r="A145" s="9" t="s">
        <v>83</v>
      </c>
      <c r="B145" s="9" t="s">
        <v>125</v>
      </c>
      <c r="C145" s="9" t="s">
        <v>407</v>
      </c>
      <c r="D145" s="9" t="s">
        <v>408</v>
      </c>
      <c r="E145" s="9" t="s">
        <v>383</v>
      </c>
    </row>
    <row r="146" spans="1:5" ht="15" customHeight="1" x14ac:dyDescent="0.3">
      <c r="A146" s="9" t="s">
        <v>83</v>
      </c>
      <c r="B146" s="9" t="s">
        <v>83</v>
      </c>
      <c r="C146" s="9" t="s">
        <v>409</v>
      </c>
      <c r="D146" s="9" t="s">
        <v>236</v>
      </c>
      <c r="E146" s="9" t="s">
        <v>410</v>
      </c>
    </row>
    <row r="147" spans="1:5" ht="15" customHeight="1" x14ac:dyDescent="0.3">
      <c r="A147" s="9" t="s">
        <v>411</v>
      </c>
      <c r="B147" s="9" t="s">
        <v>30</v>
      </c>
      <c r="C147" s="9" t="s">
        <v>412</v>
      </c>
      <c r="D147" s="9" t="s">
        <v>413</v>
      </c>
      <c r="E147" s="9" t="s">
        <v>383</v>
      </c>
    </row>
    <row r="148" spans="1:5" ht="15" customHeight="1" x14ac:dyDescent="0.3">
      <c r="A148" s="9" t="s">
        <v>411</v>
      </c>
      <c r="B148" s="9" t="s">
        <v>64</v>
      </c>
      <c r="C148" s="9" t="s">
        <v>414</v>
      </c>
      <c r="D148" s="9" t="s">
        <v>415</v>
      </c>
      <c r="E148" s="9" t="s">
        <v>383</v>
      </c>
    </row>
    <row r="149" spans="1:5" ht="15" customHeight="1" x14ac:dyDescent="0.3">
      <c r="A149" s="9" t="s">
        <v>411</v>
      </c>
      <c r="B149" s="9" t="s">
        <v>97</v>
      </c>
      <c r="C149" s="9" t="s">
        <v>416</v>
      </c>
      <c r="D149" s="9" t="s">
        <v>417</v>
      </c>
      <c r="E149" s="9" t="s">
        <v>383</v>
      </c>
    </row>
    <row r="150" spans="1:5" ht="15" customHeight="1" x14ac:dyDescent="0.3">
      <c r="A150" s="9" t="s">
        <v>411</v>
      </c>
      <c r="B150" s="9" t="s">
        <v>144</v>
      </c>
      <c r="C150" s="9" t="s">
        <v>418</v>
      </c>
      <c r="D150" s="9" t="s">
        <v>419</v>
      </c>
      <c r="E150" s="9" t="s">
        <v>383</v>
      </c>
    </row>
    <row r="151" spans="1:5" ht="15" customHeight="1" x14ac:dyDescent="0.3">
      <c r="A151" s="9" t="s">
        <v>420</v>
      </c>
      <c r="B151" s="9" t="s">
        <v>78</v>
      </c>
      <c r="C151" s="9" t="s">
        <v>421</v>
      </c>
      <c r="D151" s="9" t="s">
        <v>422</v>
      </c>
      <c r="E151" s="9" t="s">
        <v>383</v>
      </c>
    </row>
    <row r="152" spans="1:5" ht="15" customHeight="1" x14ac:dyDescent="0.3">
      <c r="A152" s="9" t="s">
        <v>420</v>
      </c>
      <c r="B152" s="9" t="s">
        <v>237</v>
      </c>
      <c r="C152" s="9" t="s">
        <v>423</v>
      </c>
      <c r="D152" s="9" t="s">
        <v>236</v>
      </c>
      <c r="E152" s="9" t="s">
        <v>383</v>
      </c>
    </row>
    <row r="153" spans="1:5" ht="15" customHeight="1" x14ac:dyDescent="0.3">
      <c r="A153" s="9" t="s">
        <v>420</v>
      </c>
      <c r="B153" s="9" t="s">
        <v>104</v>
      </c>
      <c r="C153" s="9" t="s">
        <v>424</v>
      </c>
      <c r="D153" s="9" t="s">
        <v>425</v>
      </c>
      <c r="E153" s="9" t="s">
        <v>383</v>
      </c>
    </row>
    <row r="154" spans="1:5" ht="15" customHeight="1" x14ac:dyDescent="0.3">
      <c r="A154" s="9" t="s">
        <v>420</v>
      </c>
      <c r="B154" s="9" t="s">
        <v>112</v>
      </c>
      <c r="C154" s="9" t="s">
        <v>426</v>
      </c>
      <c r="D154" s="9" t="s">
        <v>427</v>
      </c>
      <c r="E154" s="9" t="s">
        <v>383</v>
      </c>
    </row>
    <row r="155" spans="1:5" ht="15" customHeight="1" x14ac:dyDescent="0.3">
      <c r="A155" s="9" t="s">
        <v>420</v>
      </c>
      <c r="B155" s="9" t="s">
        <v>428</v>
      </c>
      <c r="C155" s="9" t="s">
        <v>429</v>
      </c>
      <c r="D155" s="9" t="s">
        <v>430</v>
      </c>
      <c r="E155" s="9" t="s">
        <v>431</v>
      </c>
    </row>
    <row r="156" spans="1:5" ht="15" customHeight="1" x14ac:dyDescent="0.3">
      <c r="A156" s="9" t="s">
        <v>380</v>
      </c>
      <c r="B156" s="9" t="s">
        <v>432</v>
      </c>
      <c r="C156" s="9" t="s">
        <v>433</v>
      </c>
      <c r="D156" s="9" t="s">
        <v>434</v>
      </c>
      <c r="E156" s="9" t="s">
        <v>431</v>
      </c>
    </row>
    <row r="157" spans="1:5" ht="15" customHeight="1" x14ac:dyDescent="0.3">
      <c r="A157" s="9" t="s">
        <v>420</v>
      </c>
      <c r="B157" s="9" t="s">
        <v>435</v>
      </c>
      <c r="C157" s="9" t="s">
        <v>436</v>
      </c>
      <c r="D157" s="9" t="s">
        <v>437</v>
      </c>
      <c r="E157" s="9" t="s">
        <v>431</v>
      </c>
    </row>
    <row r="158" spans="1:5" ht="15" customHeight="1" x14ac:dyDescent="0.3">
      <c r="A158" s="9" t="s">
        <v>420</v>
      </c>
      <c r="B158" s="9" t="s">
        <v>438</v>
      </c>
      <c r="C158" s="9" t="s">
        <v>439</v>
      </c>
      <c r="D158" s="9" t="s">
        <v>158</v>
      </c>
      <c r="E158" s="9" t="s">
        <v>431</v>
      </c>
    </row>
    <row r="159" spans="1:5" ht="15" customHeight="1" x14ac:dyDescent="0.3">
      <c r="A159" s="9" t="s">
        <v>411</v>
      </c>
      <c r="B159" s="9" t="s">
        <v>440</v>
      </c>
      <c r="C159" s="9" t="s">
        <v>441</v>
      </c>
      <c r="D159" s="9" t="s">
        <v>178</v>
      </c>
      <c r="E159" s="9" t="s">
        <v>431</v>
      </c>
    </row>
    <row r="160" spans="1:5" ht="15" customHeight="1" x14ac:dyDescent="0.3"/>
    <row r="161" spans="1:23" ht="15" customHeight="1" x14ac:dyDescent="0.3"/>
    <row r="162" spans="1:23" ht="15" customHeight="1" x14ac:dyDescent="0.3">
      <c r="A162" s="4" t="s">
        <v>442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" customHeight="1" x14ac:dyDescent="0.3">
      <c r="A163" s="8" t="s">
        <v>353</v>
      </c>
      <c r="B163" s="8" t="s">
        <v>40</v>
      </c>
      <c r="C163" s="8" t="s">
        <v>20</v>
      </c>
      <c r="D163" s="8" t="s">
        <v>50</v>
      </c>
      <c r="E163" s="8" t="s">
        <v>21</v>
      </c>
      <c r="F163" s="8" t="s">
        <v>115</v>
      </c>
      <c r="G163" s="8" t="s">
        <v>31</v>
      </c>
      <c r="H163" s="8" t="s">
        <v>57</v>
      </c>
      <c r="I163" s="8" t="s">
        <v>51</v>
      </c>
      <c r="J163" s="8" t="s">
        <v>56</v>
      </c>
      <c r="K163" s="8" t="s">
        <v>41</v>
      </c>
      <c r="L163" s="8" t="s">
        <v>109</v>
      </c>
      <c r="M163" s="8" t="s">
        <v>86</v>
      </c>
      <c r="N163" s="8" t="s">
        <v>125</v>
      </c>
      <c r="O163" s="8" t="s">
        <v>83</v>
      </c>
      <c r="P163" s="8" t="s">
        <v>30</v>
      </c>
      <c r="Q163" s="8" t="s">
        <v>64</v>
      </c>
      <c r="R163" s="8" t="s">
        <v>97</v>
      </c>
      <c r="S163" s="8" t="s">
        <v>144</v>
      </c>
      <c r="T163" s="8" t="s">
        <v>78</v>
      </c>
      <c r="U163" s="8" t="s">
        <v>237</v>
      </c>
      <c r="V163" s="8" t="s">
        <v>104</v>
      </c>
      <c r="W163" s="8" t="s">
        <v>112</v>
      </c>
    </row>
    <row r="164" spans="1:23" ht="15" customHeight="1" x14ac:dyDescent="0.3">
      <c r="A164" s="7" t="s">
        <v>40</v>
      </c>
      <c r="B164" s="10">
        <v>0</v>
      </c>
      <c r="C164" s="10">
        <v>2</v>
      </c>
      <c r="D164" s="10">
        <v>1</v>
      </c>
      <c r="E164" s="10">
        <v>1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-1</v>
      </c>
      <c r="N164" s="10">
        <v>0</v>
      </c>
      <c r="O164" s="10">
        <v>0</v>
      </c>
      <c r="P164" s="10">
        <v>-1</v>
      </c>
      <c r="Q164" s="10">
        <v>-1</v>
      </c>
      <c r="R164" s="10">
        <v>-2</v>
      </c>
      <c r="S164" s="10">
        <v>-1</v>
      </c>
      <c r="T164" s="10">
        <v>-1</v>
      </c>
      <c r="U164" s="10">
        <v>0</v>
      </c>
      <c r="V164" s="10">
        <v>0</v>
      </c>
      <c r="W164" s="10">
        <v>1</v>
      </c>
    </row>
    <row r="165" spans="1:23" ht="15" customHeight="1" x14ac:dyDescent="0.3">
      <c r="A165" s="7" t="s">
        <v>20</v>
      </c>
      <c r="B165" s="10">
        <v>-2</v>
      </c>
      <c r="C165" s="10">
        <v>0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-1</v>
      </c>
      <c r="M165" s="10">
        <v>-1</v>
      </c>
      <c r="N165" s="10">
        <v>0</v>
      </c>
      <c r="O165" s="10">
        <v>0</v>
      </c>
      <c r="P165" s="10">
        <v>-1</v>
      </c>
      <c r="Q165" s="10">
        <v>0</v>
      </c>
      <c r="R165" s="10">
        <v>0</v>
      </c>
      <c r="S165" s="10">
        <v>0</v>
      </c>
      <c r="T165" s="10">
        <v>-1</v>
      </c>
      <c r="U165" s="10">
        <v>1</v>
      </c>
      <c r="V165" s="10">
        <v>0</v>
      </c>
      <c r="W165" s="10">
        <v>1</v>
      </c>
    </row>
    <row r="166" spans="1:23" ht="15" customHeight="1" x14ac:dyDescent="0.3">
      <c r="A166" s="7" t="s">
        <v>50</v>
      </c>
      <c r="B166" s="10">
        <v>0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1</v>
      </c>
      <c r="N166" s="10">
        <v>-1</v>
      </c>
      <c r="O166" s="10">
        <v>0</v>
      </c>
      <c r="P166" s="10">
        <v>-2</v>
      </c>
      <c r="Q166" s="10">
        <v>-1</v>
      </c>
      <c r="R166" s="10">
        <v>0</v>
      </c>
      <c r="S166" s="10">
        <v>0</v>
      </c>
      <c r="T166" s="10">
        <v>-1</v>
      </c>
      <c r="U166" s="10">
        <v>1</v>
      </c>
      <c r="V166" s="10">
        <v>0</v>
      </c>
      <c r="W166" s="10">
        <v>0</v>
      </c>
    </row>
    <row r="167" spans="1:23" ht="15" customHeight="1" x14ac:dyDescent="0.3">
      <c r="A167" s="7" t="s">
        <v>21</v>
      </c>
      <c r="B167" s="10">
        <v>0</v>
      </c>
      <c r="C167" s="10">
        <v>0</v>
      </c>
      <c r="D167" s="10">
        <v>0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-1</v>
      </c>
      <c r="M167" s="10">
        <v>-1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-1</v>
      </c>
      <c r="U167" s="10">
        <v>1</v>
      </c>
      <c r="V167" s="10">
        <v>0</v>
      </c>
      <c r="W167" s="10">
        <v>2</v>
      </c>
    </row>
    <row r="168" spans="1:23" ht="15" customHeight="1" x14ac:dyDescent="0.3">
      <c r="A168" s="7" t="s">
        <v>115</v>
      </c>
      <c r="B168" s="10">
        <v>0</v>
      </c>
      <c r="C168" s="10">
        <v>0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1</v>
      </c>
      <c r="Q168" s="10">
        <v>2</v>
      </c>
      <c r="R168" s="10">
        <v>0</v>
      </c>
      <c r="S168" s="10">
        <v>2</v>
      </c>
      <c r="T168" s="10">
        <v>0</v>
      </c>
      <c r="U168" s="10">
        <v>0</v>
      </c>
      <c r="V168" s="10">
        <v>0</v>
      </c>
      <c r="W168" s="10">
        <v>0</v>
      </c>
    </row>
    <row r="169" spans="1:23" ht="15" customHeight="1" x14ac:dyDescent="0.3">
      <c r="A169" s="7" t="s">
        <v>31</v>
      </c>
      <c r="B169" s="10">
        <v>0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2</v>
      </c>
      <c r="Q169" s="10">
        <v>0</v>
      </c>
      <c r="R169" s="10">
        <v>-2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</row>
    <row r="170" spans="1:23" ht="15" customHeight="1" x14ac:dyDescent="0.3">
      <c r="A170" s="7" t="s">
        <v>57</v>
      </c>
      <c r="B170" s="10">
        <v>0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1</v>
      </c>
      <c r="M170" s="10">
        <v>2</v>
      </c>
      <c r="N170" s="10">
        <v>1</v>
      </c>
      <c r="O170" s="10">
        <v>2</v>
      </c>
      <c r="P170" s="10">
        <v>0</v>
      </c>
      <c r="Q170" s="10">
        <v>0</v>
      </c>
      <c r="R170" s="10">
        <v>-2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</row>
    <row r="171" spans="1:23" ht="15" customHeight="1" x14ac:dyDescent="0.3">
      <c r="A171" s="7" t="s">
        <v>51</v>
      </c>
      <c r="B171" s="10">
        <v>0</v>
      </c>
      <c r="C171" s="10">
        <v>0</v>
      </c>
      <c r="D171" s="10">
        <v>0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1</v>
      </c>
      <c r="N171" s="10">
        <v>0</v>
      </c>
      <c r="O171" s="10">
        <v>1</v>
      </c>
      <c r="P171" s="10">
        <v>0</v>
      </c>
      <c r="Q171" s="10">
        <v>0</v>
      </c>
      <c r="R171" s="10">
        <v>-1</v>
      </c>
      <c r="S171" s="10">
        <v>0</v>
      </c>
      <c r="T171" s="10">
        <v>-1</v>
      </c>
      <c r="U171" s="10">
        <v>0</v>
      </c>
      <c r="V171" s="10">
        <v>0</v>
      </c>
      <c r="W171" s="10">
        <v>0</v>
      </c>
    </row>
    <row r="172" spans="1:23" ht="15" customHeight="1" x14ac:dyDescent="0.3">
      <c r="A172" s="7" t="s">
        <v>56</v>
      </c>
      <c r="B172" s="10">
        <v>0</v>
      </c>
      <c r="C172" s="10">
        <v>0</v>
      </c>
      <c r="D172" s="10">
        <v>0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-1</v>
      </c>
      <c r="N172" s="10">
        <v>0</v>
      </c>
      <c r="O172" s="10">
        <v>0</v>
      </c>
      <c r="P172" s="10">
        <v>0</v>
      </c>
      <c r="Q172" s="10">
        <v>0</v>
      </c>
      <c r="R172" s="10">
        <v>-1</v>
      </c>
      <c r="S172" s="10">
        <v>0</v>
      </c>
      <c r="T172" s="10">
        <v>0</v>
      </c>
      <c r="U172" s="10">
        <v>0</v>
      </c>
      <c r="V172" s="10">
        <v>0</v>
      </c>
      <c r="W172" s="10">
        <v>2</v>
      </c>
    </row>
    <row r="173" spans="1:23" ht="15" customHeight="1" x14ac:dyDescent="0.3">
      <c r="A173" s="7" t="s">
        <v>41</v>
      </c>
      <c r="B173" s="10">
        <v>0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1</v>
      </c>
      <c r="M173" s="10">
        <v>2</v>
      </c>
      <c r="N173" s="10">
        <v>0</v>
      </c>
      <c r="O173" s="10">
        <v>2</v>
      </c>
      <c r="P173" s="10">
        <v>0</v>
      </c>
      <c r="Q173" s="10">
        <v>0</v>
      </c>
      <c r="R173" s="10">
        <v>-1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</row>
    <row r="174" spans="1:23" ht="15" customHeight="1" x14ac:dyDescent="0.3">
      <c r="A174" s="7" t="s">
        <v>109</v>
      </c>
      <c r="B174" s="10">
        <v>0</v>
      </c>
      <c r="C174" s="10">
        <v>0</v>
      </c>
      <c r="D174" s="10">
        <v>1</v>
      </c>
      <c r="E174" s="10">
        <v>1</v>
      </c>
      <c r="F174" s="10">
        <v>0</v>
      </c>
      <c r="G174" s="10">
        <v>0</v>
      </c>
      <c r="H174" s="10">
        <v>-1</v>
      </c>
      <c r="I174" s="10">
        <v>0</v>
      </c>
      <c r="J174" s="10">
        <v>0</v>
      </c>
      <c r="K174" s="10">
        <v>-1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</row>
    <row r="175" spans="1:23" ht="15" customHeight="1" x14ac:dyDescent="0.3">
      <c r="A175" s="7" t="s">
        <v>86</v>
      </c>
      <c r="B175" s="10">
        <v>0</v>
      </c>
      <c r="C175" s="10">
        <v>0</v>
      </c>
      <c r="D175" s="10">
        <v>-1</v>
      </c>
      <c r="E175" s="10">
        <v>1</v>
      </c>
      <c r="F175" s="10">
        <v>0</v>
      </c>
      <c r="G175" s="10">
        <v>0</v>
      </c>
      <c r="H175" s="10">
        <v>-2</v>
      </c>
      <c r="I175" s="10">
        <v>-1</v>
      </c>
      <c r="J175" s="10">
        <v>1</v>
      </c>
      <c r="K175" s="10">
        <v>-2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</row>
    <row r="176" spans="1:23" ht="15" customHeight="1" x14ac:dyDescent="0.3">
      <c r="A176" s="7" t="s">
        <v>125</v>
      </c>
      <c r="B176" s="10">
        <v>0</v>
      </c>
      <c r="C176" s="10">
        <v>0</v>
      </c>
      <c r="D176" s="10">
        <v>2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-1</v>
      </c>
      <c r="U176" s="10">
        <v>0</v>
      </c>
      <c r="V176" s="10">
        <v>0</v>
      </c>
      <c r="W176" s="10">
        <v>0</v>
      </c>
    </row>
    <row r="177" spans="1:23" ht="15" customHeight="1" x14ac:dyDescent="0.3">
      <c r="A177" s="7" t="s">
        <v>83</v>
      </c>
      <c r="B177" s="10">
        <v>0</v>
      </c>
      <c r="C177" s="10">
        <v>0</v>
      </c>
      <c r="D177" s="10">
        <v>0</v>
      </c>
      <c r="E177" s="10">
        <v>0</v>
      </c>
      <c r="F177" s="10">
        <v>0</v>
      </c>
      <c r="G177" s="10">
        <v>0</v>
      </c>
      <c r="H177" s="10">
        <v>-1</v>
      </c>
      <c r="I177" s="10">
        <v>0</v>
      </c>
      <c r="J177" s="10">
        <v>0</v>
      </c>
      <c r="K177" s="10">
        <v>-1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</row>
    <row r="178" spans="1:23" ht="15" customHeight="1" x14ac:dyDescent="0.3">
      <c r="A178" s="7" t="s">
        <v>30</v>
      </c>
      <c r="B178" s="10">
        <v>-1</v>
      </c>
      <c r="C178" s="10">
        <v>1</v>
      </c>
      <c r="D178" s="10">
        <v>2</v>
      </c>
      <c r="E178" s="10">
        <v>0</v>
      </c>
      <c r="F178" s="10">
        <v>-1</v>
      </c>
      <c r="G178" s="10">
        <v>-2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-2</v>
      </c>
      <c r="V178" s="10">
        <v>0</v>
      </c>
      <c r="W178" s="10">
        <v>1</v>
      </c>
    </row>
    <row r="179" spans="1:23" ht="15" customHeight="1" x14ac:dyDescent="0.3">
      <c r="A179" s="7" t="s">
        <v>64</v>
      </c>
      <c r="B179" s="10">
        <v>1</v>
      </c>
      <c r="C179" s="10">
        <v>0</v>
      </c>
      <c r="D179" s="10">
        <v>1</v>
      </c>
      <c r="E179" s="10">
        <v>0</v>
      </c>
      <c r="F179" s="10">
        <v>-2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</row>
    <row r="180" spans="1:23" ht="15" customHeight="1" x14ac:dyDescent="0.3">
      <c r="A180" s="7" t="s">
        <v>97</v>
      </c>
      <c r="B180" s="10">
        <v>2</v>
      </c>
      <c r="C180" s="10">
        <v>0</v>
      </c>
      <c r="D180" s="10">
        <v>0</v>
      </c>
      <c r="E180" s="10">
        <v>0</v>
      </c>
      <c r="F180" s="10">
        <v>1</v>
      </c>
      <c r="G180" s="10">
        <v>2</v>
      </c>
      <c r="H180" s="10">
        <v>2</v>
      </c>
      <c r="I180" s="10">
        <v>1</v>
      </c>
      <c r="J180" s="10">
        <v>1</v>
      </c>
      <c r="K180" s="10">
        <v>1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</row>
    <row r="181" spans="1:23" ht="15" customHeight="1" x14ac:dyDescent="0.3">
      <c r="A181" s="7" t="s">
        <v>144</v>
      </c>
      <c r="B181" s="10">
        <v>1</v>
      </c>
      <c r="C181" s="10">
        <v>1</v>
      </c>
      <c r="D181" s="10">
        <v>1</v>
      </c>
      <c r="E181" s="10">
        <v>0</v>
      </c>
      <c r="F181" s="10">
        <v>-2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</row>
    <row r="182" spans="1:23" ht="15" customHeight="1" x14ac:dyDescent="0.3">
      <c r="A182" s="7" t="s">
        <v>78</v>
      </c>
      <c r="B182" s="10">
        <v>-1</v>
      </c>
      <c r="C182" s="10">
        <v>0</v>
      </c>
      <c r="D182" s="10">
        <v>2</v>
      </c>
      <c r="E182" s="10">
        <v>0</v>
      </c>
      <c r="F182" s="10">
        <v>0</v>
      </c>
      <c r="G182" s="10">
        <v>-1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-2</v>
      </c>
      <c r="V182" s="10">
        <v>0</v>
      </c>
      <c r="W182" s="10">
        <v>0</v>
      </c>
    </row>
    <row r="183" spans="1:23" ht="15" customHeight="1" x14ac:dyDescent="0.3">
      <c r="A183" s="7" t="s">
        <v>237</v>
      </c>
      <c r="B183" s="10">
        <v>0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2</v>
      </c>
      <c r="Q183" s="10">
        <v>0</v>
      </c>
      <c r="R183" s="10">
        <v>0</v>
      </c>
      <c r="S183" s="10">
        <v>0</v>
      </c>
      <c r="T183" s="10">
        <v>2</v>
      </c>
      <c r="U183" s="10">
        <v>0</v>
      </c>
      <c r="V183" s="10">
        <v>0</v>
      </c>
      <c r="W183" s="10">
        <v>0</v>
      </c>
    </row>
    <row r="184" spans="1:23" ht="15" customHeight="1" x14ac:dyDescent="0.3">
      <c r="A184" s="7" t="s">
        <v>104</v>
      </c>
      <c r="B184" s="10">
        <v>0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1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</row>
    <row r="185" spans="1:23" ht="15" customHeight="1" x14ac:dyDescent="0.3">
      <c r="A185" s="7" t="s">
        <v>112</v>
      </c>
      <c r="B185" s="10">
        <v>0</v>
      </c>
      <c r="C185" s="10">
        <v>0</v>
      </c>
      <c r="D185" s="10">
        <v>0</v>
      </c>
      <c r="E185" s="10">
        <v>-2</v>
      </c>
      <c r="F185" s="10">
        <v>0</v>
      </c>
      <c r="G185" s="10">
        <v>0</v>
      </c>
      <c r="H185" s="10">
        <v>0</v>
      </c>
      <c r="I185" s="10">
        <v>0</v>
      </c>
      <c r="J185" s="10">
        <v>-2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</row>
    <row r="186" spans="1:23" ht="15" customHeight="1" x14ac:dyDescent="0.3"/>
    <row r="187" spans="1:23" ht="15" customHeight="1" x14ac:dyDescent="0.3"/>
    <row r="188" spans="1:23" ht="15" customHeight="1" x14ac:dyDescent="0.3">
      <c r="A188" s="4" t="s">
        <v>443</v>
      </c>
      <c r="B188" s="4"/>
      <c r="C188" s="4"/>
      <c r="D188" s="4"/>
      <c r="E188" s="4"/>
    </row>
    <row r="189" spans="1:23" ht="15" customHeight="1" x14ac:dyDescent="0.3">
      <c r="A189" s="8" t="s">
        <v>355</v>
      </c>
      <c r="B189" s="8" t="s">
        <v>444</v>
      </c>
      <c r="C189" s="8" t="s">
        <v>445</v>
      </c>
      <c r="D189" s="8" t="s">
        <v>360</v>
      </c>
      <c r="E189" s="8" t="s">
        <v>446</v>
      </c>
    </row>
    <row r="190" spans="1:23" ht="15" customHeight="1" x14ac:dyDescent="0.3">
      <c r="A190" s="11"/>
      <c r="B190" s="11"/>
      <c r="C190" s="11"/>
      <c r="D190" s="11"/>
      <c r="E190" t="str">
        <f t="shared" ref="E190:E253" si="0">A190&amp;"|"&amp;B190</f>
        <v>|</v>
      </c>
    </row>
    <row r="191" spans="1:23" ht="15" customHeight="1" x14ac:dyDescent="0.3">
      <c r="A191" s="11"/>
      <c r="B191" s="11"/>
      <c r="C191" s="11"/>
      <c r="D191" s="11"/>
      <c r="E191" t="str">
        <f t="shared" si="0"/>
        <v>|</v>
      </c>
    </row>
    <row r="192" spans="1:23" ht="15" customHeight="1" x14ac:dyDescent="0.3">
      <c r="A192" s="11"/>
      <c r="B192" s="11"/>
      <c r="C192" s="11"/>
      <c r="D192" s="11"/>
      <c r="E192" t="str">
        <f t="shared" si="0"/>
        <v>|</v>
      </c>
    </row>
    <row r="193" spans="1:5" ht="15" customHeight="1" x14ac:dyDescent="0.3">
      <c r="A193" s="11"/>
      <c r="B193" s="11"/>
      <c r="C193" s="11"/>
      <c r="D193" s="11"/>
      <c r="E193" t="str">
        <f t="shared" si="0"/>
        <v>|</v>
      </c>
    </row>
    <row r="194" spans="1:5" ht="15" customHeight="1" x14ac:dyDescent="0.3">
      <c r="A194" s="11"/>
      <c r="B194" s="11"/>
      <c r="C194" s="11"/>
      <c r="D194" s="11"/>
      <c r="E194" t="str">
        <f t="shared" si="0"/>
        <v>|</v>
      </c>
    </row>
    <row r="195" spans="1:5" ht="15" customHeight="1" x14ac:dyDescent="0.3">
      <c r="A195" s="11"/>
      <c r="B195" s="11"/>
      <c r="C195" s="11"/>
      <c r="D195" s="11"/>
      <c r="E195" t="str">
        <f t="shared" si="0"/>
        <v>|</v>
      </c>
    </row>
    <row r="196" spans="1:5" ht="15" customHeight="1" x14ac:dyDescent="0.3">
      <c r="A196" s="11"/>
      <c r="B196" s="11"/>
      <c r="C196" s="11"/>
      <c r="D196" s="11"/>
      <c r="E196" t="str">
        <f t="shared" si="0"/>
        <v>|</v>
      </c>
    </row>
    <row r="197" spans="1:5" ht="15" customHeight="1" x14ac:dyDescent="0.3">
      <c r="A197" s="11"/>
      <c r="B197" s="11"/>
      <c r="C197" s="11"/>
      <c r="D197" s="11"/>
      <c r="E197" t="str">
        <f t="shared" si="0"/>
        <v>|</v>
      </c>
    </row>
    <row r="198" spans="1:5" ht="15" customHeight="1" x14ac:dyDescent="0.3">
      <c r="A198" s="11"/>
      <c r="B198" s="11"/>
      <c r="C198" s="11"/>
      <c r="D198" s="11"/>
      <c r="E198" t="str">
        <f t="shared" si="0"/>
        <v>|</v>
      </c>
    </row>
    <row r="199" spans="1:5" ht="15" customHeight="1" x14ac:dyDescent="0.3">
      <c r="A199" s="11"/>
      <c r="B199" s="11"/>
      <c r="C199" s="11"/>
      <c r="D199" s="11"/>
      <c r="E199" t="str">
        <f t="shared" si="0"/>
        <v>|</v>
      </c>
    </row>
    <row r="200" spans="1:5" ht="15" customHeight="1" x14ac:dyDescent="0.3">
      <c r="A200" s="11"/>
      <c r="B200" s="11"/>
      <c r="C200" s="11"/>
      <c r="D200" s="11"/>
      <c r="E200" t="str">
        <f t="shared" si="0"/>
        <v>|</v>
      </c>
    </row>
    <row r="201" spans="1:5" ht="15" customHeight="1" x14ac:dyDescent="0.3">
      <c r="A201" s="11"/>
      <c r="B201" s="11"/>
      <c r="C201" s="11"/>
      <c r="D201" s="11"/>
      <c r="E201" t="str">
        <f t="shared" si="0"/>
        <v>|</v>
      </c>
    </row>
    <row r="202" spans="1:5" ht="15" customHeight="1" x14ac:dyDescent="0.3">
      <c r="A202" s="11"/>
      <c r="B202" s="11"/>
      <c r="C202" s="11"/>
      <c r="D202" s="11"/>
      <c r="E202" t="str">
        <f t="shared" si="0"/>
        <v>|</v>
      </c>
    </row>
    <row r="203" spans="1:5" ht="15" customHeight="1" x14ac:dyDescent="0.3">
      <c r="A203" s="11"/>
      <c r="B203" s="11"/>
      <c r="C203" s="11"/>
      <c r="D203" s="11"/>
      <c r="E203" t="str">
        <f t="shared" si="0"/>
        <v>|</v>
      </c>
    </row>
    <row r="204" spans="1:5" ht="15" customHeight="1" x14ac:dyDescent="0.3">
      <c r="A204" s="11"/>
      <c r="B204" s="11"/>
      <c r="C204" s="11"/>
      <c r="D204" s="11"/>
      <c r="E204" t="str">
        <f t="shared" si="0"/>
        <v>|</v>
      </c>
    </row>
    <row r="205" spans="1:5" ht="15" customHeight="1" x14ac:dyDescent="0.3">
      <c r="A205" s="11"/>
      <c r="B205" s="11"/>
      <c r="C205" s="11"/>
      <c r="D205" s="11"/>
      <c r="E205" t="str">
        <f t="shared" si="0"/>
        <v>|</v>
      </c>
    </row>
    <row r="206" spans="1:5" ht="15" customHeight="1" x14ac:dyDescent="0.3">
      <c r="A206" s="11"/>
      <c r="B206" s="11"/>
      <c r="C206" s="11"/>
      <c r="D206" s="11"/>
      <c r="E206" t="str">
        <f t="shared" si="0"/>
        <v>|</v>
      </c>
    </row>
    <row r="207" spans="1:5" ht="15" customHeight="1" x14ac:dyDescent="0.3">
      <c r="A207" s="11"/>
      <c r="B207" s="11"/>
      <c r="C207" s="11"/>
      <c r="D207" s="11"/>
      <c r="E207" t="str">
        <f t="shared" si="0"/>
        <v>|</v>
      </c>
    </row>
    <row r="208" spans="1:5" ht="15" customHeight="1" x14ac:dyDescent="0.3">
      <c r="A208" s="11"/>
      <c r="B208" s="11"/>
      <c r="C208" s="11"/>
      <c r="D208" s="11"/>
      <c r="E208" t="str">
        <f t="shared" si="0"/>
        <v>|</v>
      </c>
    </row>
    <row r="209" spans="1:5" ht="15" customHeight="1" x14ac:dyDescent="0.3">
      <c r="A209" s="11"/>
      <c r="B209" s="11"/>
      <c r="C209" s="11"/>
      <c r="D209" s="11"/>
      <c r="E209" t="str">
        <f t="shared" si="0"/>
        <v>|</v>
      </c>
    </row>
    <row r="210" spans="1:5" ht="15" customHeight="1" x14ac:dyDescent="0.3">
      <c r="A210" s="11"/>
      <c r="B210" s="11"/>
      <c r="C210" s="11"/>
      <c r="D210" s="11"/>
      <c r="E210" t="str">
        <f t="shared" si="0"/>
        <v>|</v>
      </c>
    </row>
    <row r="211" spans="1:5" ht="15" customHeight="1" x14ac:dyDescent="0.3">
      <c r="A211" s="11"/>
      <c r="B211" s="11"/>
      <c r="C211" s="11"/>
      <c r="D211" s="11"/>
      <c r="E211" t="str">
        <f t="shared" si="0"/>
        <v>|</v>
      </c>
    </row>
    <row r="212" spans="1:5" ht="15" customHeight="1" x14ac:dyDescent="0.3">
      <c r="A212" s="11"/>
      <c r="B212" s="11"/>
      <c r="C212" s="11"/>
      <c r="D212" s="11"/>
      <c r="E212" t="str">
        <f t="shared" si="0"/>
        <v>|</v>
      </c>
    </row>
    <row r="213" spans="1:5" ht="15" customHeight="1" x14ac:dyDescent="0.3">
      <c r="A213" s="11"/>
      <c r="B213" s="11"/>
      <c r="C213" s="11"/>
      <c r="D213" s="11"/>
      <c r="E213" t="str">
        <f t="shared" si="0"/>
        <v>|</v>
      </c>
    </row>
    <row r="214" spans="1:5" ht="15" customHeight="1" x14ac:dyDescent="0.3">
      <c r="A214" s="11"/>
      <c r="B214" s="11"/>
      <c r="C214" s="11"/>
      <c r="D214" s="11"/>
      <c r="E214" t="str">
        <f t="shared" si="0"/>
        <v>|</v>
      </c>
    </row>
    <row r="215" spans="1:5" ht="15" customHeight="1" x14ac:dyDescent="0.3">
      <c r="A215" s="11"/>
      <c r="B215" s="11"/>
      <c r="C215" s="11"/>
      <c r="D215" s="11"/>
      <c r="E215" t="str">
        <f t="shared" si="0"/>
        <v>|</v>
      </c>
    </row>
    <row r="216" spans="1:5" ht="15" customHeight="1" x14ac:dyDescent="0.3">
      <c r="A216" s="11"/>
      <c r="B216" s="11"/>
      <c r="C216" s="11"/>
      <c r="D216" s="11"/>
      <c r="E216" t="str">
        <f t="shared" si="0"/>
        <v>|</v>
      </c>
    </row>
    <row r="217" spans="1:5" ht="15" customHeight="1" x14ac:dyDescent="0.3">
      <c r="A217" s="11"/>
      <c r="B217" s="11"/>
      <c r="C217" s="11"/>
      <c r="D217" s="11"/>
      <c r="E217" t="str">
        <f t="shared" si="0"/>
        <v>|</v>
      </c>
    </row>
    <row r="218" spans="1:5" ht="15" customHeight="1" x14ac:dyDescent="0.3">
      <c r="A218" s="11"/>
      <c r="B218" s="11"/>
      <c r="C218" s="11"/>
      <c r="D218" s="11"/>
      <c r="E218" t="str">
        <f t="shared" si="0"/>
        <v>|</v>
      </c>
    </row>
    <row r="219" spans="1:5" ht="15" customHeight="1" x14ac:dyDescent="0.3">
      <c r="A219" s="11"/>
      <c r="B219" s="11"/>
      <c r="C219" s="11"/>
      <c r="D219" s="11"/>
      <c r="E219" t="str">
        <f t="shared" si="0"/>
        <v>|</v>
      </c>
    </row>
    <row r="220" spans="1:5" ht="15" customHeight="1" x14ac:dyDescent="0.3">
      <c r="A220" s="11"/>
      <c r="B220" s="11"/>
      <c r="C220" s="11"/>
      <c r="D220" s="11"/>
      <c r="E220" t="str">
        <f t="shared" si="0"/>
        <v>|</v>
      </c>
    </row>
    <row r="221" spans="1:5" ht="15" customHeight="1" x14ac:dyDescent="0.3">
      <c r="A221" s="11"/>
      <c r="B221" s="11"/>
      <c r="C221" s="11"/>
      <c r="D221" s="11"/>
      <c r="E221" t="str">
        <f t="shared" si="0"/>
        <v>|</v>
      </c>
    </row>
    <row r="222" spans="1:5" ht="15" customHeight="1" x14ac:dyDescent="0.3">
      <c r="A222" s="11"/>
      <c r="B222" s="11"/>
      <c r="C222" s="11"/>
      <c r="D222" s="11"/>
      <c r="E222" t="str">
        <f t="shared" si="0"/>
        <v>|</v>
      </c>
    </row>
    <row r="223" spans="1:5" ht="15" customHeight="1" x14ac:dyDescent="0.3">
      <c r="A223" s="11"/>
      <c r="B223" s="11"/>
      <c r="C223" s="11"/>
      <c r="D223" s="11"/>
      <c r="E223" t="str">
        <f t="shared" si="0"/>
        <v>|</v>
      </c>
    </row>
    <row r="224" spans="1:5" ht="15" customHeight="1" x14ac:dyDescent="0.3">
      <c r="A224" s="11"/>
      <c r="B224" s="11"/>
      <c r="C224" s="11"/>
      <c r="D224" s="11"/>
      <c r="E224" t="str">
        <f t="shared" si="0"/>
        <v>|</v>
      </c>
    </row>
    <row r="225" spans="1:5" ht="15" customHeight="1" x14ac:dyDescent="0.3">
      <c r="A225" s="11"/>
      <c r="B225" s="11"/>
      <c r="C225" s="11"/>
      <c r="D225" s="11"/>
      <c r="E225" t="str">
        <f t="shared" si="0"/>
        <v>|</v>
      </c>
    </row>
    <row r="226" spans="1:5" ht="15" customHeight="1" x14ac:dyDescent="0.3">
      <c r="A226" s="11"/>
      <c r="B226" s="11"/>
      <c r="C226" s="11"/>
      <c r="D226" s="11"/>
      <c r="E226" t="str">
        <f t="shared" si="0"/>
        <v>|</v>
      </c>
    </row>
    <row r="227" spans="1:5" ht="15" customHeight="1" x14ac:dyDescent="0.3">
      <c r="A227" s="11"/>
      <c r="B227" s="11"/>
      <c r="C227" s="11"/>
      <c r="D227" s="11"/>
      <c r="E227" t="str">
        <f t="shared" si="0"/>
        <v>|</v>
      </c>
    </row>
    <row r="228" spans="1:5" ht="15" customHeight="1" x14ac:dyDescent="0.3">
      <c r="A228" s="11"/>
      <c r="B228" s="11"/>
      <c r="C228" s="11"/>
      <c r="D228" s="11"/>
      <c r="E228" t="str">
        <f t="shared" si="0"/>
        <v>|</v>
      </c>
    </row>
    <row r="229" spans="1:5" ht="15" customHeight="1" x14ac:dyDescent="0.3">
      <c r="A229" s="11"/>
      <c r="B229" s="11"/>
      <c r="C229" s="11"/>
      <c r="D229" s="11"/>
      <c r="E229" t="str">
        <f t="shared" si="0"/>
        <v>|</v>
      </c>
    </row>
    <row r="230" spans="1:5" ht="15" customHeight="1" x14ac:dyDescent="0.3">
      <c r="A230" s="11"/>
      <c r="B230" s="11"/>
      <c r="C230" s="11"/>
      <c r="D230" s="11"/>
      <c r="E230" t="str">
        <f t="shared" si="0"/>
        <v>|</v>
      </c>
    </row>
    <row r="231" spans="1:5" ht="15" customHeight="1" x14ac:dyDescent="0.3">
      <c r="A231" s="11"/>
      <c r="B231" s="11"/>
      <c r="C231" s="11"/>
      <c r="D231" s="11"/>
      <c r="E231" t="str">
        <f t="shared" si="0"/>
        <v>|</v>
      </c>
    </row>
    <row r="232" spans="1:5" ht="15" customHeight="1" x14ac:dyDescent="0.3">
      <c r="A232" s="11"/>
      <c r="B232" s="11"/>
      <c r="C232" s="11"/>
      <c r="D232" s="11"/>
      <c r="E232" t="str">
        <f t="shared" si="0"/>
        <v>|</v>
      </c>
    </row>
    <row r="233" spans="1:5" ht="15" customHeight="1" x14ac:dyDescent="0.3">
      <c r="A233" s="11"/>
      <c r="B233" s="11"/>
      <c r="C233" s="11"/>
      <c r="D233" s="11"/>
      <c r="E233" t="str">
        <f t="shared" si="0"/>
        <v>|</v>
      </c>
    </row>
    <row r="234" spans="1:5" ht="15" customHeight="1" x14ac:dyDescent="0.3">
      <c r="A234" s="11"/>
      <c r="B234" s="11"/>
      <c r="C234" s="11"/>
      <c r="D234" s="11"/>
      <c r="E234" t="str">
        <f t="shared" si="0"/>
        <v>|</v>
      </c>
    </row>
    <row r="235" spans="1:5" ht="15" customHeight="1" x14ac:dyDescent="0.3">
      <c r="A235" s="11"/>
      <c r="B235" s="11"/>
      <c r="C235" s="11"/>
      <c r="D235" s="11"/>
      <c r="E235" t="str">
        <f t="shared" si="0"/>
        <v>|</v>
      </c>
    </row>
    <row r="236" spans="1:5" ht="15" customHeight="1" x14ac:dyDescent="0.3">
      <c r="A236" s="11"/>
      <c r="B236" s="11"/>
      <c r="C236" s="11"/>
      <c r="D236" s="11"/>
      <c r="E236" t="str">
        <f t="shared" si="0"/>
        <v>|</v>
      </c>
    </row>
    <row r="237" spans="1:5" ht="15" customHeight="1" x14ac:dyDescent="0.3">
      <c r="A237" s="11"/>
      <c r="B237" s="11"/>
      <c r="C237" s="11"/>
      <c r="D237" s="11"/>
      <c r="E237" t="str">
        <f t="shared" si="0"/>
        <v>|</v>
      </c>
    </row>
    <row r="238" spans="1:5" ht="15" customHeight="1" x14ac:dyDescent="0.3">
      <c r="A238" s="11"/>
      <c r="B238" s="11"/>
      <c r="C238" s="11"/>
      <c r="D238" s="11"/>
      <c r="E238" t="str">
        <f t="shared" si="0"/>
        <v>|</v>
      </c>
    </row>
    <row r="239" spans="1:5" ht="15" customHeight="1" x14ac:dyDescent="0.3">
      <c r="A239" s="11"/>
      <c r="B239" s="11"/>
      <c r="C239" s="11"/>
      <c r="D239" s="11"/>
      <c r="E239" t="str">
        <f t="shared" si="0"/>
        <v>|</v>
      </c>
    </row>
    <row r="240" spans="1:5" ht="15" customHeight="1" x14ac:dyDescent="0.3">
      <c r="A240" s="11"/>
      <c r="B240" s="11"/>
      <c r="C240" s="11"/>
      <c r="D240" s="11"/>
      <c r="E240" t="str">
        <f t="shared" si="0"/>
        <v>|</v>
      </c>
    </row>
    <row r="241" spans="1:5" ht="15" customHeight="1" x14ac:dyDescent="0.3">
      <c r="A241" s="11"/>
      <c r="B241" s="11"/>
      <c r="C241" s="11"/>
      <c r="D241" s="11"/>
      <c r="E241" t="str">
        <f t="shared" si="0"/>
        <v>|</v>
      </c>
    </row>
    <row r="242" spans="1:5" ht="15" customHeight="1" x14ac:dyDescent="0.3">
      <c r="A242" s="11"/>
      <c r="B242" s="11"/>
      <c r="C242" s="11"/>
      <c r="D242" s="11"/>
      <c r="E242" t="str">
        <f t="shared" si="0"/>
        <v>|</v>
      </c>
    </row>
    <row r="243" spans="1:5" ht="15" customHeight="1" x14ac:dyDescent="0.3">
      <c r="A243" s="11"/>
      <c r="B243" s="11"/>
      <c r="C243" s="11"/>
      <c r="D243" s="11"/>
      <c r="E243" t="str">
        <f t="shared" si="0"/>
        <v>|</v>
      </c>
    </row>
    <row r="244" spans="1:5" ht="15" customHeight="1" x14ac:dyDescent="0.3">
      <c r="A244" s="11"/>
      <c r="B244" s="11"/>
      <c r="C244" s="11"/>
      <c r="D244" s="11"/>
      <c r="E244" t="str">
        <f t="shared" si="0"/>
        <v>|</v>
      </c>
    </row>
    <row r="245" spans="1:5" ht="15" customHeight="1" x14ac:dyDescent="0.3">
      <c r="A245" s="11"/>
      <c r="B245" s="11"/>
      <c r="C245" s="11"/>
      <c r="D245" s="11"/>
      <c r="E245" t="str">
        <f t="shared" si="0"/>
        <v>|</v>
      </c>
    </row>
    <row r="246" spans="1:5" ht="15" customHeight="1" x14ac:dyDescent="0.3">
      <c r="A246" s="11"/>
      <c r="B246" s="11"/>
      <c r="C246" s="11"/>
      <c r="D246" s="11"/>
      <c r="E246" t="str">
        <f t="shared" si="0"/>
        <v>|</v>
      </c>
    </row>
    <row r="247" spans="1:5" ht="15" customHeight="1" x14ac:dyDescent="0.3">
      <c r="A247" s="11"/>
      <c r="B247" s="11"/>
      <c r="C247" s="11"/>
      <c r="D247" s="11"/>
      <c r="E247" t="str">
        <f t="shared" si="0"/>
        <v>|</v>
      </c>
    </row>
    <row r="248" spans="1:5" ht="15" customHeight="1" x14ac:dyDescent="0.3">
      <c r="A248" s="11"/>
      <c r="B248" s="11"/>
      <c r="C248" s="11"/>
      <c r="D248" s="11"/>
      <c r="E248" t="str">
        <f t="shared" si="0"/>
        <v>|</v>
      </c>
    </row>
    <row r="249" spans="1:5" ht="15" customHeight="1" x14ac:dyDescent="0.3">
      <c r="A249" s="11"/>
      <c r="B249" s="11"/>
      <c r="C249" s="11"/>
      <c r="D249" s="11"/>
      <c r="E249" t="str">
        <f t="shared" si="0"/>
        <v>|</v>
      </c>
    </row>
    <row r="250" spans="1:5" ht="15" customHeight="1" x14ac:dyDescent="0.3">
      <c r="A250" s="11"/>
      <c r="B250" s="11"/>
      <c r="C250" s="11"/>
      <c r="D250" s="11"/>
      <c r="E250" t="str">
        <f t="shared" si="0"/>
        <v>|</v>
      </c>
    </row>
    <row r="251" spans="1:5" ht="15" customHeight="1" x14ac:dyDescent="0.3">
      <c r="A251" s="11"/>
      <c r="B251" s="11"/>
      <c r="C251" s="11"/>
      <c r="D251" s="11"/>
      <c r="E251" t="str">
        <f t="shared" si="0"/>
        <v>|</v>
      </c>
    </row>
    <row r="252" spans="1:5" ht="15" customHeight="1" x14ac:dyDescent="0.3">
      <c r="A252" s="11"/>
      <c r="B252" s="11"/>
      <c r="C252" s="11"/>
      <c r="D252" s="11"/>
      <c r="E252" t="str">
        <f t="shared" si="0"/>
        <v>|</v>
      </c>
    </row>
    <row r="253" spans="1:5" ht="15" customHeight="1" x14ac:dyDescent="0.3">
      <c r="A253" s="11"/>
      <c r="B253" s="11"/>
      <c r="C253" s="11"/>
      <c r="D253" s="11"/>
      <c r="E253" t="str">
        <f t="shared" si="0"/>
        <v>|</v>
      </c>
    </row>
    <row r="254" spans="1:5" ht="15" customHeight="1" x14ac:dyDescent="0.3">
      <c r="A254" s="11"/>
      <c r="B254" s="11"/>
      <c r="C254" s="11"/>
      <c r="D254" s="11"/>
      <c r="E254" t="str">
        <f t="shared" ref="E254:E317" si="1">A254&amp;"|"&amp;B254</f>
        <v>|</v>
      </c>
    </row>
    <row r="255" spans="1:5" ht="15" customHeight="1" x14ac:dyDescent="0.3">
      <c r="A255" s="11"/>
      <c r="B255" s="11"/>
      <c r="C255" s="11"/>
      <c r="D255" s="11"/>
      <c r="E255" t="str">
        <f t="shared" si="1"/>
        <v>|</v>
      </c>
    </row>
    <row r="256" spans="1:5" ht="15" customHeight="1" x14ac:dyDescent="0.3">
      <c r="A256" s="11"/>
      <c r="B256" s="11"/>
      <c r="C256" s="11"/>
      <c r="D256" s="11"/>
      <c r="E256" t="str">
        <f t="shared" si="1"/>
        <v>|</v>
      </c>
    </row>
    <row r="257" spans="1:5" ht="15" customHeight="1" x14ac:dyDescent="0.3">
      <c r="A257" s="11"/>
      <c r="B257" s="11"/>
      <c r="C257" s="11"/>
      <c r="D257" s="11"/>
      <c r="E257" t="str">
        <f t="shared" si="1"/>
        <v>|</v>
      </c>
    </row>
    <row r="258" spans="1:5" ht="15" customHeight="1" x14ac:dyDescent="0.3">
      <c r="A258" s="11"/>
      <c r="B258" s="11"/>
      <c r="C258" s="11"/>
      <c r="D258" s="11"/>
      <c r="E258" t="str">
        <f t="shared" si="1"/>
        <v>|</v>
      </c>
    </row>
    <row r="259" spans="1:5" ht="15" customHeight="1" x14ac:dyDescent="0.3">
      <c r="A259" s="11"/>
      <c r="B259" s="11"/>
      <c r="C259" s="11"/>
      <c r="D259" s="11"/>
      <c r="E259" t="str">
        <f t="shared" si="1"/>
        <v>|</v>
      </c>
    </row>
    <row r="260" spans="1:5" ht="15" customHeight="1" x14ac:dyDescent="0.3">
      <c r="A260" s="11"/>
      <c r="B260" s="11"/>
      <c r="C260" s="11"/>
      <c r="D260" s="11"/>
      <c r="E260" t="str">
        <f t="shared" si="1"/>
        <v>|</v>
      </c>
    </row>
    <row r="261" spans="1:5" ht="15" customHeight="1" x14ac:dyDescent="0.3">
      <c r="A261" s="11"/>
      <c r="B261" s="11"/>
      <c r="C261" s="11"/>
      <c r="D261" s="11"/>
      <c r="E261" t="str">
        <f t="shared" si="1"/>
        <v>|</v>
      </c>
    </row>
    <row r="262" spans="1:5" ht="15" customHeight="1" x14ac:dyDescent="0.3">
      <c r="A262" s="11"/>
      <c r="B262" s="11"/>
      <c r="C262" s="11"/>
      <c r="D262" s="11"/>
      <c r="E262" t="str">
        <f t="shared" si="1"/>
        <v>|</v>
      </c>
    </row>
    <row r="263" spans="1:5" ht="15" customHeight="1" x14ac:dyDescent="0.3">
      <c r="A263" s="11"/>
      <c r="B263" s="11"/>
      <c r="C263" s="11"/>
      <c r="D263" s="11"/>
      <c r="E263" t="str">
        <f t="shared" si="1"/>
        <v>|</v>
      </c>
    </row>
    <row r="264" spans="1:5" ht="15" customHeight="1" x14ac:dyDescent="0.3">
      <c r="A264" s="11"/>
      <c r="B264" s="11"/>
      <c r="C264" s="11"/>
      <c r="D264" s="11"/>
      <c r="E264" t="str">
        <f t="shared" si="1"/>
        <v>|</v>
      </c>
    </row>
    <row r="265" spans="1:5" ht="15" customHeight="1" x14ac:dyDescent="0.3">
      <c r="A265" s="11"/>
      <c r="B265" s="11"/>
      <c r="C265" s="11"/>
      <c r="D265" s="11"/>
      <c r="E265" t="str">
        <f t="shared" si="1"/>
        <v>|</v>
      </c>
    </row>
    <row r="266" spans="1:5" ht="15" customHeight="1" x14ac:dyDescent="0.3">
      <c r="A266" s="11"/>
      <c r="B266" s="11"/>
      <c r="C266" s="11"/>
      <c r="D266" s="11"/>
      <c r="E266" t="str">
        <f t="shared" si="1"/>
        <v>|</v>
      </c>
    </row>
    <row r="267" spans="1:5" ht="15" customHeight="1" x14ac:dyDescent="0.3">
      <c r="A267" s="11"/>
      <c r="B267" s="11"/>
      <c r="C267" s="11"/>
      <c r="D267" s="11"/>
      <c r="E267" t="str">
        <f t="shared" si="1"/>
        <v>|</v>
      </c>
    </row>
    <row r="268" spans="1:5" ht="15" customHeight="1" x14ac:dyDescent="0.3">
      <c r="A268" s="11"/>
      <c r="B268" s="11"/>
      <c r="C268" s="11"/>
      <c r="D268" s="11"/>
      <c r="E268" t="str">
        <f t="shared" si="1"/>
        <v>|</v>
      </c>
    </row>
    <row r="269" spans="1:5" ht="15" customHeight="1" x14ac:dyDescent="0.3">
      <c r="A269" s="11"/>
      <c r="B269" s="11"/>
      <c r="C269" s="11"/>
      <c r="D269" s="11"/>
      <c r="E269" t="str">
        <f t="shared" si="1"/>
        <v>|</v>
      </c>
    </row>
    <row r="270" spans="1:5" ht="15" customHeight="1" x14ac:dyDescent="0.3">
      <c r="A270" s="11"/>
      <c r="B270" s="11"/>
      <c r="C270" s="11"/>
      <c r="D270" s="11"/>
      <c r="E270" t="str">
        <f t="shared" si="1"/>
        <v>|</v>
      </c>
    </row>
    <row r="271" spans="1:5" ht="15" customHeight="1" x14ac:dyDescent="0.3">
      <c r="A271" s="11"/>
      <c r="B271" s="11"/>
      <c r="C271" s="11"/>
      <c r="D271" s="11"/>
      <c r="E271" t="str">
        <f t="shared" si="1"/>
        <v>|</v>
      </c>
    </row>
    <row r="272" spans="1:5" ht="15" customHeight="1" x14ac:dyDescent="0.3">
      <c r="A272" s="11"/>
      <c r="B272" s="11"/>
      <c r="C272" s="11"/>
      <c r="D272" s="11"/>
      <c r="E272" t="str">
        <f t="shared" si="1"/>
        <v>|</v>
      </c>
    </row>
    <row r="273" spans="1:5" ht="15" customHeight="1" x14ac:dyDescent="0.3">
      <c r="A273" s="11"/>
      <c r="B273" s="11"/>
      <c r="C273" s="11"/>
      <c r="D273" s="11"/>
      <c r="E273" t="str">
        <f t="shared" si="1"/>
        <v>|</v>
      </c>
    </row>
    <row r="274" spans="1:5" ht="15" customHeight="1" x14ac:dyDescent="0.3">
      <c r="A274" s="11"/>
      <c r="B274" s="11"/>
      <c r="C274" s="11"/>
      <c r="D274" s="11"/>
      <c r="E274" t="str">
        <f t="shared" si="1"/>
        <v>|</v>
      </c>
    </row>
    <row r="275" spans="1:5" ht="15" customHeight="1" x14ac:dyDescent="0.3">
      <c r="A275" s="11"/>
      <c r="B275" s="11"/>
      <c r="C275" s="11"/>
      <c r="D275" s="11"/>
      <c r="E275" t="str">
        <f t="shared" si="1"/>
        <v>|</v>
      </c>
    </row>
    <row r="276" spans="1:5" ht="15" customHeight="1" x14ac:dyDescent="0.3">
      <c r="A276" s="11"/>
      <c r="B276" s="11"/>
      <c r="C276" s="11"/>
      <c r="D276" s="11"/>
      <c r="E276" t="str">
        <f t="shared" si="1"/>
        <v>|</v>
      </c>
    </row>
    <row r="277" spans="1:5" ht="15" customHeight="1" x14ac:dyDescent="0.3">
      <c r="A277" s="11"/>
      <c r="B277" s="11"/>
      <c r="C277" s="11"/>
      <c r="D277" s="11"/>
      <c r="E277" t="str">
        <f t="shared" si="1"/>
        <v>|</v>
      </c>
    </row>
    <row r="278" spans="1:5" ht="15" customHeight="1" x14ac:dyDescent="0.3">
      <c r="A278" s="11"/>
      <c r="B278" s="11"/>
      <c r="C278" s="11"/>
      <c r="D278" s="11"/>
      <c r="E278" t="str">
        <f t="shared" si="1"/>
        <v>|</v>
      </c>
    </row>
    <row r="279" spans="1:5" ht="15" customHeight="1" x14ac:dyDescent="0.3">
      <c r="A279" s="11"/>
      <c r="B279" s="11"/>
      <c r="C279" s="11"/>
      <c r="D279" s="11"/>
      <c r="E279" t="str">
        <f t="shared" si="1"/>
        <v>|</v>
      </c>
    </row>
    <row r="280" spans="1:5" ht="15" customHeight="1" x14ac:dyDescent="0.3">
      <c r="A280" s="11"/>
      <c r="B280" s="11"/>
      <c r="C280" s="11"/>
      <c r="D280" s="11"/>
      <c r="E280" t="str">
        <f t="shared" si="1"/>
        <v>|</v>
      </c>
    </row>
    <row r="281" spans="1:5" ht="15" customHeight="1" x14ac:dyDescent="0.3">
      <c r="A281" s="11"/>
      <c r="B281" s="11"/>
      <c r="C281" s="11"/>
      <c r="D281" s="11"/>
      <c r="E281" t="str">
        <f t="shared" si="1"/>
        <v>|</v>
      </c>
    </row>
    <row r="282" spans="1:5" ht="15" customHeight="1" x14ac:dyDescent="0.3">
      <c r="A282" s="11"/>
      <c r="B282" s="11"/>
      <c r="C282" s="11"/>
      <c r="D282" s="11"/>
      <c r="E282" t="str">
        <f t="shared" si="1"/>
        <v>|</v>
      </c>
    </row>
    <row r="283" spans="1:5" ht="15" customHeight="1" x14ac:dyDescent="0.3">
      <c r="A283" s="11"/>
      <c r="B283" s="11"/>
      <c r="C283" s="11"/>
      <c r="D283" s="11"/>
      <c r="E283" t="str">
        <f t="shared" si="1"/>
        <v>|</v>
      </c>
    </row>
    <row r="284" spans="1:5" ht="15" customHeight="1" x14ac:dyDescent="0.3">
      <c r="A284" s="11"/>
      <c r="B284" s="11"/>
      <c r="C284" s="11"/>
      <c r="D284" s="11"/>
      <c r="E284" t="str">
        <f t="shared" si="1"/>
        <v>|</v>
      </c>
    </row>
    <row r="285" spans="1:5" ht="15" customHeight="1" x14ac:dyDescent="0.3">
      <c r="A285" s="11"/>
      <c r="B285" s="11"/>
      <c r="C285" s="11"/>
      <c r="D285" s="11"/>
      <c r="E285" t="str">
        <f t="shared" si="1"/>
        <v>|</v>
      </c>
    </row>
    <row r="286" spans="1:5" ht="15" customHeight="1" x14ac:dyDescent="0.3">
      <c r="A286" s="11"/>
      <c r="B286" s="11"/>
      <c r="C286" s="11"/>
      <c r="D286" s="11"/>
      <c r="E286" t="str">
        <f t="shared" si="1"/>
        <v>|</v>
      </c>
    </row>
    <row r="287" spans="1:5" ht="15" customHeight="1" x14ac:dyDescent="0.3">
      <c r="A287" s="11"/>
      <c r="B287" s="11"/>
      <c r="C287" s="11"/>
      <c r="D287" s="11"/>
      <c r="E287" t="str">
        <f t="shared" si="1"/>
        <v>|</v>
      </c>
    </row>
    <row r="288" spans="1:5" ht="15" customHeight="1" x14ac:dyDescent="0.3">
      <c r="A288" s="11"/>
      <c r="B288" s="11"/>
      <c r="C288" s="11"/>
      <c r="D288" s="11"/>
      <c r="E288" t="str">
        <f t="shared" si="1"/>
        <v>|</v>
      </c>
    </row>
    <row r="289" spans="1:5" ht="15" customHeight="1" x14ac:dyDescent="0.3">
      <c r="A289" s="11"/>
      <c r="B289" s="11"/>
      <c r="C289" s="11"/>
      <c r="D289" s="11"/>
      <c r="E289" t="str">
        <f t="shared" si="1"/>
        <v>|</v>
      </c>
    </row>
    <row r="290" spans="1:5" ht="15" customHeight="1" x14ac:dyDescent="0.3">
      <c r="A290" s="11"/>
      <c r="B290" s="11"/>
      <c r="C290" s="11"/>
      <c r="D290" s="11"/>
      <c r="E290" t="str">
        <f t="shared" si="1"/>
        <v>|</v>
      </c>
    </row>
    <row r="291" spans="1:5" ht="15" customHeight="1" x14ac:dyDescent="0.3">
      <c r="A291" s="11"/>
      <c r="B291" s="11"/>
      <c r="C291" s="11"/>
      <c r="D291" s="11"/>
      <c r="E291" t="str">
        <f t="shared" si="1"/>
        <v>|</v>
      </c>
    </row>
    <row r="292" spans="1:5" ht="15" customHeight="1" x14ac:dyDescent="0.3">
      <c r="A292" s="11"/>
      <c r="B292" s="11"/>
      <c r="C292" s="11"/>
      <c r="D292" s="11"/>
      <c r="E292" t="str">
        <f t="shared" si="1"/>
        <v>|</v>
      </c>
    </row>
    <row r="293" spans="1:5" ht="15" customHeight="1" x14ac:dyDescent="0.3">
      <c r="A293" s="11"/>
      <c r="B293" s="11"/>
      <c r="C293" s="11"/>
      <c r="D293" s="11"/>
      <c r="E293" t="str">
        <f t="shared" si="1"/>
        <v>|</v>
      </c>
    </row>
    <row r="294" spans="1:5" ht="15" customHeight="1" x14ac:dyDescent="0.3">
      <c r="A294" s="11"/>
      <c r="B294" s="11"/>
      <c r="C294" s="11"/>
      <c r="D294" s="11"/>
      <c r="E294" t="str">
        <f t="shared" si="1"/>
        <v>|</v>
      </c>
    </row>
    <row r="295" spans="1:5" ht="15" customHeight="1" x14ac:dyDescent="0.3">
      <c r="A295" s="11"/>
      <c r="B295" s="11"/>
      <c r="C295" s="11"/>
      <c r="D295" s="11"/>
      <c r="E295" t="str">
        <f t="shared" si="1"/>
        <v>|</v>
      </c>
    </row>
    <row r="296" spans="1:5" ht="15" customHeight="1" x14ac:dyDescent="0.3">
      <c r="A296" s="11"/>
      <c r="B296" s="11"/>
      <c r="C296" s="11"/>
      <c r="D296" s="11"/>
      <c r="E296" t="str">
        <f t="shared" si="1"/>
        <v>|</v>
      </c>
    </row>
    <row r="297" spans="1:5" ht="15" customHeight="1" x14ac:dyDescent="0.3">
      <c r="A297" s="11"/>
      <c r="B297" s="11"/>
      <c r="C297" s="11"/>
      <c r="D297" s="11"/>
      <c r="E297" t="str">
        <f t="shared" si="1"/>
        <v>|</v>
      </c>
    </row>
    <row r="298" spans="1:5" ht="15" customHeight="1" x14ac:dyDescent="0.3">
      <c r="A298" s="11"/>
      <c r="B298" s="11"/>
      <c r="C298" s="11"/>
      <c r="D298" s="11"/>
      <c r="E298" t="str">
        <f t="shared" si="1"/>
        <v>|</v>
      </c>
    </row>
    <row r="299" spans="1:5" ht="15" customHeight="1" x14ac:dyDescent="0.3">
      <c r="A299" s="11"/>
      <c r="B299" s="11"/>
      <c r="C299" s="11"/>
      <c r="D299" s="11"/>
      <c r="E299" t="str">
        <f t="shared" si="1"/>
        <v>|</v>
      </c>
    </row>
    <row r="300" spans="1:5" ht="15" customHeight="1" x14ac:dyDescent="0.3">
      <c r="A300" s="11"/>
      <c r="B300" s="11"/>
      <c r="C300" s="11"/>
      <c r="D300" s="11"/>
      <c r="E300" t="str">
        <f t="shared" si="1"/>
        <v>|</v>
      </c>
    </row>
    <row r="301" spans="1:5" ht="15" customHeight="1" x14ac:dyDescent="0.3">
      <c r="A301" s="11"/>
      <c r="B301" s="11"/>
      <c r="C301" s="11"/>
      <c r="D301" s="11"/>
      <c r="E301" t="str">
        <f t="shared" si="1"/>
        <v>|</v>
      </c>
    </row>
    <row r="302" spans="1:5" ht="15" customHeight="1" x14ac:dyDescent="0.3">
      <c r="A302" s="11"/>
      <c r="B302" s="11"/>
      <c r="C302" s="11"/>
      <c r="D302" s="11"/>
      <c r="E302" t="str">
        <f t="shared" si="1"/>
        <v>|</v>
      </c>
    </row>
    <row r="303" spans="1:5" ht="15" customHeight="1" x14ac:dyDescent="0.3">
      <c r="A303" s="11"/>
      <c r="B303" s="11"/>
      <c r="C303" s="11"/>
      <c r="D303" s="11"/>
      <c r="E303" t="str">
        <f t="shared" si="1"/>
        <v>|</v>
      </c>
    </row>
    <row r="304" spans="1:5" ht="15" customHeight="1" x14ac:dyDescent="0.3">
      <c r="A304" s="11"/>
      <c r="B304" s="11"/>
      <c r="C304" s="11"/>
      <c r="D304" s="11"/>
      <c r="E304" t="str">
        <f t="shared" si="1"/>
        <v>|</v>
      </c>
    </row>
    <row r="305" spans="1:5" ht="15" customHeight="1" x14ac:dyDescent="0.3">
      <c r="A305" s="11"/>
      <c r="B305" s="11"/>
      <c r="C305" s="11"/>
      <c r="D305" s="11"/>
      <c r="E305" t="str">
        <f t="shared" si="1"/>
        <v>|</v>
      </c>
    </row>
    <row r="306" spans="1:5" ht="15" customHeight="1" x14ac:dyDescent="0.3">
      <c r="A306" s="11"/>
      <c r="B306" s="11"/>
      <c r="C306" s="11"/>
      <c r="D306" s="11"/>
      <c r="E306" t="str">
        <f t="shared" si="1"/>
        <v>|</v>
      </c>
    </row>
    <row r="307" spans="1:5" ht="15" customHeight="1" x14ac:dyDescent="0.3">
      <c r="A307" s="11"/>
      <c r="B307" s="11"/>
      <c r="C307" s="11"/>
      <c r="D307" s="11"/>
      <c r="E307" t="str">
        <f t="shared" si="1"/>
        <v>|</v>
      </c>
    </row>
    <row r="308" spans="1:5" ht="15" customHeight="1" x14ac:dyDescent="0.3">
      <c r="A308" s="11"/>
      <c r="B308" s="11"/>
      <c r="C308" s="11"/>
      <c r="D308" s="11"/>
      <c r="E308" t="str">
        <f t="shared" si="1"/>
        <v>|</v>
      </c>
    </row>
    <row r="309" spans="1:5" ht="15" customHeight="1" x14ac:dyDescent="0.3">
      <c r="A309" s="11"/>
      <c r="B309" s="11"/>
      <c r="C309" s="11"/>
      <c r="D309" s="11"/>
      <c r="E309" t="str">
        <f t="shared" si="1"/>
        <v>|</v>
      </c>
    </row>
    <row r="310" spans="1:5" ht="15" customHeight="1" x14ac:dyDescent="0.3">
      <c r="A310" s="11"/>
      <c r="B310" s="11"/>
      <c r="C310" s="11"/>
      <c r="D310" s="11"/>
      <c r="E310" t="str">
        <f t="shared" si="1"/>
        <v>|</v>
      </c>
    </row>
    <row r="311" spans="1:5" ht="15" customHeight="1" x14ac:dyDescent="0.3">
      <c r="A311" s="11"/>
      <c r="B311" s="11"/>
      <c r="C311" s="11"/>
      <c r="D311" s="11"/>
      <c r="E311" t="str">
        <f t="shared" si="1"/>
        <v>|</v>
      </c>
    </row>
    <row r="312" spans="1:5" ht="15" customHeight="1" x14ac:dyDescent="0.3">
      <c r="A312" s="11"/>
      <c r="B312" s="11"/>
      <c r="C312" s="11"/>
      <c r="D312" s="11"/>
      <c r="E312" t="str">
        <f t="shared" si="1"/>
        <v>|</v>
      </c>
    </row>
    <row r="313" spans="1:5" ht="15" customHeight="1" x14ac:dyDescent="0.3">
      <c r="A313" s="11"/>
      <c r="B313" s="11"/>
      <c r="C313" s="11"/>
      <c r="D313" s="11"/>
      <c r="E313" t="str">
        <f t="shared" si="1"/>
        <v>|</v>
      </c>
    </row>
    <row r="314" spans="1:5" ht="15" customHeight="1" x14ac:dyDescent="0.3">
      <c r="A314" s="11"/>
      <c r="B314" s="11"/>
      <c r="C314" s="11"/>
      <c r="D314" s="11"/>
      <c r="E314" t="str">
        <f t="shared" si="1"/>
        <v>|</v>
      </c>
    </row>
    <row r="315" spans="1:5" ht="15" customHeight="1" x14ac:dyDescent="0.3">
      <c r="A315" s="11"/>
      <c r="B315" s="11"/>
      <c r="C315" s="11"/>
      <c r="D315" s="11"/>
      <c r="E315" t="str">
        <f t="shared" si="1"/>
        <v>|</v>
      </c>
    </row>
    <row r="316" spans="1:5" ht="15" customHeight="1" x14ac:dyDescent="0.3">
      <c r="A316" s="11"/>
      <c r="B316" s="11"/>
      <c r="C316" s="11"/>
      <c r="D316" s="11"/>
      <c r="E316" t="str">
        <f t="shared" si="1"/>
        <v>|</v>
      </c>
    </row>
    <row r="317" spans="1:5" ht="15" customHeight="1" x14ac:dyDescent="0.3">
      <c r="A317" s="11"/>
      <c r="B317" s="11"/>
      <c r="C317" s="11"/>
      <c r="D317" s="11"/>
      <c r="E317" t="str">
        <f t="shared" si="1"/>
        <v>|</v>
      </c>
    </row>
    <row r="318" spans="1:5" ht="15" customHeight="1" x14ac:dyDescent="0.3">
      <c r="A318" s="11"/>
      <c r="B318" s="11"/>
      <c r="C318" s="11"/>
      <c r="D318" s="11"/>
      <c r="E318" t="str">
        <f t="shared" ref="E318:E381" si="2">A318&amp;"|"&amp;B318</f>
        <v>|</v>
      </c>
    </row>
    <row r="319" spans="1:5" ht="15" customHeight="1" x14ac:dyDescent="0.3">
      <c r="A319" s="11"/>
      <c r="B319" s="11"/>
      <c r="C319" s="11"/>
      <c r="D319" s="11"/>
      <c r="E319" t="str">
        <f t="shared" si="2"/>
        <v>|</v>
      </c>
    </row>
    <row r="320" spans="1:5" ht="15" customHeight="1" x14ac:dyDescent="0.3">
      <c r="A320" s="11"/>
      <c r="B320" s="11"/>
      <c r="C320" s="11"/>
      <c r="D320" s="11"/>
      <c r="E320" t="str">
        <f t="shared" si="2"/>
        <v>|</v>
      </c>
    </row>
    <row r="321" spans="1:5" ht="15" customHeight="1" x14ac:dyDescent="0.3">
      <c r="A321" s="11"/>
      <c r="B321" s="11"/>
      <c r="C321" s="11"/>
      <c r="D321" s="11"/>
      <c r="E321" t="str">
        <f t="shared" si="2"/>
        <v>|</v>
      </c>
    </row>
    <row r="322" spans="1:5" ht="15" customHeight="1" x14ac:dyDescent="0.3">
      <c r="A322" s="11"/>
      <c r="B322" s="11"/>
      <c r="C322" s="11"/>
      <c r="D322" s="11"/>
      <c r="E322" t="str">
        <f t="shared" si="2"/>
        <v>|</v>
      </c>
    </row>
    <row r="323" spans="1:5" ht="15" customHeight="1" x14ac:dyDescent="0.3">
      <c r="A323" s="11"/>
      <c r="B323" s="11"/>
      <c r="C323" s="11"/>
      <c r="D323" s="11"/>
      <c r="E323" t="str">
        <f t="shared" si="2"/>
        <v>|</v>
      </c>
    </row>
    <row r="324" spans="1:5" ht="15" customHeight="1" x14ac:dyDescent="0.3">
      <c r="A324" s="11"/>
      <c r="B324" s="11"/>
      <c r="C324" s="11"/>
      <c r="D324" s="11"/>
      <c r="E324" t="str">
        <f t="shared" si="2"/>
        <v>|</v>
      </c>
    </row>
    <row r="325" spans="1:5" ht="15" customHeight="1" x14ac:dyDescent="0.3">
      <c r="A325" s="11"/>
      <c r="B325" s="11"/>
      <c r="C325" s="11"/>
      <c r="D325" s="11"/>
      <c r="E325" t="str">
        <f t="shared" si="2"/>
        <v>|</v>
      </c>
    </row>
    <row r="326" spans="1:5" ht="15" customHeight="1" x14ac:dyDescent="0.3">
      <c r="A326" s="11"/>
      <c r="B326" s="11"/>
      <c r="C326" s="11"/>
      <c r="D326" s="11"/>
      <c r="E326" t="str">
        <f t="shared" si="2"/>
        <v>|</v>
      </c>
    </row>
    <row r="327" spans="1:5" ht="15" customHeight="1" x14ac:dyDescent="0.3">
      <c r="A327" s="11"/>
      <c r="B327" s="11"/>
      <c r="C327" s="11"/>
      <c r="D327" s="11"/>
      <c r="E327" t="str">
        <f t="shared" si="2"/>
        <v>|</v>
      </c>
    </row>
    <row r="328" spans="1:5" ht="15" customHeight="1" x14ac:dyDescent="0.3">
      <c r="A328" s="11"/>
      <c r="B328" s="11"/>
      <c r="C328" s="11"/>
      <c r="D328" s="11"/>
      <c r="E328" t="str">
        <f t="shared" si="2"/>
        <v>|</v>
      </c>
    </row>
    <row r="329" spans="1:5" ht="15" customHeight="1" x14ac:dyDescent="0.3">
      <c r="A329" s="11"/>
      <c r="B329" s="11"/>
      <c r="C329" s="11"/>
      <c r="D329" s="11"/>
      <c r="E329" t="str">
        <f t="shared" si="2"/>
        <v>|</v>
      </c>
    </row>
    <row r="330" spans="1:5" ht="15" customHeight="1" x14ac:dyDescent="0.3">
      <c r="A330" s="11"/>
      <c r="B330" s="11"/>
      <c r="C330" s="11"/>
      <c r="D330" s="11"/>
      <c r="E330" t="str">
        <f t="shared" si="2"/>
        <v>|</v>
      </c>
    </row>
    <row r="331" spans="1:5" ht="15" customHeight="1" x14ac:dyDescent="0.3">
      <c r="A331" s="11"/>
      <c r="B331" s="11"/>
      <c r="C331" s="11"/>
      <c r="D331" s="11"/>
      <c r="E331" t="str">
        <f t="shared" si="2"/>
        <v>|</v>
      </c>
    </row>
    <row r="332" spans="1:5" ht="15" customHeight="1" x14ac:dyDescent="0.3">
      <c r="A332" s="11"/>
      <c r="B332" s="11"/>
      <c r="C332" s="11"/>
      <c r="D332" s="11"/>
      <c r="E332" t="str">
        <f t="shared" si="2"/>
        <v>|</v>
      </c>
    </row>
    <row r="333" spans="1:5" ht="15" customHeight="1" x14ac:dyDescent="0.3">
      <c r="A333" s="11"/>
      <c r="B333" s="11"/>
      <c r="C333" s="11"/>
      <c r="D333" s="11"/>
      <c r="E333" t="str">
        <f t="shared" si="2"/>
        <v>|</v>
      </c>
    </row>
    <row r="334" spans="1:5" ht="15" customHeight="1" x14ac:dyDescent="0.3">
      <c r="A334" s="11"/>
      <c r="B334" s="11"/>
      <c r="C334" s="11"/>
      <c r="D334" s="11"/>
      <c r="E334" t="str">
        <f t="shared" si="2"/>
        <v>|</v>
      </c>
    </row>
    <row r="335" spans="1:5" ht="15" customHeight="1" x14ac:dyDescent="0.3">
      <c r="A335" s="11"/>
      <c r="B335" s="11"/>
      <c r="C335" s="11"/>
      <c r="D335" s="11"/>
      <c r="E335" t="str">
        <f t="shared" si="2"/>
        <v>|</v>
      </c>
    </row>
    <row r="336" spans="1:5" ht="15" customHeight="1" x14ac:dyDescent="0.3">
      <c r="A336" s="11"/>
      <c r="B336" s="11"/>
      <c r="C336" s="11"/>
      <c r="D336" s="11"/>
      <c r="E336" t="str">
        <f t="shared" si="2"/>
        <v>|</v>
      </c>
    </row>
    <row r="337" spans="1:5" ht="15" customHeight="1" x14ac:dyDescent="0.3">
      <c r="A337" s="11"/>
      <c r="B337" s="11"/>
      <c r="C337" s="11"/>
      <c r="D337" s="11"/>
      <c r="E337" t="str">
        <f t="shared" si="2"/>
        <v>|</v>
      </c>
    </row>
    <row r="338" spans="1:5" ht="15" customHeight="1" x14ac:dyDescent="0.3">
      <c r="A338" s="11"/>
      <c r="B338" s="11"/>
      <c r="C338" s="11"/>
      <c r="D338" s="11"/>
      <c r="E338" t="str">
        <f t="shared" si="2"/>
        <v>|</v>
      </c>
    </row>
    <row r="339" spans="1:5" ht="15" customHeight="1" x14ac:dyDescent="0.3">
      <c r="A339" s="11"/>
      <c r="B339" s="11"/>
      <c r="C339" s="11"/>
      <c r="D339" s="11"/>
      <c r="E339" t="str">
        <f t="shared" si="2"/>
        <v>|</v>
      </c>
    </row>
    <row r="340" spans="1:5" ht="15" customHeight="1" x14ac:dyDescent="0.3">
      <c r="A340" s="11"/>
      <c r="B340" s="11"/>
      <c r="C340" s="11"/>
      <c r="D340" s="11"/>
      <c r="E340" t="str">
        <f t="shared" si="2"/>
        <v>|</v>
      </c>
    </row>
    <row r="341" spans="1:5" ht="15" customHeight="1" x14ac:dyDescent="0.3">
      <c r="A341" s="11"/>
      <c r="B341" s="11"/>
      <c r="C341" s="11"/>
      <c r="D341" s="11"/>
      <c r="E341" t="str">
        <f t="shared" si="2"/>
        <v>|</v>
      </c>
    </row>
    <row r="342" spans="1:5" ht="15" customHeight="1" x14ac:dyDescent="0.3">
      <c r="A342" s="11"/>
      <c r="B342" s="11"/>
      <c r="C342" s="11"/>
      <c r="D342" s="11"/>
      <c r="E342" t="str">
        <f t="shared" si="2"/>
        <v>|</v>
      </c>
    </row>
    <row r="343" spans="1:5" ht="15" customHeight="1" x14ac:dyDescent="0.3">
      <c r="A343" s="11"/>
      <c r="B343" s="11"/>
      <c r="C343" s="11"/>
      <c r="D343" s="11"/>
      <c r="E343" t="str">
        <f t="shared" si="2"/>
        <v>|</v>
      </c>
    </row>
    <row r="344" spans="1:5" ht="15" customHeight="1" x14ac:dyDescent="0.3">
      <c r="A344" s="11"/>
      <c r="B344" s="11"/>
      <c r="C344" s="11"/>
      <c r="D344" s="11"/>
      <c r="E344" t="str">
        <f t="shared" si="2"/>
        <v>|</v>
      </c>
    </row>
    <row r="345" spans="1:5" ht="15" customHeight="1" x14ac:dyDescent="0.3">
      <c r="A345" s="11"/>
      <c r="B345" s="11"/>
      <c r="C345" s="11"/>
      <c r="D345" s="11"/>
      <c r="E345" t="str">
        <f t="shared" si="2"/>
        <v>|</v>
      </c>
    </row>
    <row r="346" spans="1:5" ht="15" customHeight="1" x14ac:dyDescent="0.3">
      <c r="A346" s="11"/>
      <c r="B346" s="11"/>
      <c r="C346" s="11"/>
      <c r="D346" s="11"/>
      <c r="E346" t="str">
        <f t="shared" si="2"/>
        <v>|</v>
      </c>
    </row>
    <row r="347" spans="1:5" ht="15" customHeight="1" x14ac:dyDescent="0.3">
      <c r="A347" s="11"/>
      <c r="B347" s="11"/>
      <c r="C347" s="11"/>
      <c r="D347" s="11"/>
      <c r="E347" t="str">
        <f t="shared" si="2"/>
        <v>|</v>
      </c>
    </row>
    <row r="348" spans="1:5" ht="15" customHeight="1" x14ac:dyDescent="0.3">
      <c r="A348" s="11"/>
      <c r="B348" s="11"/>
      <c r="C348" s="11"/>
      <c r="D348" s="11"/>
      <c r="E348" t="str">
        <f t="shared" si="2"/>
        <v>|</v>
      </c>
    </row>
    <row r="349" spans="1:5" ht="15" customHeight="1" x14ac:dyDescent="0.3">
      <c r="A349" s="11"/>
      <c r="B349" s="11"/>
      <c r="C349" s="11"/>
      <c r="D349" s="11"/>
      <c r="E349" t="str">
        <f t="shared" si="2"/>
        <v>|</v>
      </c>
    </row>
    <row r="350" spans="1:5" ht="15" customHeight="1" x14ac:dyDescent="0.3">
      <c r="A350" s="11"/>
      <c r="B350" s="11"/>
      <c r="C350" s="11"/>
      <c r="D350" s="11"/>
      <c r="E350" t="str">
        <f t="shared" si="2"/>
        <v>|</v>
      </c>
    </row>
    <row r="351" spans="1:5" ht="15" customHeight="1" x14ac:dyDescent="0.3">
      <c r="A351" s="11"/>
      <c r="B351" s="11"/>
      <c r="C351" s="11"/>
      <c r="D351" s="11"/>
      <c r="E351" t="str">
        <f t="shared" si="2"/>
        <v>|</v>
      </c>
    </row>
    <row r="352" spans="1:5" ht="15" customHeight="1" x14ac:dyDescent="0.3">
      <c r="A352" s="11"/>
      <c r="B352" s="11"/>
      <c r="C352" s="11"/>
      <c r="D352" s="11"/>
      <c r="E352" t="str">
        <f t="shared" si="2"/>
        <v>|</v>
      </c>
    </row>
    <row r="353" spans="1:5" ht="15" customHeight="1" x14ac:dyDescent="0.3">
      <c r="A353" s="11"/>
      <c r="B353" s="11"/>
      <c r="C353" s="11"/>
      <c r="D353" s="11"/>
      <c r="E353" t="str">
        <f t="shared" si="2"/>
        <v>|</v>
      </c>
    </row>
    <row r="354" spans="1:5" ht="15" customHeight="1" x14ac:dyDescent="0.3">
      <c r="A354" s="11"/>
      <c r="B354" s="11"/>
      <c r="C354" s="11"/>
      <c r="D354" s="11"/>
      <c r="E354" t="str">
        <f t="shared" si="2"/>
        <v>|</v>
      </c>
    </row>
    <row r="355" spans="1:5" ht="15" customHeight="1" x14ac:dyDescent="0.3">
      <c r="A355" s="11"/>
      <c r="B355" s="11"/>
      <c r="C355" s="11"/>
      <c r="D355" s="11"/>
      <c r="E355" t="str">
        <f t="shared" si="2"/>
        <v>|</v>
      </c>
    </row>
    <row r="356" spans="1:5" ht="15" customHeight="1" x14ac:dyDescent="0.3">
      <c r="A356" s="11"/>
      <c r="B356" s="11"/>
      <c r="C356" s="11"/>
      <c r="D356" s="11"/>
      <c r="E356" t="str">
        <f t="shared" si="2"/>
        <v>|</v>
      </c>
    </row>
    <row r="357" spans="1:5" ht="15" customHeight="1" x14ac:dyDescent="0.3">
      <c r="A357" s="11"/>
      <c r="B357" s="11"/>
      <c r="C357" s="11"/>
      <c r="D357" s="11"/>
      <c r="E357" t="str">
        <f t="shared" si="2"/>
        <v>|</v>
      </c>
    </row>
    <row r="358" spans="1:5" ht="15" customHeight="1" x14ac:dyDescent="0.3">
      <c r="A358" s="11"/>
      <c r="B358" s="11"/>
      <c r="C358" s="11"/>
      <c r="D358" s="11"/>
      <c r="E358" t="str">
        <f t="shared" si="2"/>
        <v>|</v>
      </c>
    </row>
    <row r="359" spans="1:5" ht="15" customHeight="1" x14ac:dyDescent="0.3">
      <c r="A359" s="11"/>
      <c r="B359" s="11"/>
      <c r="C359" s="11"/>
      <c r="D359" s="11"/>
      <c r="E359" t="str">
        <f t="shared" si="2"/>
        <v>|</v>
      </c>
    </row>
    <row r="360" spans="1:5" ht="15" customHeight="1" x14ac:dyDescent="0.3">
      <c r="A360" s="11"/>
      <c r="B360" s="11"/>
      <c r="C360" s="11"/>
      <c r="D360" s="11"/>
      <c r="E360" t="str">
        <f t="shared" si="2"/>
        <v>|</v>
      </c>
    </row>
    <row r="361" spans="1:5" ht="15" customHeight="1" x14ac:dyDescent="0.3">
      <c r="A361" s="11"/>
      <c r="B361" s="11"/>
      <c r="C361" s="11"/>
      <c r="D361" s="11"/>
      <c r="E361" t="str">
        <f t="shared" si="2"/>
        <v>|</v>
      </c>
    </row>
    <row r="362" spans="1:5" ht="15" customHeight="1" x14ac:dyDescent="0.3">
      <c r="A362" s="11"/>
      <c r="B362" s="11"/>
      <c r="C362" s="11"/>
      <c r="D362" s="11"/>
      <c r="E362" t="str">
        <f t="shared" si="2"/>
        <v>|</v>
      </c>
    </row>
    <row r="363" spans="1:5" ht="15" customHeight="1" x14ac:dyDescent="0.3">
      <c r="A363" s="11"/>
      <c r="B363" s="11"/>
      <c r="C363" s="11"/>
      <c r="D363" s="11"/>
      <c r="E363" t="str">
        <f t="shared" si="2"/>
        <v>|</v>
      </c>
    </row>
    <row r="364" spans="1:5" ht="15" customHeight="1" x14ac:dyDescent="0.3">
      <c r="A364" s="11"/>
      <c r="B364" s="11"/>
      <c r="C364" s="11"/>
      <c r="D364" s="11"/>
      <c r="E364" t="str">
        <f t="shared" si="2"/>
        <v>|</v>
      </c>
    </row>
    <row r="365" spans="1:5" ht="15" customHeight="1" x14ac:dyDescent="0.3">
      <c r="A365" s="11"/>
      <c r="B365" s="11"/>
      <c r="C365" s="11"/>
      <c r="D365" s="11"/>
      <c r="E365" t="str">
        <f t="shared" si="2"/>
        <v>|</v>
      </c>
    </row>
    <row r="366" spans="1:5" ht="15" customHeight="1" x14ac:dyDescent="0.3">
      <c r="A366" s="11"/>
      <c r="B366" s="11"/>
      <c r="C366" s="11"/>
      <c r="D366" s="11"/>
      <c r="E366" t="str">
        <f t="shared" si="2"/>
        <v>|</v>
      </c>
    </row>
    <row r="367" spans="1:5" ht="15" customHeight="1" x14ac:dyDescent="0.3">
      <c r="A367" s="11"/>
      <c r="B367" s="11"/>
      <c r="C367" s="11"/>
      <c r="D367" s="11"/>
      <c r="E367" t="str">
        <f t="shared" si="2"/>
        <v>|</v>
      </c>
    </row>
    <row r="368" spans="1:5" ht="15" customHeight="1" x14ac:dyDescent="0.3">
      <c r="A368" s="11"/>
      <c r="B368" s="11"/>
      <c r="C368" s="11"/>
      <c r="D368" s="11"/>
      <c r="E368" t="str">
        <f t="shared" si="2"/>
        <v>|</v>
      </c>
    </row>
    <row r="369" spans="1:5" ht="15" customHeight="1" x14ac:dyDescent="0.3">
      <c r="A369" s="11"/>
      <c r="B369" s="11"/>
      <c r="C369" s="11"/>
      <c r="D369" s="11"/>
      <c r="E369" t="str">
        <f t="shared" si="2"/>
        <v>|</v>
      </c>
    </row>
    <row r="370" spans="1:5" ht="15" customHeight="1" x14ac:dyDescent="0.3">
      <c r="A370" s="11"/>
      <c r="B370" s="11"/>
      <c r="C370" s="11"/>
      <c r="D370" s="11"/>
      <c r="E370" t="str">
        <f t="shared" si="2"/>
        <v>|</v>
      </c>
    </row>
    <row r="371" spans="1:5" ht="15" customHeight="1" x14ac:dyDescent="0.3">
      <c r="A371" s="11"/>
      <c r="B371" s="11"/>
      <c r="C371" s="11"/>
      <c r="D371" s="11"/>
      <c r="E371" t="str">
        <f t="shared" si="2"/>
        <v>|</v>
      </c>
    </row>
    <row r="372" spans="1:5" ht="15" customHeight="1" x14ac:dyDescent="0.3">
      <c r="A372" s="11"/>
      <c r="B372" s="11"/>
      <c r="C372" s="11"/>
      <c r="D372" s="11"/>
      <c r="E372" t="str">
        <f t="shared" si="2"/>
        <v>|</v>
      </c>
    </row>
    <row r="373" spans="1:5" ht="15" customHeight="1" x14ac:dyDescent="0.3">
      <c r="A373" s="11"/>
      <c r="B373" s="11"/>
      <c r="C373" s="11"/>
      <c r="D373" s="11"/>
      <c r="E373" t="str">
        <f t="shared" si="2"/>
        <v>|</v>
      </c>
    </row>
    <row r="374" spans="1:5" ht="15" customHeight="1" x14ac:dyDescent="0.3">
      <c r="A374" s="11"/>
      <c r="B374" s="11"/>
      <c r="C374" s="11"/>
      <c r="D374" s="11"/>
      <c r="E374" t="str">
        <f t="shared" si="2"/>
        <v>|</v>
      </c>
    </row>
    <row r="375" spans="1:5" ht="15" customHeight="1" x14ac:dyDescent="0.3">
      <c r="A375" s="11"/>
      <c r="B375" s="11"/>
      <c r="C375" s="11"/>
      <c r="D375" s="11"/>
      <c r="E375" t="str">
        <f t="shared" si="2"/>
        <v>|</v>
      </c>
    </row>
    <row r="376" spans="1:5" ht="15" customHeight="1" x14ac:dyDescent="0.3">
      <c r="A376" s="11"/>
      <c r="B376" s="11"/>
      <c r="C376" s="11"/>
      <c r="D376" s="11"/>
      <c r="E376" t="str">
        <f t="shared" si="2"/>
        <v>|</v>
      </c>
    </row>
    <row r="377" spans="1:5" ht="15" customHeight="1" x14ac:dyDescent="0.3">
      <c r="A377" s="11"/>
      <c r="B377" s="11"/>
      <c r="C377" s="11"/>
      <c r="D377" s="11"/>
      <c r="E377" t="str">
        <f t="shared" si="2"/>
        <v>|</v>
      </c>
    </row>
    <row r="378" spans="1:5" ht="15" customHeight="1" x14ac:dyDescent="0.3">
      <c r="A378" s="11"/>
      <c r="B378" s="11"/>
      <c r="C378" s="11"/>
      <c r="D378" s="11"/>
      <c r="E378" t="str">
        <f t="shared" si="2"/>
        <v>|</v>
      </c>
    </row>
    <row r="379" spans="1:5" ht="15" customHeight="1" x14ac:dyDescent="0.3">
      <c r="A379" s="11"/>
      <c r="B379" s="11"/>
      <c r="C379" s="11"/>
      <c r="D379" s="11"/>
      <c r="E379" t="str">
        <f t="shared" si="2"/>
        <v>|</v>
      </c>
    </row>
    <row r="380" spans="1:5" ht="15" customHeight="1" x14ac:dyDescent="0.3">
      <c r="A380" s="11"/>
      <c r="B380" s="11"/>
      <c r="C380" s="11"/>
      <c r="D380" s="11"/>
      <c r="E380" t="str">
        <f t="shared" si="2"/>
        <v>|</v>
      </c>
    </row>
    <row r="381" spans="1:5" ht="15" customHeight="1" x14ac:dyDescent="0.3">
      <c r="A381" s="11"/>
      <c r="B381" s="11"/>
      <c r="C381" s="11"/>
      <c r="D381" s="11"/>
      <c r="E381" t="str">
        <f t="shared" si="2"/>
        <v>|</v>
      </c>
    </row>
    <row r="382" spans="1:5" ht="15" customHeight="1" x14ac:dyDescent="0.3">
      <c r="A382" s="11"/>
      <c r="B382" s="11"/>
      <c r="C382" s="11"/>
      <c r="D382" s="11"/>
      <c r="E382" t="str">
        <f t="shared" ref="E382:E445" si="3">A382&amp;"|"&amp;B382</f>
        <v>|</v>
      </c>
    </row>
    <row r="383" spans="1:5" ht="15" customHeight="1" x14ac:dyDescent="0.3">
      <c r="A383" s="11"/>
      <c r="B383" s="11"/>
      <c r="C383" s="11"/>
      <c r="D383" s="11"/>
      <c r="E383" t="str">
        <f t="shared" si="3"/>
        <v>|</v>
      </c>
    </row>
    <row r="384" spans="1:5" ht="15" customHeight="1" x14ac:dyDescent="0.3">
      <c r="A384" s="11"/>
      <c r="B384" s="11"/>
      <c r="C384" s="11"/>
      <c r="D384" s="11"/>
      <c r="E384" t="str">
        <f t="shared" si="3"/>
        <v>|</v>
      </c>
    </row>
    <row r="385" spans="1:5" ht="15" customHeight="1" x14ac:dyDescent="0.3">
      <c r="A385" s="11"/>
      <c r="B385" s="11"/>
      <c r="C385" s="11"/>
      <c r="D385" s="11"/>
      <c r="E385" t="str">
        <f t="shared" si="3"/>
        <v>|</v>
      </c>
    </row>
    <row r="386" spans="1:5" ht="15" customHeight="1" x14ac:dyDescent="0.3">
      <c r="A386" s="11"/>
      <c r="B386" s="11"/>
      <c r="C386" s="11"/>
      <c r="D386" s="11"/>
      <c r="E386" t="str">
        <f t="shared" si="3"/>
        <v>|</v>
      </c>
    </row>
    <row r="387" spans="1:5" ht="15" customHeight="1" x14ac:dyDescent="0.3">
      <c r="A387" s="11"/>
      <c r="B387" s="11"/>
      <c r="C387" s="11"/>
      <c r="D387" s="11"/>
      <c r="E387" t="str">
        <f t="shared" si="3"/>
        <v>|</v>
      </c>
    </row>
    <row r="388" spans="1:5" ht="15" customHeight="1" x14ac:dyDescent="0.3">
      <c r="A388" s="11"/>
      <c r="B388" s="11"/>
      <c r="C388" s="11"/>
      <c r="D388" s="11"/>
      <c r="E388" t="str">
        <f t="shared" si="3"/>
        <v>|</v>
      </c>
    </row>
    <row r="389" spans="1:5" ht="15" customHeight="1" x14ac:dyDescent="0.3">
      <c r="A389" s="11"/>
      <c r="B389" s="11"/>
      <c r="C389" s="11"/>
      <c r="D389" s="11"/>
      <c r="E389" t="str">
        <f t="shared" si="3"/>
        <v>|</v>
      </c>
    </row>
    <row r="390" spans="1:5" ht="15" customHeight="1" x14ac:dyDescent="0.3">
      <c r="A390" s="11"/>
      <c r="B390" s="11"/>
      <c r="C390" s="11"/>
      <c r="D390" s="11"/>
      <c r="E390" t="str">
        <f t="shared" si="3"/>
        <v>|</v>
      </c>
    </row>
    <row r="391" spans="1:5" ht="15" customHeight="1" x14ac:dyDescent="0.3">
      <c r="A391" s="11"/>
      <c r="B391" s="11"/>
      <c r="C391" s="11"/>
      <c r="D391" s="11"/>
      <c r="E391" t="str">
        <f t="shared" si="3"/>
        <v>|</v>
      </c>
    </row>
    <row r="392" spans="1:5" ht="15" customHeight="1" x14ac:dyDescent="0.3">
      <c r="A392" s="11"/>
      <c r="B392" s="11"/>
      <c r="C392" s="11"/>
      <c r="D392" s="11"/>
      <c r="E392" t="str">
        <f t="shared" si="3"/>
        <v>|</v>
      </c>
    </row>
    <row r="393" spans="1:5" ht="15" customHeight="1" x14ac:dyDescent="0.3">
      <c r="A393" s="11"/>
      <c r="B393" s="11"/>
      <c r="C393" s="11"/>
      <c r="D393" s="11"/>
      <c r="E393" t="str">
        <f t="shared" si="3"/>
        <v>|</v>
      </c>
    </row>
    <row r="394" spans="1:5" ht="15" customHeight="1" x14ac:dyDescent="0.3">
      <c r="A394" s="11"/>
      <c r="B394" s="11"/>
      <c r="C394" s="11"/>
      <c r="D394" s="11"/>
      <c r="E394" t="str">
        <f t="shared" si="3"/>
        <v>|</v>
      </c>
    </row>
    <row r="395" spans="1:5" ht="15" customHeight="1" x14ac:dyDescent="0.3">
      <c r="A395" s="11"/>
      <c r="B395" s="11"/>
      <c r="C395" s="11"/>
      <c r="D395" s="11"/>
      <c r="E395" t="str">
        <f t="shared" si="3"/>
        <v>|</v>
      </c>
    </row>
    <row r="396" spans="1:5" ht="15" customHeight="1" x14ac:dyDescent="0.3">
      <c r="A396" s="11"/>
      <c r="B396" s="11"/>
      <c r="C396" s="11"/>
      <c r="D396" s="11"/>
      <c r="E396" t="str">
        <f t="shared" si="3"/>
        <v>|</v>
      </c>
    </row>
    <row r="397" spans="1:5" ht="15" customHeight="1" x14ac:dyDescent="0.3">
      <c r="A397" s="11"/>
      <c r="B397" s="11"/>
      <c r="C397" s="11"/>
      <c r="D397" s="11"/>
      <c r="E397" t="str">
        <f t="shared" si="3"/>
        <v>|</v>
      </c>
    </row>
    <row r="398" spans="1:5" ht="15" customHeight="1" x14ac:dyDescent="0.3">
      <c r="A398" s="11"/>
      <c r="B398" s="11"/>
      <c r="C398" s="11"/>
      <c r="D398" s="11"/>
      <c r="E398" t="str">
        <f t="shared" si="3"/>
        <v>|</v>
      </c>
    </row>
    <row r="399" spans="1:5" ht="15" customHeight="1" x14ac:dyDescent="0.3">
      <c r="A399" s="11"/>
      <c r="B399" s="11"/>
      <c r="C399" s="11"/>
      <c r="D399" s="11"/>
      <c r="E399" t="str">
        <f t="shared" si="3"/>
        <v>|</v>
      </c>
    </row>
    <row r="400" spans="1:5" ht="15" customHeight="1" x14ac:dyDescent="0.3">
      <c r="A400" s="11"/>
      <c r="B400" s="11"/>
      <c r="C400" s="11"/>
      <c r="D400" s="11"/>
      <c r="E400" t="str">
        <f t="shared" si="3"/>
        <v>|</v>
      </c>
    </row>
    <row r="401" spans="1:5" ht="15" customHeight="1" x14ac:dyDescent="0.3">
      <c r="A401" s="11"/>
      <c r="B401" s="11"/>
      <c r="C401" s="11"/>
      <c r="D401" s="11"/>
      <c r="E401" t="str">
        <f t="shared" si="3"/>
        <v>|</v>
      </c>
    </row>
    <row r="402" spans="1:5" ht="15" customHeight="1" x14ac:dyDescent="0.3">
      <c r="A402" s="11"/>
      <c r="B402" s="11"/>
      <c r="C402" s="11"/>
      <c r="D402" s="11"/>
      <c r="E402" t="str">
        <f t="shared" si="3"/>
        <v>|</v>
      </c>
    </row>
    <row r="403" spans="1:5" ht="15" customHeight="1" x14ac:dyDescent="0.3">
      <c r="A403" s="11"/>
      <c r="B403" s="11"/>
      <c r="C403" s="11"/>
      <c r="D403" s="11"/>
      <c r="E403" t="str">
        <f t="shared" si="3"/>
        <v>|</v>
      </c>
    </row>
    <row r="404" spans="1:5" ht="15" customHeight="1" x14ac:dyDescent="0.3">
      <c r="A404" s="11"/>
      <c r="B404" s="11"/>
      <c r="C404" s="11"/>
      <c r="D404" s="11"/>
      <c r="E404" t="str">
        <f t="shared" si="3"/>
        <v>|</v>
      </c>
    </row>
    <row r="405" spans="1:5" ht="15" customHeight="1" x14ac:dyDescent="0.3">
      <c r="A405" s="11"/>
      <c r="B405" s="11"/>
      <c r="C405" s="11"/>
      <c r="D405" s="11"/>
      <c r="E405" t="str">
        <f t="shared" si="3"/>
        <v>|</v>
      </c>
    </row>
    <row r="406" spans="1:5" ht="15" customHeight="1" x14ac:dyDescent="0.3">
      <c r="A406" s="11"/>
      <c r="B406" s="11"/>
      <c r="C406" s="11"/>
      <c r="D406" s="11"/>
      <c r="E406" t="str">
        <f t="shared" si="3"/>
        <v>|</v>
      </c>
    </row>
    <row r="407" spans="1:5" ht="15" customHeight="1" x14ac:dyDescent="0.3">
      <c r="A407" s="11"/>
      <c r="B407" s="11"/>
      <c r="C407" s="11"/>
      <c r="D407" s="11"/>
      <c r="E407" t="str">
        <f t="shared" si="3"/>
        <v>|</v>
      </c>
    </row>
    <row r="408" spans="1:5" ht="15" customHeight="1" x14ac:dyDescent="0.3">
      <c r="A408" s="11"/>
      <c r="B408" s="11"/>
      <c r="C408" s="11"/>
      <c r="D408" s="11"/>
      <c r="E408" t="str">
        <f t="shared" si="3"/>
        <v>|</v>
      </c>
    </row>
    <row r="409" spans="1:5" ht="15" customHeight="1" x14ac:dyDescent="0.3">
      <c r="A409" s="11"/>
      <c r="B409" s="11"/>
      <c r="C409" s="11"/>
      <c r="D409" s="11"/>
      <c r="E409" t="str">
        <f t="shared" si="3"/>
        <v>|</v>
      </c>
    </row>
    <row r="410" spans="1:5" ht="15" customHeight="1" x14ac:dyDescent="0.3">
      <c r="A410" s="11"/>
      <c r="B410" s="11"/>
      <c r="C410" s="11"/>
      <c r="D410" s="11"/>
      <c r="E410" t="str">
        <f t="shared" si="3"/>
        <v>|</v>
      </c>
    </row>
    <row r="411" spans="1:5" ht="15" customHeight="1" x14ac:dyDescent="0.3">
      <c r="A411" s="11"/>
      <c r="B411" s="11"/>
      <c r="C411" s="11"/>
      <c r="D411" s="11"/>
      <c r="E411" t="str">
        <f t="shared" si="3"/>
        <v>|</v>
      </c>
    </row>
    <row r="412" spans="1:5" ht="15" customHeight="1" x14ac:dyDescent="0.3">
      <c r="A412" s="11"/>
      <c r="B412" s="11"/>
      <c r="C412" s="11"/>
      <c r="D412" s="11"/>
      <c r="E412" t="str">
        <f t="shared" si="3"/>
        <v>|</v>
      </c>
    </row>
    <row r="413" spans="1:5" ht="15" customHeight="1" x14ac:dyDescent="0.3">
      <c r="A413" s="11"/>
      <c r="B413" s="11"/>
      <c r="C413" s="11"/>
      <c r="D413" s="11"/>
      <c r="E413" t="str">
        <f t="shared" si="3"/>
        <v>|</v>
      </c>
    </row>
    <row r="414" spans="1:5" ht="15" customHeight="1" x14ac:dyDescent="0.3">
      <c r="A414" s="11"/>
      <c r="B414" s="11"/>
      <c r="C414" s="11"/>
      <c r="D414" s="11"/>
      <c r="E414" t="str">
        <f t="shared" si="3"/>
        <v>|</v>
      </c>
    </row>
    <row r="415" spans="1:5" ht="15" customHeight="1" x14ac:dyDescent="0.3">
      <c r="A415" s="11"/>
      <c r="B415" s="11"/>
      <c r="C415" s="11"/>
      <c r="D415" s="11"/>
      <c r="E415" t="str">
        <f t="shared" si="3"/>
        <v>|</v>
      </c>
    </row>
    <row r="416" spans="1:5" ht="15" customHeight="1" x14ac:dyDescent="0.3">
      <c r="A416" s="11"/>
      <c r="B416" s="11"/>
      <c r="C416" s="11"/>
      <c r="D416" s="11"/>
      <c r="E416" t="str">
        <f t="shared" si="3"/>
        <v>|</v>
      </c>
    </row>
    <row r="417" spans="1:5" ht="15" customHeight="1" x14ac:dyDescent="0.3">
      <c r="A417" s="11"/>
      <c r="B417" s="11"/>
      <c r="C417" s="11"/>
      <c r="D417" s="11"/>
      <c r="E417" t="str">
        <f t="shared" si="3"/>
        <v>|</v>
      </c>
    </row>
    <row r="418" spans="1:5" ht="15" customHeight="1" x14ac:dyDescent="0.3">
      <c r="A418" s="11"/>
      <c r="B418" s="11"/>
      <c r="C418" s="11"/>
      <c r="D418" s="11"/>
      <c r="E418" t="str">
        <f t="shared" si="3"/>
        <v>|</v>
      </c>
    </row>
    <row r="419" spans="1:5" ht="15" customHeight="1" x14ac:dyDescent="0.3">
      <c r="A419" s="11"/>
      <c r="B419" s="11"/>
      <c r="C419" s="11"/>
      <c r="D419" s="11"/>
      <c r="E419" t="str">
        <f t="shared" si="3"/>
        <v>|</v>
      </c>
    </row>
    <row r="420" spans="1:5" ht="15" customHeight="1" x14ac:dyDescent="0.3">
      <c r="A420" s="11"/>
      <c r="B420" s="11"/>
      <c r="C420" s="11"/>
      <c r="D420" s="11"/>
      <c r="E420" t="str">
        <f t="shared" si="3"/>
        <v>|</v>
      </c>
    </row>
    <row r="421" spans="1:5" ht="15" customHeight="1" x14ac:dyDescent="0.3">
      <c r="A421" s="11"/>
      <c r="B421" s="11"/>
      <c r="C421" s="11"/>
      <c r="D421" s="11"/>
      <c r="E421" t="str">
        <f t="shared" si="3"/>
        <v>|</v>
      </c>
    </row>
    <row r="422" spans="1:5" ht="15" customHeight="1" x14ac:dyDescent="0.3">
      <c r="A422" s="11"/>
      <c r="B422" s="11"/>
      <c r="C422" s="11"/>
      <c r="D422" s="11"/>
      <c r="E422" t="str">
        <f t="shared" si="3"/>
        <v>|</v>
      </c>
    </row>
    <row r="423" spans="1:5" ht="15" customHeight="1" x14ac:dyDescent="0.3">
      <c r="A423" s="11"/>
      <c r="B423" s="11"/>
      <c r="C423" s="11"/>
      <c r="D423" s="11"/>
      <c r="E423" t="str">
        <f t="shared" si="3"/>
        <v>|</v>
      </c>
    </row>
    <row r="424" spans="1:5" ht="15" customHeight="1" x14ac:dyDescent="0.3">
      <c r="A424" s="11"/>
      <c r="B424" s="11"/>
      <c r="C424" s="11"/>
      <c r="D424" s="11"/>
      <c r="E424" t="str">
        <f t="shared" si="3"/>
        <v>|</v>
      </c>
    </row>
    <row r="425" spans="1:5" ht="15" customHeight="1" x14ac:dyDescent="0.3">
      <c r="A425" s="11"/>
      <c r="B425" s="11"/>
      <c r="C425" s="11"/>
      <c r="D425" s="11"/>
      <c r="E425" t="str">
        <f t="shared" si="3"/>
        <v>|</v>
      </c>
    </row>
    <row r="426" spans="1:5" ht="15" customHeight="1" x14ac:dyDescent="0.3">
      <c r="A426" s="11"/>
      <c r="B426" s="11"/>
      <c r="C426" s="11"/>
      <c r="D426" s="11"/>
      <c r="E426" t="str">
        <f t="shared" si="3"/>
        <v>|</v>
      </c>
    </row>
    <row r="427" spans="1:5" ht="15" customHeight="1" x14ac:dyDescent="0.3">
      <c r="A427" s="11"/>
      <c r="B427" s="11"/>
      <c r="C427" s="11"/>
      <c r="D427" s="11"/>
      <c r="E427" t="str">
        <f t="shared" si="3"/>
        <v>|</v>
      </c>
    </row>
    <row r="428" spans="1:5" ht="15" customHeight="1" x14ac:dyDescent="0.3">
      <c r="A428" s="11"/>
      <c r="B428" s="11"/>
      <c r="C428" s="11"/>
      <c r="D428" s="11"/>
      <c r="E428" t="str">
        <f t="shared" si="3"/>
        <v>|</v>
      </c>
    </row>
    <row r="429" spans="1:5" ht="15" customHeight="1" x14ac:dyDescent="0.3">
      <c r="A429" s="11"/>
      <c r="B429" s="11"/>
      <c r="C429" s="11"/>
      <c r="D429" s="11"/>
      <c r="E429" t="str">
        <f t="shared" si="3"/>
        <v>|</v>
      </c>
    </row>
    <row r="430" spans="1:5" ht="15" customHeight="1" x14ac:dyDescent="0.3">
      <c r="A430" s="11"/>
      <c r="B430" s="11"/>
      <c r="C430" s="11"/>
      <c r="D430" s="11"/>
      <c r="E430" t="str">
        <f t="shared" si="3"/>
        <v>|</v>
      </c>
    </row>
    <row r="431" spans="1:5" ht="15" customHeight="1" x14ac:dyDescent="0.3">
      <c r="A431" s="11"/>
      <c r="B431" s="11"/>
      <c r="C431" s="11"/>
      <c r="D431" s="11"/>
      <c r="E431" t="str">
        <f t="shared" si="3"/>
        <v>|</v>
      </c>
    </row>
    <row r="432" spans="1:5" ht="15" customHeight="1" x14ac:dyDescent="0.3">
      <c r="A432" s="11"/>
      <c r="B432" s="11"/>
      <c r="C432" s="11"/>
      <c r="D432" s="11"/>
      <c r="E432" t="str">
        <f t="shared" si="3"/>
        <v>|</v>
      </c>
    </row>
    <row r="433" spans="1:5" ht="15" customHeight="1" x14ac:dyDescent="0.3">
      <c r="A433" s="11"/>
      <c r="B433" s="11"/>
      <c r="C433" s="11"/>
      <c r="D433" s="11"/>
      <c r="E433" t="str">
        <f t="shared" si="3"/>
        <v>|</v>
      </c>
    </row>
    <row r="434" spans="1:5" ht="15" customHeight="1" x14ac:dyDescent="0.3">
      <c r="A434" s="11"/>
      <c r="B434" s="11"/>
      <c r="C434" s="11"/>
      <c r="D434" s="11"/>
      <c r="E434" t="str">
        <f t="shared" si="3"/>
        <v>|</v>
      </c>
    </row>
    <row r="435" spans="1:5" ht="15" customHeight="1" x14ac:dyDescent="0.3">
      <c r="A435" s="11"/>
      <c r="B435" s="11"/>
      <c r="C435" s="11"/>
      <c r="D435" s="11"/>
      <c r="E435" t="str">
        <f t="shared" si="3"/>
        <v>|</v>
      </c>
    </row>
    <row r="436" spans="1:5" ht="15" customHeight="1" x14ac:dyDescent="0.3">
      <c r="A436" s="11"/>
      <c r="B436" s="11"/>
      <c r="C436" s="11"/>
      <c r="D436" s="11"/>
      <c r="E436" t="str">
        <f t="shared" si="3"/>
        <v>|</v>
      </c>
    </row>
    <row r="437" spans="1:5" ht="15" customHeight="1" x14ac:dyDescent="0.3">
      <c r="A437" s="11"/>
      <c r="B437" s="11"/>
      <c r="C437" s="11"/>
      <c r="D437" s="11"/>
      <c r="E437" t="str">
        <f t="shared" si="3"/>
        <v>|</v>
      </c>
    </row>
    <row r="438" spans="1:5" ht="15" customHeight="1" x14ac:dyDescent="0.3">
      <c r="A438" s="11"/>
      <c r="B438" s="11"/>
      <c r="C438" s="11"/>
      <c r="D438" s="11"/>
      <c r="E438" t="str">
        <f t="shared" si="3"/>
        <v>|</v>
      </c>
    </row>
    <row r="439" spans="1:5" ht="15" customHeight="1" x14ac:dyDescent="0.3">
      <c r="A439" s="11"/>
      <c r="B439" s="11"/>
      <c r="C439" s="11"/>
      <c r="D439" s="11"/>
      <c r="E439" t="str">
        <f t="shared" si="3"/>
        <v>|</v>
      </c>
    </row>
    <row r="440" spans="1:5" ht="15" customHeight="1" x14ac:dyDescent="0.3">
      <c r="A440" s="11"/>
      <c r="B440" s="11"/>
      <c r="C440" s="11"/>
      <c r="D440" s="11"/>
      <c r="E440" t="str">
        <f t="shared" si="3"/>
        <v>|</v>
      </c>
    </row>
    <row r="441" spans="1:5" ht="15" customHeight="1" x14ac:dyDescent="0.3">
      <c r="A441" s="11"/>
      <c r="B441" s="11"/>
      <c r="C441" s="11"/>
      <c r="D441" s="11"/>
      <c r="E441" t="str">
        <f t="shared" si="3"/>
        <v>|</v>
      </c>
    </row>
    <row r="442" spans="1:5" ht="15" customHeight="1" x14ac:dyDescent="0.3">
      <c r="A442" s="11"/>
      <c r="B442" s="11"/>
      <c r="C442" s="11"/>
      <c r="D442" s="11"/>
      <c r="E442" t="str">
        <f t="shared" si="3"/>
        <v>|</v>
      </c>
    </row>
    <row r="443" spans="1:5" ht="15" customHeight="1" x14ac:dyDescent="0.3">
      <c r="A443" s="11"/>
      <c r="B443" s="11"/>
      <c r="C443" s="11"/>
      <c r="D443" s="11"/>
      <c r="E443" t="str">
        <f t="shared" si="3"/>
        <v>|</v>
      </c>
    </row>
    <row r="444" spans="1:5" ht="15" customHeight="1" x14ac:dyDescent="0.3">
      <c r="A444" s="11"/>
      <c r="B444" s="11"/>
      <c r="C444" s="11"/>
      <c r="D444" s="11"/>
      <c r="E444" t="str">
        <f t="shared" si="3"/>
        <v>|</v>
      </c>
    </row>
    <row r="445" spans="1:5" ht="15" customHeight="1" x14ac:dyDescent="0.3">
      <c r="A445" s="11"/>
      <c r="B445" s="11"/>
      <c r="C445" s="11"/>
      <c r="D445" s="11"/>
      <c r="E445" t="str">
        <f t="shared" si="3"/>
        <v>|</v>
      </c>
    </row>
    <row r="446" spans="1:5" ht="15" customHeight="1" x14ac:dyDescent="0.3">
      <c r="A446" s="11"/>
      <c r="B446" s="11"/>
      <c r="C446" s="11"/>
      <c r="D446" s="11"/>
      <c r="E446" t="str">
        <f t="shared" ref="E446:E509" si="4">A446&amp;"|"&amp;B446</f>
        <v>|</v>
      </c>
    </row>
    <row r="447" spans="1:5" ht="15" customHeight="1" x14ac:dyDescent="0.3">
      <c r="A447" s="11"/>
      <c r="B447" s="11"/>
      <c r="C447" s="11"/>
      <c r="D447" s="11"/>
      <c r="E447" t="str">
        <f t="shared" si="4"/>
        <v>|</v>
      </c>
    </row>
    <row r="448" spans="1:5" ht="15" customHeight="1" x14ac:dyDescent="0.3">
      <c r="A448" s="11"/>
      <c r="B448" s="11"/>
      <c r="C448" s="11"/>
      <c r="D448" s="11"/>
      <c r="E448" t="str">
        <f t="shared" si="4"/>
        <v>|</v>
      </c>
    </row>
    <row r="449" spans="1:5" ht="15" customHeight="1" x14ac:dyDescent="0.3">
      <c r="A449" s="11"/>
      <c r="B449" s="11"/>
      <c r="C449" s="11"/>
      <c r="D449" s="11"/>
      <c r="E449" t="str">
        <f t="shared" si="4"/>
        <v>|</v>
      </c>
    </row>
    <row r="450" spans="1:5" ht="15" customHeight="1" x14ac:dyDescent="0.3">
      <c r="A450" s="11"/>
      <c r="B450" s="11"/>
      <c r="C450" s="11"/>
      <c r="D450" s="11"/>
      <c r="E450" t="str">
        <f t="shared" si="4"/>
        <v>|</v>
      </c>
    </row>
    <row r="451" spans="1:5" ht="15" customHeight="1" x14ac:dyDescent="0.3">
      <c r="A451" s="11"/>
      <c r="B451" s="11"/>
      <c r="C451" s="11"/>
      <c r="D451" s="11"/>
      <c r="E451" t="str">
        <f t="shared" si="4"/>
        <v>|</v>
      </c>
    </row>
    <row r="452" spans="1:5" ht="15" customHeight="1" x14ac:dyDescent="0.3">
      <c r="A452" s="11"/>
      <c r="B452" s="11"/>
      <c r="C452" s="11"/>
      <c r="D452" s="11"/>
      <c r="E452" t="str">
        <f t="shared" si="4"/>
        <v>|</v>
      </c>
    </row>
    <row r="453" spans="1:5" ht="15" customHeight="1" x14ac:dyDescent="0.3">
      <c r="A453" s="11"/>
      <c r="B453" s="11"/>
      <c r="C453" s="11"/>
      <c r="D453" s="11"/>
      <c r="E453" t="str">
        <f t="shared" si="4"/>
        <v>|</v>
      </c>
    </row>
    <row r="454" spans="1:5" ht="15" customHeight="1" x14ac:dyDescent="0.3">
      <c r="A454" s="11"/>
      <c r="B454" s="11"/>
      <c r="C454" s="11"/>
      <c r="D454" s="11"/>
      <c r="E454" t="str">
        <f t="shared" si="4"/>
        <v>|</v>
      </c>
    </row>
    <row r="455" spans="1:5" ht="15" customHeight="1" x14ac:dyDescent="0.3">
      <c r="A455" s="11"/>
      <c r="B455" s="11"/>
      <c r="C455" s="11"/>
      <c r="D455" s="11"/>
      <c r="E455" t="str">
        <f t="shared" si="4"/>
        <v>|</v>
      </c>
    </row>
    <row r="456" spans="1:5" ht="15" customHeight="1" x14ac:dyDescent="0.3">
      <c r="A456" s="11"/>
      <c r="B456" s="11"/>
      <c r="C456" s="11"/>
      <c r="D456" s="11"/>
      <c r="E456" t="str">
        <f t="shared" si="4"/>
        <v>|</v>
      </c>
    </row>
    <row r="457" spans="1:5" ht="15" customHeight="1" x14ac:dyDescent="0.3">
      <c r="A457" s="11"/>
      <c r="B457" s="11"/>
      <c r="C457" s="11"/>
      <c r="D457" s="11"/>
      <c r="E457" t="str">
        <f t="shared" si="4"/>
        <v>|</v>
      </c>
    </row>
    <row r="458" spans="1:5" ht="15" customHeight="1" x14ac:dyDescent="0.3">
      <c r="A458" s="11"/>
      <c r="B458" s="11"/>
      <c r="C458" s="11"/>
      <c r="D458" s="11"/>
      <c r="E458" t="str">
        <f t="shared" si="4"/>
        <v>|</v>
      </c>
    </row>
    <row r="459" spans="1:5" ht="15" customHeight="1" x14ac:dyDescent="0.3">
      <c r="A459" s="11"/>
      <c r="B459" s="11"/>
      <c r="C459" s="11"/>
      <c r="D459" s="11"/>
      <c r="E459" t="str">
        <f t="shared" si="4"/>
        <v>|</v>
      </c>
    </row>
    <row r="460" spans="1:5" ht="15" customHeight="1" x14ac:dyDescent="0.3">
      <c r="A460" s="11"/>
      <c r="B460" s="11"/>
      <c r="C460" s="11"/>
      <c r="D460" s="11"/>
      <c r="E460" t="str">
        <f t="shared" si="4"/>
        <v>|</v>
      </c>
    </row>
    <row r="461" spans="1:5" ht="15" customHeight="1" x14ac:dyDescent="0.3">
      <c r="A461" s="11"/>
      <c r="B461" s="11"/>
      <c r="C461" s="11"/>
      <c r="D461" s="11"/>
      <c r="E461" t="str">
        <f t="shared" si="4"/>
        <v>|</v>
      </c>
    </row>
    <row r="462" spans="1:5" ht="15" customHeight="1" x14ac:dyDescent="0.3">
      <c r="A462" s="11"/>
      <c r="B462" s="11"/>
      <c r="C462" s="11"/>
      <c r="D462" s="11"/>
      <c r="E462" t="str">
        <f t="shared" si="4"/>
        <v>|</v>
      </c>
    </row>
    <row r="463" spans="1:5" ht="15" customHeight="1" x14ac:dyDescent="0.3">
      <c r="A463" s="11"/>
      <c r="B463" s="11"/>
      <c r="C463" s="11"/>
      <c r="D463" s="11"/>
      <c r="E463" t="str">
        <f t="shared" si="4"/>
        <v>|</v>
      </c>
    </row>
    <row r="464" spans="1:5" ht="15" customHeight="1" x14ac:dyDescent="0.3">
      <c r="A464" s="11"/>
      <c r="B464" s="11"/>
      <c r="C464" s="11"/>
      <c r="D464" s="11"/>
      <c r="E464" t="str">
        <f t="shared" si="4"/>
        <v>|</v>
      </c>
    </row>
    <row r="465" spans="1:5" ht="15" customHeight="1" x14ac:dyDescent="0.3">
      <c r="A465" s="11"/>
      <c r="B465" s="11"/>
      <c r="C465" s="11"/>
      <c r="D465" s="11"/>
      <c r="E465" t="str">
        <f t="shared" si="4"/>
        <v>|</v>
      </c>
    </row>
    <row r="466" spans="1:5" ht="15" customHeight="1" x14ac:dyDescent="0.3">
      <c r="A466" s="11"/>
      <c r="B466" s="11"/>
      <c r="C466" s="11"/>
      <c r="D466" s="11"/>
      <c r="E466" t="str">
        <f t="shared" si="4"/>
        <v>|</v>
      </c>
    </row>
    <row r="467" spans="1:5" ht="15" customHeight="1" x14ac:dyDescent="0.3">
      <c r="A467" s="11"/>
      <c r="B467" s="11"/>
      <c r="C467" s="11"/>
      <c r="D467" s="11"/>
      <c r="E467" t="str">
        <f t="shared" si="4"/>
        <v>|</v>
      </c>
    </row>
    <row r="468" spans="1:5" ht="15" customHeight="1" x14ac:dyDescent="0.3">
      <c r="A468" s="11"/>
      <c r="B468" s="11"/>
      <c r="C468" s="11"/>
      <c r="D468" s="11"/>
      <c r="E468" t="str">
        <f t="shared" si="4"/>
        <v>|</v>
      </c>
    </row>
    <row r="469" spans="1:5" ht="15" customHeight="1" x14ac:dyDescent="0.3">
      <c r="A469" s="11"/>
      <c r="B469" s="11"/>
      <c r="C469" s="11"/>
      <c r="D469" s="11"/>
      <c r="E469" t="str">
        <f t="shared" si="4"/>
        <v>|</v>
      </c>
    </row>
    <row r="470" spans="1:5" ht="15" customHeight="1" x14ac:dyDescent="0.3">
      <c r="A470" s="11"/>
      <c r="B470" s="11"/>
      <c r="C470" s="11"/>
      <c r="D470" s="11"/>
      <c r="E470" t="str">
        <f t="shared" si="4"/>
        <v>|</v>
      </c>
    </row>
    <row r="471" spans="1:5" ht="15" customHeight="1" x14ac:dyDescent="0.3">
      <c r="A471" s="11"/>
      <c r="B471" s="11"/>
      <c r="C471" s="11"/>
      <c r="D471" s="11"/>
      <c r="E471" t="str">
        <f t="shared" si="4"/>
        <v>|</v>
      </c>
    </row>
    <row r="472" spans="1:5" ht="15" customHeight="1" x14ac:dyDescent="0.3">
      <c r="A472" s="11"/>
      <c r="B472" s="11"/>
      <c r="C472" s="11"/>
      <c r="D472" s="11"/>
      <c r="E472" t="str">
        <f t="shared" si="4"/>
        <v>|</v>
      </c>
    </row>
    <row r="473" spans="1:5" ht="15" customHeight="1" x14ac:dyDescent="0.3">
      <c r="A473" s="11"/>
      <c r="B473" s="11"/>
      <c r="C473" s="11"/>
      <c r="D473" s="11"/>
      <c r="E473" t="str">
        <f t="shared" si="4"/>
        <v>|</v>
      </c>
    </row>
    <row r="474" spans="1:5" ht="15" customHeight="1" x14ac:dyDescent="0.3">
      <c r="A474" s="11"/>
      <c r="B474" s="11"/>
      <c r="C474" s="11"/>
      <c r="D474" s="11"/>
      <c r="E474" t="str">
        <f t="shared" si="4"/>
        <v>|</v>
      </c>
    </row>
    <row r="475" spans="1:5" ht="15" customHeight="1" x14ac:dyDescent="0.3">
      <c r="A475" s="11"/>
      <c r="B475" s="11"/>
      <c r="C475" s="11"/>
      <c r="D475" s="11"/>
      <c r="E475" t="str">
        <f t="shared" si="4"/>
        <v>|</v>
      </c>
    </row>
    <row r="476" spans="1:5" ht="15" customHeight="1" x14ac:dyDescent="0.3">
      <c r="A476" s="11"/>
      <c r="B476" s="11"/>
      <c r="C476" s="11"/>
      <c r="D476" s="11"/>
      <c r="E476" t="str">
        <f t="shared" si="4"/>
        <v>|</v>
      </c>
    </row>
    <row r="477" spans="1:5" ht="15" customHeight="1" x14ac:dyDescent="0.3">
      <c r="A477" s="11"/>
      <c r="B477" s="11"/>
      <c r="C477" s="11"/>
      <c r="D477" s="11"/>
      <c r="E477" t="str">
        <f t="shared" si="4"/>
        <v>|</v>
      </c>
    </row>
    <row r="478" spans="1:5" ht="15" customHeight="1" x14ac:dyDescent="0.3">
      <c r="A478" s="11"/>
      <c r="B478" s="11"/>
      <c r="C478" s="11"/>
      <c r="D478" s="11"/>
      <c r="E478" t="str">
        <f t="shared" si="4"/>
        <v>|</v>
      </c>
    </row>
    <row r="479" spans="1:5" ht="15" customHeight="1" x14ac:dyDescent="0.3">
      <c r="A479" s="11"/>
      <c r="B479" s="11"/>
      <c r="C479" s="11"/>
      <c r="D479" s="11"/>
      <c r="E479" t="str">
        <f t="shared" si="4"/>
        <v>|</v>
      </c>
    </row>
    <row r="480" spans="1:5" ht="15" customHeight="1" x14ac:dyDescent="0.3">
      <c r="A480" s="11"/>
      <c r="B480" s="11"/>
      <c r="C480" s="11"/>
      <c r="D480" s="11"/>
      <c r="E480" t="str">
        <f t="shared" si="4"/>
        <v>|</v>
      </c>
    </row>
    <row r="481" spans="1:5" ht="15" customHeight="1" x14ac:dyDescent="0.3">
      <c r="A481" s="11"/>
      <c r="B481" s="11"/>
      <c r="C481" s="11"/>
      <c r="D481" s="11"/>
      <c r="E481" t="str">
        <f t="shared" si="4"/>
        <v>|</v>
      </c>
    </row>
    <row r="482" spans="1:5" ht="15" customHeight="1" x14ac:dyDescent="0.3">
      <c r="A482" s="11"/>
      <c r="B482" s="11"/>
      <c r="C482" s="11"/>
      <c r="D482" s="11"/>
      <c r="E482" t="str">
        <f t="shared" si="4"/>
        <v>|</v>
      </c>
    </row>
    <row r="483" spans="1:5" ht="15" customHeight="1" x14ac:dyDescent="0.3">
      <c r="A483" s="11"/>
      <c r="B483" s="11"/>
      <c r="C483" s="11"/>
      <c r="D483" s="11"/>
      <c r="E483" t="str">
        <f t="shared" si="4"/>
        <v>|</v>
      </c>
    </row>
    <row r="484" spans="1:5" ht="15" customHeight="1" x14ac:dyDescent="0.3">
      <c r="A484" s="11"/>
      <c r="B484" s="11"/>
      <c r="C484" s="11"/>
      <c r="D484" s="11"/>
      <c r="E484" t="str">
        <f t="shared" si="4"/>
        <v>|</v>
      </c>
    </row>
    <row r="485" spans="1:5" ht="15" customHeight="1" x14ac:dyDescent="0.3">
      <c r="A485" s="11"/>
      <c r="B485" s="11"/>
      <c r="C485" s="11"/>
      <c r="D485" s="11"/>
      <c r="E485" t="str">
        <f t="shared" si="4"/>
        <v>|</v>
      </c>
    </row>
    <row r="486" spans="1:5" ht="15" customHeight="1" x14ac:dyDescent="0.3">
      <c r="A486" s="11"/>
      <c r="B486" s="11"/>
      <c r="C486" s="11"/>
      <c r="D486" s="11"/>
      <c r="E486" t="str">
        <f t="shared" si="4"/>
        <v>|</v>
      </c>
    </row>
    <row r="487" spans="1:5" ht="15" customHeight="1" x14ac:dyDescent="0.3">
      <c r="A487" s="11"/>
      <c r="B487" s="11"/>
      <c r="C487" s="11"/>
      <c r="D487" s="11"/>
      <c r="E487" t="str">
        <f t="shared" si="4"/>
        <v>|</v>
      </c>
    </row>
    <row r="488" spans="1:5" ht="15" customHeight="1" x14ac:dyDescent="0.3">
      <c r="A488" s="11"/>
      <c r="B488" s="11"/>
      <c r="C488" s="11"/>
      <c r="D488" s="11"/>
      <c r="E488" t="str">
        <f t="shared" si="4"/>
        <v>|</v>
      </c>
    </row>
    <row r="489" spans="1:5" ht="15" customHeight="1" x14ac:dyDescent="0.3">
      <c r="A489" s="11"/>
      <c r="B489" s="11"/>
      <c r="C489" s="11"/>
      <c r="D489" s="11"/>
      <c r="E489" t="str">
        <f t="shared" si="4"/>
        <v>|</v>
      </c>
    </row>
    <row r="490" spans="1:5" ht="15" customHeight="1" x14ac:dyDescent="0.3">
      <c r="A490" s="11"/>
      <c r="B490" s="11"/>
      <c r="C490" s="11"/>
      <c r="D490" s="11"/>
      <c r="E490" t="str">
        <f t="shared" si="4"/>
        <v>|</v>
      </c>
    </row>
    <row r="491" spans="1:5" ht="15" customHeight="1" x14ac:dyDescent="0.3">
      <c r="A491" s="11"/>
      <c r="B491" s="11"/>
      <c r="C491" s="11"/>
      <c r="D491" s="11"/>
      <c r="E491" t="str">
        <f t="shared" si="4"/>
        <v>|</v>
      </c>
    </row>
    <row r="492" spans="1:5" ht="15" customHeight="1" x14ac:dyDescent="0.3">
      <c r="A492" s="11"/>
      <c r="B492" s="11"/>
      <c r="C492" s="11"/>
      <c r="D492" s="11"/>
      <c r="E492" t="str">
        <f t="shared" si="4"/>
        <v>|</v>
      </c>
    </row>
    <row r="493" spans="1:5" ht="15" customHeight="1" x14ac:dyDescent="0.3">
      <c r="A493" s="11"/>
      <c r="B493" s="11"/>
      <c r="C493" s="11"/>
      <c r="D493" s="11"/>
      <c r="E493" t="str">
        <f t="shared" si="4"/>
        <v>|</v>
      </c>
    </row>
    <row r="494" spans="1:5" ht="15" customHeight="1" x14ac:dyDescent="0.3">
      <c r="A494" s="11"/>
      <c r="B494" s="11"/>
      <c r="C494" s="11"/>
      <c r="D494" s="11"/>
      <c r="E494" t="str">
        <f t="shared" si="4"/>
        <v>|</v>
      </c>
    </row>
    <row r="495" spans="1:5" ht="15" customHeight="1" x14ac:dyDescent="0.3">
      <c r="A495" s="11"/>
      <c r="B495" s="11"/>
      <c r="C495" s="11"/>
      <c r="D495" s="11"/>
      <c r="E495" t="str">
        <f t="shared" si="4"/>
        <v>|</v>
      </c>
    </row>
    <row r="496" spans="1:5" ht="15" customHeight="1" x14ac:dyDescent="0.3">
      <c r="A496" s="11"/>
      <c r="B496" s="11"/>
      <c r="C496" s="11"/>
      <c r="D496" s="11"/>
      <c r="E496" t="str">
        <f t="shared" si="4"/>
        <v>|</v>
      </c>
    </row>
    <row r="497" spans="1:5" ht="15" customHeight="1" x14ac:dyDescent="0.3">
      <c r="A497" s="11"/>
      <c r="B497" s="11"/>
      <c r="C497" s="11"/>
      <c r="D497" s="11"/>
      <c r="E497" t="str">
        <f t="shared" si="4"/>
        <v>|</v>
      </c>
    </row>
    <row r="498" spans="1:5" ht="15" customHeight="1" x14ac:dyDescent="0.3">
      <c r="A498" s="11"/>
      <c r="B498" s="11"/>
      <c r="C498" s="11"/>
      <c r="D498" s="11"/>
      <c r="E498" t="str">
        <f t="shared" si="4"/>
        <v>|</v>
      </c>
    </row>
    <row r="499" spans="1:5" ht="15" customHeight="1" x14ac:dyDescent="0.3">
      <c r="A499" s="11"/>
      <c r="B499" s="11"/>
      <c r="C499" s="11"/>
      <c r="D499" s="11"/>
      <c r="E499" t="str">
        <f t="shared" si="4"/>
        <v>|</v>
      </c>
    </row>
    <row r="500" spans="1:5" ht="15" customHeight="1" x14ac:dyDescent="0.3">
      <c r="A500" s="11"/>
      <c r="B500" s="11"/>
      <c r="C500" s="11"/>
      <c r="D500" s="11"/>
      <c r="E500" t="str">
        <f t="shared" si="4"/>
        <v>|</v>
      </c>
    </row>
    <row r="501" spans="1:5" ht="15" customHeight="1" x14ac:dyDescent="0.3">
      <c r="A501" s="11"/>
      <c r="B501" s="11"/>
      <c r="C501" s="11"/>
      <c r="D501" s="11"/>
      <c r="E501" t="str">
        <f t="shared" si="4"/>
        <v>|</v>
      </c>
    </row>
    <row r="502" spans="1:5" ht="15" customHeight="1" x14ac:dyDescent="0.3">
      <c r="A502" s="11"/>
      <c r="B502" s="11"/>
      <c r="C502" s="11"/>
      <c r="D502" s="11"/>
      <c r="E502" t="str">
        <f t="shared" si="4"/>
        <v>|</v>
      </c>
    </row>
    <row r="503" spans="1:5" ht="15" customHeight="1" x14ac:dyDescent="0.3">
      <c r="A503" s="11"/>
      <c r="B503" s="11"/>
      <c r="C503" s="11"/>
      <c r="D503" s="11"/>
      <c r="E503" t="str">
        <f t="shared" si="4"/>
        <v>|</v>
      </c>
    </row>
    <row r="504" spans="1:5" ht="15" customHeight="1" x14ac:dyDescent="0.3">
      <c r="A504" s="11"/>
      <c r="B504" s="11"/>
      <c r="C504" s="11"/>
      <c r="D504" s="11"/>
      <c r="E504" t="str">
        <f t="shared" si="4"/>
        <v>|</v>
      </c>
    </row>
    <row r="505" spans="1:5" ht="15" customHeight="1" x14ac:dyDescent="0.3">
      <c r="A505" s="11"/>
      <c r="B505" s="11"/>
      <c r="C505" s="11"/>
      <c r="D505" s="11"/>
      <c r="E505" t="str">
        <f t="shared" si="4"/>
        <v>|</v>
      </c>
    </row>
    <row r="506" spans="1:5" ht="15" customHeight="1" x14ac:dyDescent="0.3">
      <c r="A506" s="11"/>
      <c r="B506" s="11"/>
      <c r="C506" s="11"/>
      <c r="D506" s="11"/>
      <c r="E506" t="str">
        <f t="shared" si="4"/>
        <v>|</v>
      </c>
    </row>
    <row r="507" spans="1:5" ht="15" customHeight="1" x14ac:dyDescent="0.3">
      <c r="A507" s="11"/>
      <c r="B507" s="11"/>
      <c r="C507" s="11"/>
      <c r="D507" s="11"/>
      <c r="E507" t="str">
        <f t="shared" si="4"/>
        <v>|</v>
      </c>
    </row>
    <row r="508" spans="1:5" ht="15" customHeight="1" x14ac:dyDescent="0.3">
      <c r="A508" s="11"/>
      <c r="B508" s="11"/>
      <c r="C508" s="11"/>
      <c r="D508" s="11"/>
      <c r="E508" t="str">
        <f t="shared" si="4"/>
        <v>|</v>
      </c>
    </row>
    <row r="509" spans="1:5" ht="15" customHeight="1" x14ac:dyDescent="0.3">
      <c r="A509" s="11"/>
      <c r="B509" s="11"/>
      <c r="C509" s="11"/>
      <c r="D509" s="11"/>
      <c r="E509" t="str">
        <f t="shared" si="4"/>
        <v>|</v>
      </c>
    </row>
    <row r="510" spans="1:5" ht="15" customHeight="1" x14ac:dyDescent="0.3">
      <c r="A510" s="11"/>
      <c r="B510" s="11"/>
      <c r="C510" s="11"/>
      <c r="D510" s="11"/>
      <c r="E510" t="str">
        <f t="shared" ref="E510:E573" si="5">A510&amp;"|"&amp;B510</f>
        <v>|</v>
      </c>
    </row>
    <row r="511" spans="1:5" ht="15" customHeight="1" x14ac:dyDescent="0.3">
      <c r="A511" s="11"/>
      <c r="B511" s="11"/>
      <c r="C511" s="11"/>
      <c r="D511" s="11"/>
      <c r="E511" t="str">
        <f t="shared" si="5"/>
        <v>|</v>
      </c>
    </row>
    <row r="512" spans="1:5" ht="15" customHeight="1" x14ac:dyDescent="0.3">
      <c r="A512" s="11"/>
      <c r="B512" s="11"/>
      <c r="C512" s="11"/>
      <c r="D512" s="11"/>
      <c r="E512" t="str">
        <f t="shared" si="5"/>
        <v>|</v>
      </c>
    </row>
    <row r="513" spans="1:5" ht="15" customHeight="1" x14ac:dyDescent="0.3">
      <c r="A513" s="11"/>
      <c r="B513" s="11"/>
      <c r="C513" s="11"/>
      <c r="D513" s="11"/>
      <c r="E513" t="str">
        <f t="shared" si="5"/>
        <v>|</v>
      </c>
    </row>
    <row r="514" spans="1:5" ht="15" customHeight="1" x14ac:dyDescent="0.3">
      <c r="A514" s="11"/>
      <c r="B514" s="11"/>
      <c r="C514" s="11"/>
      <c r="D514" s="11"/>
      <c r="E514" t="str">
        <f t="shared" si="5"/>
        <v>|</v>
      </c>
    </row>
    <row r="515" spans="1:5" ht="15" customHeight="1" x14ac:dyDescent="0.3">
      <c r="A515" s="11"/>
      <c r="B515" s="11"/>
      <c r="C515" s="11"/>
      <c r="D515" s="11"/>
      <c r="E515" t="str">
        <f t="shared" si="5"/>
        <v>|</v>
      </c>
    </row>
    <row r="516" spans="1:5" ht="15" customHeight="1" x14ac:dyDescent="0.3">
      <c r="A516" s="11"/>
      <c r="B516" s="11"/>
      <c r="C516" s="11"/>
      <c r="D516" s="11"/>
      <c r="E516" t="str">
        <f t="shared" si="5"/>
        <v>|</v>
      </c>
    </row>
    <row r="517" spans="1:5" ht="15" customHeight="1" x14ac:dyDescent="0.3">
      <c r="A517" s="11"/>
      <c r="B517" s="11"/>
      <c r="C517" s="11"/>
      <c r="D517" s="11"/>
      <c r="E517" t="str">
        <f t="shared" si="5"/>
        <v>|</v>
      </c>
    </row>
    <row r="518" spans="1:5" ht="15" customHeight="1" x14ac:dyDescent="0.3">
      <c r="A518" s="11"/>
      <c r="B518" s="11"/>
      <c r="C518" s="11"/>
      <c r="D518" s="11"/>
      <c r="E518" t="str">
        <f t="shared" si="5"/>
        <v>|</v>
      </c>
    </row>
    <row r="519" spans="1:5" ht="15" customHeight="1" x14ac:dyDescent="0.3">
      <c r="A519" s="11"/>
      <c r="B519" s="11"/>
      <c r="C519" s="11"/>
      <c r="D519" s="11"/>
      <c r="E519" t="str">
        <f t="shared" si="5"/>
        <v>|</v>
      </c>
    </row>
    <row r="520" spans="1:5" ht="15" customHeight="1" x14ac:dyDescent="0.3">
      <c r="A520" s="11"/>
      <c r="B520" s="11"/>
      <c r="C520" s="11"/>
      <c r="D520" s="11"/>
      <c r="E520" t="str">
        <f t="shared" si="5"/>
        <v>|</v>
      </c>
    </row>
    <row r="521" spans="1:5" ht="15" customHeight="1" x14ac:dyDescent="0.3">
      <c r="A521" s="11"/>
      <c r="B521" s="11"/>
      <c r="C521" s="11"/>
      <c r="D521" s="11"/>
      <c r="E521" t="str">
        <f t="shared" si="5"/>
        <v>|</v>
      </c>
    </row>
    <row r="522" spans="1:5" ht="15" customHeight="1" x14ac:dyDescent="0.3">
      <c r="A522" s="11"/>
      <c r="B522" s="11"/>
      <c r="C522" s="11"/>
      <c r="D522" s="11"/>
      <c r="E522" t="str">
        <f t="shared" si="5"/>
        <v>|</v>
      </c>
    </row>
    <row r="523" spans="1:5" ht="15" customHeight="1" x14ac:dyDescent="0.3">
      <c r="A523" s="11"/>
      <c r="B523" s="11"/>
      <c r="C523" s="11"/>
      <c r="D523" s="11"/>
      <c r="E523" t="str">
        <f t="shared" si="5"/>
        <v>|</v>
      </c>
    </row>
    <row r="524" spans="1:5" ht="15" customHeight="1" x14ac:dyDescent="0.3">
      <c r="A524" s="11"/>
      <c r="B524" s="11"/>
      <c r="C524" s="11"/>
      <c r="D524" s="11"/>
      <c r="E524" t="str">
        <f t="shared" si="5"/>
        <v>|</v>
      </c>
    </row>
    <row r="525" spans="1:5" ht="15" customHeight="1" x14ac:dyDescent="0.3">
      <c r="A525" s="11"/>
      <c r="B525" s="11"/>
      <c r="C525" s="11"/>
      <c r="D525" s="11"/>
      <c r="E525" t="str">
        <f t="shared" si="5"/>
        <v>|</v>
      </c>
    </row>
    <row r="526" spans="1:5" ht="15" customHeight="1" x14ac:dyDescent="0.3">
      <c r="A526" s="11"/>
      <c r="B526" s="11"/>
      <c r="C526" s="11"/>
      <c r="D526" s="11"/>
      <c r="E526" t="str">
        <f t="shared" si="5"/>
        <v>|</v>
      </c>
    </row>
    <row r="527" spans="1:5" ht="15" customHeight="1" x14ac:dyDescent="0.3">
      <c r="A527" s="11"/>
      <c r="B527" s="11"/>
      <c r="C527" s="11"/>
      <c r="D527" s="11"/>
      <c r="E527" t="str">
        <f t="shared" si="5"/>
        <v>|</v>
      </c>
    </row>
    <row r="528" spans="1:5" ht="15" customHeight="1" x14ac:dyDescent="0.3">
      <c r="A528" s="11"/>
      <c r="B528" s="11"/>
      <c r="C528" s="11"/>
      <c r="D528" s="11"/>
      <c r="E528" t="str">
        <f t="shared" si="5"/>
        <v>|</v>
      </c>
    </row>
    <row r="529" spans="1:5" ht="15" customHeight="1" x14ac:dyDescent="0.3">
      <c r="A529" s="11"/>
      <c r="B529" s="11"/>
      <c r="C529" s="11"/>
      <c r="D529" s="11"/>
      <c r="E529" t="str">
        <f t="shared" si="5"/>
        <v>|</v>
      </c>
    </row>
    <row r="530" spans="1:5" ht="15" customHeight="1" x14ac:dyDescent="0.3">
      <c r="A530" s="11"/>
      <c r="B530" s="11"/>
      <c r="C530" s="11"/>
      <c r="D530" s="11"/>
      <c r="E530" t="str">
        <f t="shared" si="5"/>
        <v>|</v>
      </c>
    </row>
    <row r="531" spans="1:5" ht="15" customHeight="1" x14ac:dyDescent="0.3">
      <c r="A531" s="11"/>
      <c r="B531" s="11"/>
      <c r="C531" s="11"/>
      <c r="D531" s="11"/>
      <c r="E531" t="str">
        <f t="shared" si="5"/>
        <v>|</v>
      </c>
    </row>
    <row r="532" spans="1:5" ht="15" customHeight="1" x14ac:dyDescent="0.3">
      <c r="A532" s="11"/>
      <c r="B532" s="11"/>
      <c r="C532" s="11"/>
      <c r="D532" s="11"/>
      <c r="E532" t="str">
        <f t="shared" si="5"/>
        <v>|</v>
      </c>
    </row>
    <row r="533" spans="1:5" ht="15" customHeight="1" x14ac:dyDescent="0.3">
      <c r="A533" s="11"/>
      <c r="B533" s="11"/>
      <c r="C533" s="11"/>
      <c r="D533" s="11"/>
      <c r="E533" t="str">
        <f t="shared" si="5"/>
        <v>|</v>
      </c>
    </row>
    <row r="534" spans="1:5" ht="15" customHeight="1" x14ac:dyDescent="0.3">
      <c r="A534" s="11"/>
      <c r="B534" s="11"/>
      <c r="C534" s="11"/>
      <c r="D534" s="11"/>
      <c r="E534" t="str">
        <f t="shared" si="5"/>
        <v>|</v>
      </c>
    </row>
    <row r="535" spans="1:5" ht="15" customHeight="1" x14ac:dyDescent="0.3">
      <c r="A535" s="11"/>
      <c r="B535" s="11"/>
      <c r="C535" s="11"/>
      <c r="D535" s="11"/>
      <c r="E535" t="str">
        <f t="shared" si="5"/>
        <v>|</v>
      </c>
    </row>
    <row r="536" spans="1:5" ht="15" customHeight="1" x14ac:dyDescent="0.3">
      <c r="A536" s="11"/>
      <c r="B536" s="11"/>
      <c r="C536" s="11"/>
      <c r="D536" s="11"/>
      <c r="E536" t="str">
        <f t="shared" si="5"/>
        <v>|</v>
      </c>
    </row>
    <row r="537" spans="1:5" ht="15" customHeight="1" x14ac:dyDescent="0.3">
      <c r="A537" s="11"/>
      <c r="B537" s="11"/>
      <c r="C537" s="11"/>
      <c r="D537" s="11"/>
      <c r="E537" t="str">
        <f t="shared" si="5"/>
        <v>|</v>
      </c>
    </row>
    <row r="538" spans="1:5" ht="15" customHeight="1" x14ac:dyDescent="0.3">
      <c r="A538" s="11"/>
      <c r="B538" s="11"/>
      <c r="C538" s="11"/>
      <c r="D538" s="11"/>
      <c r="E538" t="str">
        <f t="shared" si="5"/>
        <v>|</v>
      </c>
    </row>
    <row r="539" spans="1:5" ht="15" customHeight="1" x14ac:dyDescent="0.3">
      <c r="A539" s="11"/>
      <c r="B539" s="11"/>
      <c r="C539" s="11"/>
      <c r="D539" s="11"/>
      <c r="E539" t="str">
        <f t="shared" si="5"/>
        <v>|</v>
      </c>
    </row>
    <row r="540" spans="1:5" ht="15" customHeight="1" x14ac:dyDescent="0.3">
      <c r="A540" s="11"/>
      <c r="B540" s="11"/>
      <c r="C540" s="11"/>
      <c r="D540" s="11"/>
      <c r="E540" t="str">
        <f t="shared" si="5"/>
        <v>|</v>
      </c>
    </row>
    <row r="541" spans="1:5" ht="15" customHeight="1" x14ac:dyDescent="0.3">
      <c r="A541" s="11"/>
      <c r="B541" s="11"/>
      <c r="C541" s="11"/>
      <c r="D541" s="11"/>
      <c r="E541" t="str">
        <f t="shared" si="5"/>
        <v>|</v>
      </c>
    </row>
    <row r="542" spans="1:5" ht="15" customHeight="1" x14ac:dyDescent="0.3">
      <c r="A542" s="11"/>
      <c r="B542" s="11"/>
      <c r="C542" s="11"/>
      <c r="D542" s="11"/>
      <c r="E542" t="str">
        <f t="shared" si="5"/>
        <v>|</v>
      </c>
    </row>
    <row r="543" spans="1:5" ht="15" customHeight="1" x14ac:dyDescent="0.3">
      <c r="A543" s="11"/>
      <c r="B543" s="11"/>
      <c r="C543" s="11"/>
      <c r="D543" s="11"/>
      <c r="E543" t="str">
        <f t="shared" si="5"/>
        <v>|</v>
      </c>
    </row>
    <row r="544" spans="1:5" ht="15" customHeight="1" x14ac:dyDescent="0.3">
      <c r="A544" s="11"/>
      <c r="B544" s="11"/>
      <c r="C544" s="11"/>
      <c r="D544" s="11"/>
      <c r="E544" t="str">
        <f t="shared" si="5"/>
        <v>|</v>
      </c>
    </row>
    <row r="545" spans="1:5" ht="15" customHeight="1" x14ac:dyDescent="0.3">
      <c r="A545" s="11"/>
      <c r="B545" s="11"/>
      <c r="C545" s="11"/>
      <c r="D545" s="11"/>
      <c r="E545" t="str">
        <f t="shared" si="5"/>
        <v>|</v>
      </c>
    </row>
    <row r="546" spans="1:5" ht="15" customHeight="1" x14ac:dyDescent="0.3">
      <c r="A546" s="11"/>
      <c r="B546" s="11"/>
      <c r="C546" s="11"/>
      <c r="D546" s="11"/>
      <c r="E546" t="str">
        <f t="shared" si="5"/>
        <v>|</v>
      </c>
    </row>
    <row r="547" spans="1:5" ht="15" customHeight="1" x14ac:dyDescent="0.3">
      <c r="A547" s="11"/>
      <c r="B547" s="11"/>
      <c r="C547" s="11"/>
      <c r="D547" s="11"/>
      <c r="E547" t="str">
        <f t="shared" si="5"/>
        <v>|</v>
      </c>
    </row>
    <row r="548" spans="1:5" ht="15" customHeight="1" x14ac:dyDescent="0.3">
      <c r="A548" s="11"/>
      <c r="B548" s="11"/>
      <c r="C548" s="11"/>
      <c r="D548" s="11"/>
      <c r="E548" t="str">
        <f t="shared" si="5"/>
        <v>|</v>
      </c>
    </row>
    <row r="549" spans="1:5" ht="15" customHeight="1" x14ac:dyDescent="0.3">
      <c r="A549" s="11"/>
      <c r="B549" s="11"/>
      <c r="C549" s="11"/>
      <c r="D549" s="11"/>
      <c r="E549" t="str">
        <f t="shared" si="5"/>
        <v>|</v>
      </c>
    </row>
    <row r="550" spans="1:5" ht="15" customHeight="1" x14ac:dyDescent="0.3">
      <c r="A550" s="11"/>
      <c r="B550" s="11"/>
      <c r="C550" s="11"/>
      <c r="D550" s="11"/>
      <c r="E550" t="str">
        <f t="shared" si="5"/>
        <v>|</v>
      </c>
    </row>
    <row r="551" spans="1:5" ht="15" customHeight="1" x14ac:dyDescent="0.3">
      <c r="A551" s="11"/>
      <c r="B551" s="11"/>
      <c r="C551" s="11"/>
      <c r="D551" s="11"/>
      <c r="E551" t="str">
        <f t="shared" si="5"/>
        <v>|</v>
      </c>
    </row>
    <row r="552" spans="1:5" ht="15" customHeight="1" x14ac:dyDescent="0.3">
      <c r="A552" s="11"/>
      <c r="B552" s="11"/>
      <c r="C552" s="11"/>
      <c r="D552" s="11"/>
      <c r="E552" t="str">
        <f t="shared" si="5"/>
        <v>|</v>
      </c>
    </row>
    <row r="553" spans="1:5" ht="15" customHeight="1" x14ac:dyDescent="0.3">
      <c r="A553" s="11"/>
      <c r="B553" s="11"/>
      <c r="C553" s="11"/>
      <c r="D553" s="11"/>
      <c r="E553" t="str">
        <f t="shared" si="5"/>
        <v>|</v>
      </c>
    </row>
    <row r="554" spans="1:5" ht="15" customHeight="1" x14ac:dyDescent="0.3">
      <c r="A554" s="11"/>
      <c r="B554" s="11"/>
      <c r="C554" s="11"/>
      <c r="D554" s="11"/>
      <c r="E554" t="str">
        <f t="shared" si="5"/>
        <v>|</v>
      </c>
    </row>
    <row r="555" spans="1:5" ht="15" customHeight="1" x14ac:dyDescent="0.3">
      <c r="A555" s="11"/>
      <c r="B555" s="11"/>
      <c r="C555" s="11"/>
      <c r="D555" s="11"/>
      <c r="E555" t="str">
        <f t="shared" si="5"/>
        <v>|</v>
      </c>
    </row>
    <row r="556" spans="1:5" ht="15" customHeight="1" x14ac:dyDescent="0.3">
      <c r="A556" s="11"/>
      <c r="B556" s="11"/>
      <c r="C556" s="11"/>
      <c r="D556" s="11"/>
      <c r="E556" t="str">
        <f t="shared" si="5"/>
        <v>|</v>
      </c>
    </row>
    <row r="557" spans="1:5" ht="15" customHeight="1" x14ac:dyDescent="0.3">
      <c r="A557" s="11"/>
      <c r="B557" s="11"/>
      <c r="C557" s="11"/>
      <c r="D557" s="11"/>
      <c r="E557" t="str">
        <f t="shared" si="5"/>
        <v>|</v>
      </c>
    </row>
    <row r="558" spans="1:5" ht="15" customHeight="1" x14ac:dyDescent="0.3">
      <c r="A558" s="11"/>
      <c r="B558" s="11"/>
      <c r="C558" s="11"/>
      <c r="D558" s="11"/>
      <c r="E558" t="str">
        <f t="shared" si="5"/>
        <v>|</v>
      </c>
    </row>
    <row r="559" spans="1:5" ht="15" customHeight="1" x14ac:dyDescent="0.3">
      <c r="A559" s="11"/>
      <c r="B559" s="11"/>
      <c r="C559" s="11"/>
      <c r="D559" s="11"/>
      <c r="E559" t="str">
        <f t="shared" si="5"/>
        <v>|</v>
      </c>
    </row>
    <row r="560" spans="1:5" ht="15" customHeight="1" x14ac:dyDescent="0.3">
      <c r="A560" s="11"/>
      <c r="B560" s="11"/>
      <c r="C560" s="11"/>
      <c r="D560" s="11"/>
      <c r="E560" t="str">
        <f t="shared" si="5"/>
        <v>|</v>
      </c>
    </row>
    <row r="561" spans="1:5" ht="15" customHeight="1" x14ac:dyDescent="0.3">
      <c r="A561" s="11"/>
      <c r="B561" s="11"/>
      <c r="C561" s="11"/>
      <c r="D561" s="11"/>
      <c r="E561" t="str">
        <f t="shared" si="5"/>
        <v>|</v>
      </c>
    </row>
    <row r="562" spans="1:5" ht="15" customHeight="1" x14ac:dyDescent="0.3">
      <c r="A562" s="11"/>
      <c r="B562" s="11"/>
      <c r="C562" s="11"/>
      <c r="D562" s="11"/>
      <c r="E562" t="str">
        <f t="shared" si="5"/>
        <v>|</v>
      </c>
    </row>
    <row r="563" spans="1:5" ht="15" customHeight="1" x14ac:dyDescent="0.3">
      <c r="A563" s="11"/>
      <c r="B563" s="11"/>
      <c r="C563" s="11"/>
      <c r="D563" s="11"/>
      <c r="E563" t="str">
        <f t="shared" si="5"/>
        <v>|</v>
      </c>
    </row>
    <row r="564" spans="1:5" ht="15" customHeight="1" x14ac:dyDescent="0.3">
      <c r="A564" s="11"/>
      <c r="B564" s="11"/>
      <c r="C564" s="11"/>
      <c r="D564" s="11"/>
      <c r="E564" t="str">
        <f t="shared" si="5"/>
        <v>|</v>
      </c>
    </row>
    <row r="565" spans="1:5" ht="15" customHeight="1" x14ac:dyDescent="0.3">
      <c r="A565" s="11"/>
      <c r="B565" s="11"/>
      <c r="C565" s="11"/>
      <c r="D565" s="11"/>
      <c r="E565" t="str">
        <f t="shared" si="5"/>
        <v>|</v>
      </c>
    </row>
    <row r="566" spans="1:5" ht="15" customHeight="1" x14ac:dyDescent="0.3">
      <c r="A566" s="11"/>
      <c r="B566" s="11"/>
      <c r="C566" s="11"/>
      <c r="D566" s="11"/>
      <c r="E566" t="str">
        <f t="shared" si="5"/>
        <v>|</v>
      </c>
    </row>
    <row r="567" spans="1:5" ht="15" customHeight="1" x14ac:dyDescent="0.3">
      <c r="A567" s="11"/>
      <c r="B567" s="11"/>
      <c r="C567" s="11"/>
      <c r="D567" s="11"/>
      <c r="E567" t="str">
        <f t="shared" si="5"/>
        <v>|</v>
      </c>
    </row>
    <row r="568" spans="1:5" ht="15" customHeight="1" x14ac:dyDescent="0.3">
      <c r="A568" s="11"/>
      <c r="B568" s="11"/>
      <c r="C568" s="11"/>
      <c r="D568" s="11"/>
      <c r="E568" t="str">
        <f t="shared" si="5"/>
        <v>|</v>
      </c>
    </row>
    <row r="569" spans="1:5" ht="15" customHeight="1" x14ac:dyDescent="0.3">
      <c r="A569" s="11"/>
      <c r="B569" s="11"/>
      <c r="C569" s="11"/>
      <c r="D569" s="11"/>
      <c r="E569" t="str">
        <f t="shared" si="5"/>
        <v>|</v>
      </c>
    </row>
    <row r="570" spans="1:5" ht="15" customHeight="1" x14ac:dyDescent="0.3">
      <c r="A570" s="11"/>
      <c r="B570" s="11"/>
      <c r="C570" s="11"/>
      <c r="D570" s="11"/>
      <c r="E570" t="str">
        <f t="shared" si="5"/>
        <v>|</v>
      </c>
    </row>
    <row r="571" spans="1:5" ht="15" customHeight="1" x14ac:dyDescent="0.3">
      <c r="A571" s="11"/>
      <c r="B571" s="11"/>
      <c r="C571" s="11"/>
      <c r="D571" s="11"/>
      <c r="E571" t="str">
        <f t="shared" si="5"/>
        <v>|</v>
      </c>
    </row>
    <row r="572" spans="1:5" ht="15" customHeight="1" x14ac:dyDescent="0.3">
      <c r="A572" s="11"/>
      <c r="B572" s="11"/>
      <c r="C572" s="11"/>
      <c r="D572" s="11"/>
      <c r="E572" t="str">
        <f t="shared" si="5"/>
        <v>|</v>
      </c>
    </row>
    <row r="573" spans="1:5" ht="15" customHeight="1" x14ac:dyDescent="0.3">
      <c r="A573" s="11"/>
      <c r="B573" s="11"/>
      <c r="C573" s="11"/>
      <c r="D573" s="11"/>
      <c r="E573" t="str">
        <f t="shared" si="5"/>
        <v>|</v>
      </c>
    </row>
    <row r="574" spans="1:5" ht="15" customHeight="1" x14ac:dyDescent="0.3">
      <c r="A574" s="11"/>
      <c r="B574" s="11"/>
      <c r="C574" s="11"/>
      <c r="D574" s="11"/>
      <c r="E574" t="str">
        <f t="shared" ref="E574:E637" si="6">A574&amp;"|"&amp;B574</f>
        <v>|</v>
      </c>
    </row>
    <row r="575" spans="1:5" ht="15" customHeight="1" x14ac:dyDescent="0.3">
      <c r="A575" s="11"/>
      <c r="B575" s="11"/>
      <c r="C575" s="11"/>
      <c r="D575" s="11"/>
      <c r="E575" t="str">
        <f t="shared" si="6"/>
        <v>|</v>
      </c>
    </row>
    <row r="576" spans="1:5" ht="15" customHeight="1" x14ac:dyDescent="0.3">
      <c r="A576" s="11"/>
      <c r="B576" s="11"/>
      <c r="C576" s="11"/>
      <c r="D576" s="11"/>
      <c r="E576" t="str">
        <f t="shared" si="6"/>
        <v>|</v>
      </c>
    </row>
    <row r="577" spans="1:5" ht="15" customHeight="1" x14ac:dyDescent="0.3">
      <c r="A577" s="11"/>
      <c r="B577" s="11"/>
      <c r="C577" s="11"/>
      <c r="D577" s="11"/>
      <c r="E577" t="str">
        <f t="shared" si="6"/>
        <v>|</v>
      </c>
    </row>
    <row r="578" spans="1:5" ht="15" customHeight="1" x14ac:dyDescent="0.3">
      <c r="A578" s="11"/>
      <c r="B578" s="11"/>
      <c r="C578" s="11"/>
      <c r="D578" s="11"/>
      <c r="E578" t="str">
        <f t="shared" si="6"/>
        <v>|</v>
      </c>
    </row>
    <row r="579" spans="1:5" ht="15" customHeight="1" x14ac:dyDescent="0.3">
      <c r="A579" s="11"/>
      <c r="B579" s="11"/>
      <c r="C579" s="11"/>
      <c r="D579" s="11"/>
      <c r="E579" t="str">
        <f t="shared" si="6"/>
        <v>|</v>
      </c>
    </row>
    <row r="580" spans="1:5" ht="15" customHeight="1" x14ac:dyDescent="0.3">
      <c r="A580" s="11"/>
      <c r="B580" s="11"/>
      <c r="C580" s="11"/>
      <c r="D580" s="11"/>
      <c r="E580" t="str">
        <f t="shared" si="6"/>
        <v>|</v>
      </c>
    </row>
    <row r="581" spans="1:5" ht="15" customHeight="1" x14ac:dyDescent="0.3">
      <c r="A581" s="11"/>
      <c r="B581" s="11"/>
      <c r="C581" s="11"/>
      <c r="D581" s="11"/>
      <c r="E581" t="str">
        <f t="shared" si="6"/>
        <v>|</v>
      </c>
    </row>
    <row r="582" spans="1:5" ht="15" customHeight="1" x14ac:dyDescent="0.3">
      <c r="A582" s="11"/>
      <c r="B582" s="11"/>
      <c r="C582" s="11"/>
      <c r="D582" s="11"/>
      <c r="E582" t="str">
        <f t="shared" si="6"/>
        <v>|</v>
      </c>
    </row>
    <row r="583" spans="1:5" ht="15" customHeight="1" x14ac:dyDescent="0.3">
      <c r="A583" s="11"/>
      <c r="B583" s="11"/>
      <c r="C583" s="11"/>
      <c r="D583" s="11"/>
      <c r="E583" t="str">
        <f t="shared" si="6"/>
        <v>|</v>
      </c>
    </row>
    <row r="584" spans="1:5" ht="15" customHeight="1" x14ac:dyDescent="0.3">
      <c r="A584" s="11"/>
      <c r="B584" s="11"/>
      <c r="C584" s="11"/>
      <c r="D584" s="11"/>
      <c r="E584" t="str">
        <f t="shared" si="6"/>
        <v>|</v>
      </c>
    </row>
    <row r="585" spans="1:5" ht="15" customHeight="1" x14ac:dyDescent="0.3">
      <c r="A585" s="11"/>
      <c r="B585" s="11"/>
      <c r="C585" s="11"/>
      <c r="D585" s="11"/>
      <c r="E585" t="str">
        <f t="shared" si="6"/>
        <v>|</v>
      </c>
    </row>
    <row r="586" spans="1:5" ht="15" customHeight="1" x14ac:dyDescent="0.3">
      <c r="A586" s="11"/>
      <c r="B586" s="11"/>
      <c r="C586" s="11"/>
      <c r="D586" s="11"/>
      <c r="E586" t="str">
        <f t="shared" si="6"/>
        <v>|</v>
      </c>
    </row>
    <row r="587" spans="1:5" ht="15" customHeight="1" x14ac:dyDescent="0.3">
      <c r="A587" s="11"/>
      <c r="B587" s="11"/>
      <c r="C587" s="11"/>
      <c r="D587" s="11"/>
      <c r="E587" t="str">
        <f t="shared" si="6"/>
        <v>|</v>
      </c>
    </row>
    <row r="588" spans="1:5" ht="15" customHeight="1" x14ac:dyDescent="0.3">
      <c r="A588" s="11"/>
      <c r="B588" s="11"/>
      <c r="C588" s="11"/>
      <c r="D588" s="11"/>
      <c r="E588" t="str">
        <f t="shared" si="6"/>
        <v>|</v>
      </c>
    </row>
    <row r="589" spans="1:5" ht="15" customHeight="1" x14ac:dyDescent="0.3">
      <c r="A589" s="11"/>
      <c r="B589" s="11"/>
      <c r="C589" s="11"/>
      <c r="D589" s="11"/>
      <c r="E589" t="str">
        <f t="shared" si="6"/>
        <v>|</v>
      </c>
    </row>
    <row r="590" spans="1:5" ht="15" customHeight="1" x14ac:dyDescent="0.3">
      <c r="A590" s="11"/>
      <c r="B590" s="11"/>
      <c r="C590" s="11"/>
      <c r="D590" s="11"/>
      <c r="E590" t="str">
        <f t="shared" si="6"/>
        <v>|</v>
      </c>
    </row>
    <row r="591" spans="1:5" ht="15" customHeight="1" x14ac:dyDescent="0.3">
      <c r="A591" s="11"/>
      <c r="B591" s="11"/>
      <c r="C591" s="11"/>
      <c r="D591" s="11"/>
      <c r="E591" t="str">
        <f t="shared" si="6"/>
        <v>|</v>
      </c>
    </row>
    <row r="592" spans="1:5" ht="15" customHeight="1" x14ac:dyDescent="0.3">
      <c r="A592" s="11"/>
      <c r="B592" s="11"/>
      <c r="C592" s="11"/>
      <c r="D592" s="11"/>
      <c r="E592" t="str">
        <f t="shared" si="6"/>
        <v>|</v>
      </c>
    </row>
    <row r="593" spans="1:5" ht="15" customHeight="1" x14ac:dyDescent="0.3">
      <c r="A593" s="11"/>
      <c r="B593" s="11"/>
      <c r="C593" s="11"/>
      <c r="D593" s="11"/>
      <c r="E593" t="str">
        <f t="shared" si="6"/>
        <v>|</v>
      </c>
    </row>
    <row r="594" spans="1:5" ht="15" customHeight="1" x14ac:dyDescent="0.3">
      <c r="A594" s="11"/>
      <c r="B594" s="11"/>
      <c r="C594" s="11"/>
      <c r="D594" s="11"/>
      <c r="E594" t="str">
        <f t="shared" si="6"/>
        <v>|</v>
      </c>
    </row>
    <row r="595" spans="1:5" ht="15" customHeight="1" x14ac:dyDescent="0.3">
      <c r="A595" s="11"/>
      <c r="B595" s="11"/>
      <c r="C595" s="11"/>
      <c r="D595" s="11"/>
      <c r="E595" t="str">
        <f t="shared" si="6"/>
        <v>|</v>
      </c>
    </row>
    <row r="596" spans="1:5" ht="15" customHeight="1" x14ac:dyDescent="0.3">
      <c r="A596" s="11"/>
      <c r="B596" s="11"/>
      <c r="C596" s="11"/>
      <c r="D596" s="11"/>
      <c r="E596" t="str">
        <f t="shared" si="6"/>
        <v>|</v>
      </c>
    </row>
    <row r="597" spans="1:5" ht="15" customHeight="1" x14ac:dyDescent="0.3">
      <c r="A597" s="11"/>
      <c r="B597" s="11"/>
      <c r="C597" s="11"/>
      <c r="D597" s="11"/>
      <c r="E597" t="str">
        <f t="shared" si="6"/>
        <v>|</v>
      </c>
    </row>
    <row r="598" spans="1:5" ht="15" customHeight="1" x14ac:dyDescent="0.3">
      <c r="A598" s="11"/>
      <c r="B598" s="11"/>
      <c r="C598" s="11"/>
      <c r="D598" s="11"/>
      <c r="E598" t="str">
        <f t="shared" si="6"/>
        <v>|</v>
      </c>
    </row>
    <row r="599" spans="1:5" ht="15" customHeight="1" x14ac:dyDescent="0.3">
      <c r="A599" s="11"/>
      <c r="B599" s="11"/>
      <c r="C599" s="11"/>
      <c r="D599" s="11"/>
      <c r="E599" t="str">
        <f t="shared" si="6"/>
        <v>|</v>
      </c>
    </row>
    <row r="600" spans="1:5" ht="15" customHeight="1" x14ac:dyDescent="0.3">
      <c r="A600" s="11"/>
      <c r="B600" s="11"/>
      <c r="C600" s="11"/>
      <c r="D600" s="11"/>
      <c r="E600" t="str">
        <f t="shared" si="6"/>
        <v>|</v>
      </c>
    </row>
    <row r="601" spans="1:5" ht="15" customHeight="1" x14ac:dyDescent="0.3">
      <c r="A601" s="11"/>
      <c r="B601" s="11"/>
      <c r="C601" s="11"/>
      <c r="D601" s="11"/>
      <c r="E601" t="str">
        <f t="shared" si="6"/>
        <v>|</v>
      </c>
    </row>
    <row r="602" spans="1:5" ht="15" customHeight="1" x14ac:dyDescent="0.3">
      <c r="A602" s="11"/>
      <c r="B602" s="11"/>
      <c r="C602" s="11"/>
      <c r="D602" s="11"/>
      <c r="E602" t="str">
        <f t="shared" si="6"/>
        <v>|</v>
      </c>
    </row>
    <row r="603" spans="1:5" ht="15" customHeight="1" x14ac:dyDescent="0.3">
      <c r="A603" s="11"/>
      <c r="B603" s="11"/>
      <c r="C603" s="11"/>
      <c r="D603" s="11"/>
      <c r="E603" t="str">
        <f t="shared" si="6"/>
        <v>|</v>
      </c>
    </row>
    <row r="604" spans="1:5" ht="15" customHeight="1" x14ac:dyDescent="0.3">
      <c r="A604" s="11"/>
      <c r="B604" s="11"/>
      <c r="C604" s="11"/>
      <c r="D604" s="11"/>
      <c r="E604" t="str">
        <f t="shared" si="6"/>
        <v>|</v>
      </c>
    </row>
    <row r="605" spans="1:5" ht="15" customHeight="1" x14ac:dyDescent="0.3">
      <c r="A605" s="11"/>
      <c r="B605" s="11"/>
      <c r="C605" s="11"/>
      <c r="D605" s="11"/>
      <c r="E605" t="str">
        <f t="shared" si="6"/>
        <v>|</v>
      </c>
    </row>
    <row r="606" spans="1:5" ht="15" customHeight="1" x14ac:dyDescent="0.3">
      <c r="A606" s="11"/>
      <c r="B606" s="11"/>
      <c r="C606" s="11"/>
      <c r="D606" s="11"/>
      <c r="E606" t="str">
        <f t="shared" si="6"/>
        <v>|</v>
      </c>
    </row>
    <row r="607" spans="1:5" ht="15" customHeight="1" x14ac:dyDescent="0.3">
      <c r="A607" s="11"/>
      <c r="B607" s="11"/>
      <c r="C607" s="11"/>
      <c r="D607" s="11"/>
      <c r="E607" t="str">
        <f t="shared" si="6"/>
        <v>|</v>
      </c>
    </row>
    <row r="608" spans="1:5" ht="15" customHeight="1" x14ac:dyDescent="0.3">
      <c r="A608" s="11"/>
      <c r="B608" s="11"/>
      <c r="C608" s="11"/>
      <c r="D608" s="11"/>
      <c r="E608" t="str">
        <f t="shared" si="6"/>
        <v>|</v>
      </c>
    </row>
    <row r="609" spans="1:5" ht="15" customHeight="1" x14ac:dyDescent="0.3">
      <c r="A609" s="11"/>
      <c r="B609" s="11"/>
      <c r="C609" s="11"/>
      <c r="D609" s="11"/>
      <c r="E609" t="str">
        <f t="shared" si="6"/>
        <v>|</v>
      </c>
    </row>
    <row r="610" spans="1:5" ht="15" customHeight="1" x14ac:dyDescent="0.3">
      <c r="A610" s="11"/>
      <c r="B610" s="11"/>
      <c r="C610" s="11"/>
      <c r="D610" s="11"/>
      <c r="E610" t="str">
        <f t="shared" si="6"/>
        <v>|</v>
      </c>
    </row>
    <row r="611" spans="1:5" ht="15" customHeight="1" x14ac:dyDescent="0.3">
      <c r="A611" s="11"/>
      <c r="B611" s="11"/>
      <c r="C611" s="11"/>
      <c r="D611" s="11"/>
      <c r="E611" t="str">
        <f t="shared" si="6"/>
        <v>|</v>
      </c>
    </row>
    <row r="612" spans="1:5" ht="15" customHeight="1" x14ac:dyDescent="0.3">
      <c r="A612" s="11"/>
      <c r="B612" s="11"/>
      <c r="C612" s="11"/>
      <c r="D612" s="11"/>
      <c r="E612" t="str">
        <f t="shared" si="6"/>
        <v>|</v>
      </c>
    </row>
    <row r="613" spans="1:5" ht="15" customHeight="1" x14ac:dyDescent="0.3">
      <c r="A613" s="11"/>
      <c r="B613" s="11"/>
      <c r="C613" s="11"/>
      <c r="D613" s="11"/>
      <c r="E613" t="str">
        <f t="shared" si="6"/>
        <v>|</v>
      </c>
    </row>
    <row r="614" spans="1:5" ht="15" customHeight="1" x14ac:dyDescent="0.3">
      <c r="A614" s="11"/>
      <c r="B614" s="11"/>
      <c r="C614" s="11"/>
      <c r="D614" s="11"/>
      <c r="E614" t="str">
        <f t="shared" si="6"/>
        <v>|</v>
      </c>
    </row>
    <row r="615" spans="1:5" ht="15" customHeight="1" x14ac:dyDescent="0.3">
      <c r="A615" s="11"/>
      <c r="B615" s="11"/>
      <c r="C615" s="11"/>
      <c r="D615" s="11"/>
      <c r="E615" t="str">
        <f t="shared" si="6"/>
        <v>|</v>
      </c>
    </row>
    <row r="616" spans="1:5" ht="15" customHeight="1" x14ac:dyDescent="0.3">
      <c r="A616" s="11"/>
      <c r="B616" s="11"/>
      <c r="C616" s="11"/>
      <c r="D616" s="11"/>
      <c r="E616" t="str">
        <f t="shared" si="6"/>
        <v>|</v>
      </c>
    </row>
    <row r="617" spans="1:5" ht="15" customHeight="1" x14ac:dyDescent="0.3">
      <c r="A617" s="11"/>
      <c r="B617" s="11"/>
      <c r="C617" s="11"/>
      <c r="D617" s="11"/>
      <c r="E617" t="str">
        <f t="shared" si="6"/>
        <v>|</v>
      </c>
    </row>
    <row r="618" spans="1:5" ht="15" customHeight="1" x14ac:dyDescent="0.3">
      <c r="A618" s="11"/>
      <c r="B618" s="11"/>
      <c r="C618" s="11"/>
      <c r="D618" s="11"/>
      <c r="E618" t="str">
        <f t="shared" si="6"/>
        <v>|</v>
      </c>
    </row>
    <row r="619" spans="1:5" ht="15" customHeight="1" x14ac:dyDescent="0.3">
      <c r="A619" s="11"/>
      <c r="B619" s="11"/>
      <c r="C619" s="11"/>
      <c r="D619" s="11"/>
      <c r="E619" t="str">
        <f t="shared" si="6"/>
        <v>|</v>
      </c>
    </row>
    <row r="620" spans="1:5" ht="15" customHeight="1" x14ac:dyDescent="0.3">
      <c r="A620" s="11"/>
      <c r="B620" s="11"/>
      <c r="C620" s="11"/>
      <c r="D620" s="11"/>
      <c r="E620" t="str">
        <f t="shared" si="6"/>
        <v>|</v>
      </c>
    </row>
    <row r="621" spans="1:5" ht="15" customHeight="1" x14ac:dyDescent="0.3">
      <c r="A621" s="11"/>
      <c r="B621" s="11"/>
      <c r="C621" s="11"/>
      <c r="D621" s="11"/>
      <c r="E621" t="str">
        <f t="shared" si="6"/>
        <v>|</v>
      </c>
    </row>
    <row r="622" spans="1:5" ht="15" customHeight="1" x14ac:dyDescent="0.3">
      <c r="A622" s="11"/>
      <c r="B622" s="11"/>
      <c r="C622" s="11"/>
      <c r="D622" s="11"/>
      <c r="E622" t="str">
        <f t="shared" si="6"/>
        <v>|</v>
      </c>
    </row>
    <row r="623" spans="1:5" ht="15" customHeight="1" x14ac:dyDescent="0.3">
      <c r="A623" s="11"/>
      <c r="B623" s="11"/>
      <c r="C623" s="11"/>
      <c r="D623" s="11"/>
      <c r="E623" t="str">
        <f t="shared" si="6"/>
        <v>|</v>
      </c>
    </row>
    <row r="624" spans="1:5" ht="15" customHeight="1" x14ac:dyDescent="0.3">
      <c r="A624" s="11"/>
      <c r="B624" s="11"/>
      <c r="C624" s="11"/>
      <c r="D624" s="11"/>
      <c r="E624" t="str">
        <f t="shared" si="6"/>
        <v>|</v>
      </c>
    </row>
    <row r="625" spans="1:5" ht="15" customHeight="1" x14ac:dyDescent="0.3">
      <c r="A625" s="11"/>
      <c r="B625" s="11"/>
      <c r="C625" s="11"/>
      <c r="D625" s="11"/>
      <c r="E625" t="str">
        <f t="shared" si="6"/>
        <v>|</v>
      </c>
    </row>
    <row r="626" spans="1:5" ht="15" customHeight="1" x14ac:dyDescent="0.3">
      <c r="A626" s="11"/>
      <c r="B626" s="11"/>
      <c r="C626" s="11"/>
      <c r="D626" s="11"/>
      <c r="E626" t="str">
        <f t="shared" si="6"/>
        <v>|</v>
      </c>
    </row>
    <row r="627" spans="1:5" ht="15" customHeight="1" x14ac:dyDescent="0.3">
      <c r="A627" s="11"/>
      <c r="B627" s="11"/>
      <c r="C627" s="11"/>
      <c r="D627" s="11"/>
      <c r="E627" t="str">
        <f t="shared" si="6"/>
        <v>|</v>
      </c>
    </row>
    <row r="628" spans="1:5" ht="15" customHeight="1" x14ac:dyDescent="0.3">
      <c r="A628" s="11"/>
      <c r="B628" s="11"/>
      <c r="C628" s="11"/>
      <c r="D628" s="11"/>
      <c r="E628" t="str">
        <f t="shared" si="6"/>
        <v>|</v>
      </c>
    </row>
    <row r="629" spans="1:5" ht="15" customHeight="1" x14ac:dyDescent="0.3">
      <c r="A629" s="11"/>
      <c r="B629" s="11"/>
      <c r="C629" s="11"/>
      <c r="D629" s="11"/>
      <c r="E629" t="str">
        <f t="shared" si="6"/>
        <v>|</v>
      </c>
    </row>
    <row r="630" spans="1:5" ht="15" customHeight="1" x14ac:dyDescent="0.3">
      <c r="A630" s="11"/>
      <c r="B630" s="11"/>
      <c r="C630" s="11"/>
      <c r="D630" s="11"/>
      <c r="E630" t="str">
        <f t="shared" si="6"/>
        <v>|</v>
      </c>
    </row>
    <row r="631" spans="1:5" ht="15" customHeight="1" x14ac:dyDescent="0.3">
      <c r="A631" s="11"/>
      <c r="B631" s="11"/>
      <c r="C631" s="11"/>
      <c r="D631" s="11"/>
      <c r="E631" t="str">
        <f t="shared" si="6"/>
        <v>|</v>
      </c>
    </row>
    <row r="632" spans="1:5" ht="15" customHeight="1" x14ac:dyDescent="0.3">
      <c r="A632" s="11"/>
      <c r="B632" s="11"/>
      <c r="C632" s="11"/>
      <c r="D632" s="11"/>
      <c r="E632" t="str">
        <f t="shared" si="6"/>
        <v>|</v>
      </c>
    </row>
    <row r="633" spans="1:5" ht="15" customHeight="1" x14ac:dyDescent="0.3">
      <c r="A633" s="11"/>
      <c r="B633" s="11"/>
      <c r="C633" s="11"/>
      <c r="D633" s="11"/>
      <c r="E633" t="str">
        <f t="shared" si="6"/>
        <v>|</v>
      </c>
    </row>
    <row r="634" spans="1:5" ht="15" customHeight="1" x14ac:dyDescent="0.3">
      <c r="A634" s="11"/>
      <c r="B634" s="11"/>
      <c r="C634" s="11"/>
      <c r="D634" s="11"/>
      <c r="E634" t="str">
        <f t="shared" si="6"/>
        <v>|</v>
      </c>
    </row>
    <row r="635" spans="1:5" ht="15" customHeight="1" x14ac:dyDescent="0.3">
      <c r="A635" s="11"/>
      <c r="B635" s="11"/>
      <c r="C635" s="11"/>
      <c r="D635" s="11"/>
      <c r="E635" t="str">
        <f t="shared" si="6"/>
        <v>|</v>
      </c>
    </row>
    <row r="636" spans="1:5" ht="15" customHeight="1" x14ac:dyDescent="0.3">
      <c r="A636" s="11"/>
      <c r="B636" s="11"/>
      <c r="C636" s="11"/>
      <c r="D636" s="11"/>
      <c r="E636" t="str">
        <f t="shared" si="6"/>
        <v>|</v>
      </c>
    </row>
    <row r="637" spans="1:5" ht="15" customHeight="1" x14ac:dyDescent="0.3">
      <c r="A637" s="11"/>
      <c r="B637" s="11"/>
      <c r="C637" s="11"/>
      <c r="D637" s="11"/>
      <c r="E637" t="str">
        <f t="shared" si="6"/>
        <v>|</v>
      </c>
    </row>
    <row r="638" spans="1:5" ht="15" customHeight="1" x14ac:dyDescent="0.3">
      <c r="A638" s="11"/>
      <c r="B638" s="11"/>
      <c r="C638" s="11"/>
      <c r="D638" s="11"/>
      <c r="E638" t="str">
        <f t="shared" ref="E638:E701" si="7">A638&amp;"|"&amp;B638</f>
        <v>|</v>
      </c>
    </row>
    <row r="639" spans="1:5" ht="15" customHeight="1" x14ac:dyDescent="0.3">
      <c r="A639" s="11"/>
      <c r="B639" s="11"/>
      <c r="C639" s="11"/>
      <c r="D639" s="11"/>
      <c r="E639" t="str">
        <f t="shared" si="7"/>
        <v>|</v>
      </c>
    </row>
    <row r="640" spans="1:5" ht="15" customHeight="1" x14ac:dyDescent="0.3">
      <c r="A640" s="11"/>
      <c r="B640" s="11"/>
      <c r="C640" s="11"/>
      <c r="D640" s="11"/>
      <c r="E640" t="str">
        <f t="shared" si="7"/>
        <v>|</v>
      </c>
    </row>
    <row r="641" spans="1:5" ht="15" customHeight="1" x14ac:dyDescent="0.3">
      <c r="A641" s="11"/>
      <c r="B641" s="11"/>
      <c r="C641" s="11"/>
      <c r="D641" s="11"/>
      <c r="E641" t="str">
        <f t="shared" si="7"/>
        <v>|</v>
      </c>
    </row>
    <row r="642" spans="1:5" ht="15" customHeight="1" x14ac:dyDescent="0.3">
      <c r="A642" s="11"/>
      <c r="B642" s="11"/>
      <c r="C642" s="11"/>
      <c r="D642" s="11"/>
      <c r="E642" t="str">
        <f t="shared" si="7"/>
        <v>|</v>
      </c>
    </row>
    <row r="643" spans="1:5" ht="15" customHeight="1" x14ac:dyDescent="0.3">
      <c r="A643" s="11"/>
      <c r="B643" s="11"/>
      <c r="C643" s="11"/>
      <c r="D643" s="11"/>
      <c r="E643" t="str">
        <f t="shared" si="7"/>
        <v>|</v>
      </c>
    </row>
    <row r="644" spans="1:5" ht="15" customHeight="1" x14ac:dyDescent="0.3">
      <c r="A644" s="11"/>
      <c r="B644" s="11"/>
      <c r="C644" s="11"/>
      <c r="D644" s="11"/>
      <c r="E644" t="str">
        <f t="shared" si="7"/>
        <v>|</v>
      </c>
    </row>
    <row r="645" spans="1:5" ht="15" customHeight="1" x14ac:dyDescent="0.3">
      <c r="A645" s="11"/>
      <c r="B645" s="11"/>
      <c r="C645" s="11"/>
      <c r="D645" s="11"/>
      <c r="E645" t="str">
        <f t="shared" si="7"/>
        <v>|</v>
      </c>
    </row>
    <row r="646" spans="1:5" ht="15" customHeight="1" x14ac:dyDescent="0.3">
      <c r="A646" s="11"/>
      <c r="B646" s="11"/>
      <c r="C646" s="11"/>
      <c r="D646" s="11"/>
      <c r="E646" t="str">
        <f t="shared" si="7"/>
        <v>|</v>
      </c>
    </row>
    <row r="647" spans="1:5" ht="15" customHeight="1" x14ac:dyDescent="0.3">
      <c r="A647" s="11"/>
      <c r="B647" s="11"/>
      <c r="C647" s="11"/>
      <c r="D647" s="11"/>
      <c r="E647" t="str">
        <f t="shared" si="7"/>
        <v>|</v>
      </c>
    </row>
    <row r="648" spans="1:5" ht="15" customHeight="1" x14ac:dyDescent="0.3">
      <c r="A648" s="11"/>
      <c r="B648" s="11"/>
      <c r="C648" s="11"/>
      <c r="D648" s="11"/>
      <c r="E648" t="str">
        <f t="shared" si="7"/>
        <v>|</v>
      </c>
    </row>
    <row r="649" spans="1:5" ht="15" customHeight="1" x14ac:dyDescent="0.3">
      <c r="A649" s="11"/>
      <c r="B649" s="11"/>
      <c r="C649" s="11"/>
      <c r="D649" s="11"/>
      <c r="E649" t="str">
        <f t="shared" si="7"/>
        <v>|</v>
      </c>
    </row>
    <row r="650" spans="1:5" ht="15" customHeight="1" x14ac:dyDescent="0.3">
      <c r="A650" s="11"/>
      <c r="B650" s="11"/>
      <c r="C650" s="11"/>
      <c r="D650" s="11"/>
      <c r="E650" t="str">
        <f t="shared" si="7"/>
        <v>|</v>
      </c>
    </row>
    <row r="651" spans="1:5" ht="15" customHeight="1" x14ac:dyDescent="0.3">
      <c r="A651" s="11"/>
      <c r="B651" s="11"/>
      <c r="C651" s="11"/>
      <c r="D651" s="11"/>
      <c r="E651" t="str">
        <f t="shared" si="7"/>
        <v>|</v>
      </c>
    </row>
    <row r="652" spans="1:5" ht="15" customHeight="1" x14ac:dyDescent="0.3">
      <c r="A652" s="11"/>
      <c r="B652" s="11"/>
      <c r="C652" s="11"/>
      <c r="D652" s="11"/>
      <c r="E652" t="str">
        <f t="shared" si="7"/>
        <v>|</v>
      </c>
    </row>
    <row r="653" spans="1:5" ht="15" customHeight="1" x14ac:dyDescent="0.3">
      <c r="A653" s="11"/>
      <c r="B653" s="11"/>
      <c r="C653" s="11"/>
      <c r="D653" s="11"/>
      <c r="E653" t="str">
        <f t="shared" si="7"/>
        <v>|</v>
      </c>
    </row>
    <row r="654" spans="1:5" ht="15" customHeight="1" x14ac:dyDescent="0.3">
      <c r="A654" s="11"/>
      <c r="B654" s="11"/>
      <c r="C654" s="11"/>
      <c r="D654" s="11"/>
      <c r="E654" t="str">
        <f t="shared" si="7"/>
        <v>|</v>
      </c>
    </row>
    <row r="655" spans="1:5" ht="15" customHeight="1" x14ac:dyDescent="0.3">
      <c r="A655" s="11"/>
      <c r="B655" s="11"/>
      <c r="C655" s="11"/>
      <c r="D655" s="11"/>
      <c r="E655" t="str">
        <f t="shared" si="7"/>
        <v>|</v>
      </c>
    </row>
    <row r="656" spans="1:5" ht="15" customHeight="1" x14ac:dyDescent="0.3">
      <c r="A656" s="11"/>
      <c r="B656" s="11"/>
      <c r="C656" s="11"/>
      <c r="D656" s="11"/>
      <c r="E656" t="str">
        <f t="shared" si="7"/>
        <v>|</v>
      </c>
    </row>
    <row r="657" spans="1:5" ht="15" customHeight="1" x14ac:dyDescent="0.3">
      <c r="A657" s="11"/>
      <c r="B657" s="11"/>
      <c r="C657" s="11"/>
      <c r="D657" s="11"/>
      <c r="E657" t="str">
        <f t="shared" si="7"/>
        <v>|</v>
      </c>
    </row>
    <row r="658" spans="1:5" ht="15" customHeight="1" x14ac:dyDescent="0.3">
      <c r="A658" s="11"/>
      <c r="B658" s="11"/>
      <c r="C658" s="11"/>
      <c r="D658" s="11"/>
      <c r="E658" t="str">
        <f t="shared" si="7"/>
        <v>|</v>
      </c>
    </row>
    <row r="659" spans="1:5" ht="15" customHeight="1" x14ac:dyDescent="0.3">
      <c r="A659" s="11"/>
      <c r="B659" s="11"/>
      <c r="C659" s="11"/>
      <c r="D659" s="11"/>
      <c r="E659" t="str">
        <f t="shared" si="7"/>
        <v>|</v>
      </c>
    </row>
    <row r="660" spans="1:5" ht="15" customHeight="1" x14ac:dyDescent="0.3">
      <c r="A660" s="11"/>
      <c r="B660" s="11"/>
      <c r="C660" s="11"/>
      <c r="D660" s="11"/>
      <c r="E660" t="str">
        <f t="shared" si="7"/>
        <v>|</v>
      </c>
    </row>
    <row r="661" spans="1:5" ht="15" customHeight="1" x14ac:dyDescent="0.3">
      <c r="A661" s="11"/>
      <c r="B661" s="11"/>
      <c r="C661" s="11"/>
      <c r="D661" s="11"/>
      <c r="E661" t="str">
        <f t="shared" si="7"/>
        <v>|</v>
      </c>
    </row>
    <row r="662" spans="1:5" ht="15" customHeight="1" x14ac:dyDescent="0.3">
      <c r="A662" s="11"/>
      <c r="B662" s="11"/>
      <c r="C662" s="11"/>
      <c r="D662" s="11"/>
      <c r="E662" t="str">
        <f t="shared" si="7"/>
        <v>|</v>
      </c>
    </row>
    <row r="663" spans="1:5" ht="15" customHeight="1" x14ac:dyDescent="0.3">
      <c r="A663" s="11"/>
      <c r="B663" s="11"/>
      <c r="C663" s="11"/>
      <c r="D663" s="11"/>
      <c r="E663" t="str">
        <f t="shared" si="7"/>
        <v>|</v>
      </c>
    </row>
    <row r="664" spans="1:5" ht="15" customHeight="1" x14ac:dyDescent="0.3">
      <c r="A664" s="11"/>
      <c r="B664" s="11"/>
      <c r="C664" s="11"/>
      <c r="D664" s="11"/>
      <c r="E664" t="str">
        <f t="shared" si="7"/>
        <v>|</v>
      </c>
    </row>
    <row r="665" spans="1:5" ht="15" customHeight="1" x14ac:dyDescent="0.3">
      <c r="A665" s="11"/>
      <c r="B665" s="11"/>
      <c r="C665" s="11"/>
      <c r="D665" s="11"/>
      <c r="E665" t="str">
        <f t="shared" si="7"/>
        <v>|</v>
      </c>
    </row>
    <row r="666" spans="1:5" ht="15" customHeight="1" x14ac:dyDescent="0.3">
      <c r="A666" s="11"/>
      <c r="B666" s="11"/>
      <c r="C666" s="11"/>
      <c r="D666" s="11"/>
      <c r="E666" t="str">
        <f t="shared" si="7"/>
        <v>|</v>
      </c>
    </row>
    <row r="667" spans="1:5" ht="15" customHeight="1" x14ac:dyDescent="0.3">
      <c r="A667" s="11"/>
      <c r="B667" s="11"/>
      <c r="C667" s="11"/>
      <c r="D667" s="11"/>
      <c r="E667" t="str">
        <f t="shared" si="7"/>
        <v>|</v>
      </c>
    </row>
    <row r="668" spans="1:5" ht="15" customHeight="1" x14ac:dyDescent="0.3">
      <c r="A668" s="11"/>
      <c r="B668" s="11"/>
      <c r="C668" s="11"/>
      <c r="D668" s="11"/>
      <c r="E668" t="str">
        <f t="shared" si="7"/>
        <v>|</v>
      </c>
    </row>
    <row r="669" spans="1:5" ht="15" customHeight="1" x14ac:dyDescent="0.3">
      <c r="A669" s="11"/>
      <c r="B669" s="11"/>
      <c r="C669" s="11"/>
      <c r="D669" s="11"/>
      <c r="E669" t="str">
        <f t="shared" si="7"/>
        <v>|</v>
      </c>
    </row>
    <row r="670" spans="1:5" ht="15" customHeight="1" x14ac:dyDescent="0.3">
      <c r="A670" s="11"/>
      <c r="B670" s="11"/>
      <c r="C670" s="11"/>
      <c r="D670" s="11"/>
      <c r="E670" t="str">
        <f t="shared" si="7"/>
        <v>|</v>
      </c>
    </row>
    <row r="671" spans="1:5" ht="15" customHeight="1" x14ac:dyDescent="0.3">
      <c r="A671" s="11"/>
      <c r="B671" s="11"/>
      <c r="C671" s="11"/>
      <c r="D671" s="11"/>
      <c r="E671" t="str">
        <f t="shared" si="7"/>
        <v>|</v>
      </c>
    </row>
    <row r="672" spans="1:5" ht="15" customHeight="1" x14ac:dyDescent="0.3">
      <c r="A672" s="11"/>
      <c r="B672" s="11"/>
      <c r="C672" s="11"/>
      <c r="D672" s="11"/>
      <c r="E672" t="str">
        <f t="shared" si="7"/>
        <v>|</v>
      </c>
    </row>
    <row r="673" spans="1:5" ht="15" customHeight="1" x14ac:dyDescent="0.3">
      <c r="A673" s="11"/>
      <c r="B673" s="11"/>
      <c r="C673" s="11"/>
      <c r="D673" s="11"/>
      <c r="E673" t="str">
        <f t="shared" si="7"/>
        <v>|</v>
      </c>
    </row>
    <row r="674" spans="1:5" ht="15" customHeight="1" x14ac:dyDescent="0.3">
      <c r="A674" s="11"/>
      <c r="B674" s="11"/>
      <c r="C674" s="11"/>
      <c r="D674" s="11"/>
      <c r="E674" t="str">
        <f t="shared" si="7"/>
        <v>|</v>
      </c>
    </row>
    <row r="675" spans="1:5" ht="15" customHeight="1" x14ac:dyDescent="0.3">
      <c r="A675" s="11"/>
      <c r="B675" s="11"/>
      <c r="C675" s="11"/>
      <c r="D675" s="11"/>
      <c r="E675" t="str">
        <f t="shared" si="7"/>
        <v>|</v>
      </c>
    </row>
    <row r="676" spans="1:5" ht="15" customHeight="1" x14ac:dyDescent="0.3">
      <c r="A676" s="11"/>
      <c r="B676" s="11"/>
      <c r="C676" s="11"/>
      <c r="D676" s="11"/>
      <c r="E676" t="str">
        <f t="shared" si="7"/>
        <v>|</v>
      </c>
    </row>
    <row r="677" spans="1:5" ht="15" customHeight="1" x14ac:dyDescent="0.3">
      <c r="A677" s="11"/>
      <c r="B677" s="11"/>
      <c r="C677" s="11"/>
      <c r="D677" s="11"/>
      <c r="E677" t="str">
        <f t="shared" si="7"/>
        <v>|</v>
      </c>
    </row>
    <row r="678" spans="1:5" ht="15" customHeight="1" x14ac:dyDescent="0.3">
      <c r="A678" s="11"/>
      <c r="B678" s="11"/>
      <c r="C678" s="11"/>
      <c r="D678" s="11"/>
      <c r="E678" t="str">
        <f t="shared" si="7"/>
        <v>|</v>
      </c>
    </row>
    <row r="679" spans="1:5" ht="15" customHeight="1" x14ac:dyDescent="0.3">
      <c r="A679" s="11"/>
      <c r="B679" s="11"/>
      <c r="C679" s="11"/>
      <c r="D679" s="11"/>
      <c r="E679" t="str">
        <f t="shared" si="7"/>
        <v>|</v>
      </c>
    </row>
    <row r="680" spans="1:5" ht="15" customHeight="1" x14ac:dyDescent="0.3">
      <c r="A680" s="11"/>
      <c r="B680" s="11"/>
      <c r="C680" s="11"/>
      <c r="D680" s="11"/>
      <c r="E680" t="str">
        <f t="shared" si="7"/>
        <v>|</v>
      </c>
    </row>
    <row r="681" spans="1:5" ht="15" customHeight="1" x14ac:dyDescent="0.3">
      <c r="A681" s="11"/>
      <c r="B681" s="11"/>
      <c r="C681" s="11"/>
      <c r="D681" s="11"/>
      <c r="E681" t="str">
        <f t="shared" si="7"/>
        <v>|</v>
      </c>
    </row>
    <row r="682" spans="1:5" ht="15" customHeight="1" x14ac:dyDescent="0.3">
      <c r="A682" s="11"/>
      <c r="B682" s="11"/>
      <c r="C682" s="11"/>
      <c r="D682" s="11"/>
      <c r="E682" t="str">
        <f t="shared" si="7"/>
        <v>|</v>
      </c>
    </row>
    <row r="683" spans="1:5" ht="15" customHeight="1" x14ac:dyDescent="0.3">
      <c r="A683" s="11"/>
      <c r="B683" s="11"/>
      <c r="C683" s="11"/>
      <c r="D683" s="11"/>
      <c r="E683" t="str">
        <f t="shared" si="7"/>
        <v>|</v>
      </c>
    </row>
    <row r="684" spans="1:5" ht="15" customHeight="1" x14ac:dyDescent="0.3">
      <c r="A684" s="11"/>
      <c r="B684" s="11"/>
      <c r="C684" s="11"/>
      <c r="D684" s="11"/>
      <c r="E684" t="str">
        <f t="shared" si="7"/>
        <v>|</v>
      </c>
    </row>
    <row r="685" spans="1:5" ht="15" customHeight="1" x14ac:dyDescent="0.3">
      <c r="A685" s="11"/>
      <c r="B685" s="11"/>
      <c r="C685" s="11"/>
      <c r="D685" s="11"/>
      <c r="E685" t="str">
        <f t="shared" si="7"/>
        <v>|</v>
      </c>
    </row>
    <row r="686" spans="1:5" ht="15" customHeight="1" x14ac:dyDescent="0.3">
      <c r="A686" s="11"/>
      <c r="B686" s="11"/>
      <c r="C686" s="11"/>
      <c r="D686" s="11"/>
      <c r="E686" t="str">
        <f t="shared" si="7"/>
        <v>|</v>
      </c>
    </row>
    <row r="687" spans="1:5" ht="15" customHeight="1" x14ac:dyDescent="0.3">
      <c r="A687" s="11"/>
      <c r="B687" s="11"/>
      <c r="C687" s="11"/>
      <c r="D687" s="11"/>
      <c r="E687" t="str">
        <f t="shared" si="7"/>
        <v>|</v>
      </c>
    </row>
    <row r="688" spans="1:5" ht="15" customHeight="1" x14ac:dyDescent="0.3">
      <c r="A688" s="11"/>
      <c r="B688" s="11"/>
      <c r="C688" s="11"/>
      <c r="D688" s="11"/>
      <c r="E688" t="str">
        <f t="shared" si="7"/>
        <v>|</v>
      </c>
    </row>
    <row r="689" spans="1:5" ht="15" customHeight="1" x14ac:dyDescent="0.3">
      <c r="A689" s="11"/>
      <c r="B689" s="11"/>
      <c r="C689" s="11"/>
      <c r="D689" s="11"/>
      <c r="E689" t="str">
        <f t="shared" si="7"/>
        <v>|</v>
      </c>
    </row>
    <row r="690" spans="1:5" ht="15" customHeight="1" x14ac:dyDescent="0.3">
      <c r="A690" s="11"/>
      <c r="B690" s="11"/>
      <c r="C690" s="11"/>
      <c r="D690" s="11"/>
      <c r="E690" t="str">
        <f t="shared" si="7"/>
        <v>|</v>
      </c>
    </row>
    <row r="691" spans="1:5" ht="15" customHeight="1" x14ac:dyDescent="0.3">
      <c r="A691" s="11"/>
      <c r="B691" s="11"/>
      <c r="C691" s="11"/>
      <c r="D691" s="11"/>
      <c r="E691" t="str">
        <f t="shared" si="7"/>
        <v>|</v>
      </c>
    </row>
    <row r="692" spans="1:5" ht="15" customHeight="1" x14ac:dyDescent="0.3">
      <c r="A692" s="11"/>
      <c r="B692" s="11"/>
      <c r="C692" s="11"/>
      <c r="D692" s="11"/>
      <c r="E692" t="str">
        <f t="shared" si="7"/>
        <v>|</v>
      </c>
    </row>
    <row r="693" spans="1:5" ht="15" customHeight="1" x14ac:dyDescent="0.3">
      <c r="A693" s="11"/>
      <c r="B693" s="11"/>
      <c r="C693" s="11"/>
      <c r="D693" s="11"/>
      <c r="E693" t="str">
        <f t="shared" si="7"/>
        <v>|</v>
      </c>
    </row>
    <row r="694" spans="1:5" ht="15" customHeight="1" x14ac:dyDescent="0.3">
      <c r="A694" s="11"/>
      <c r="B694" s="11"/>
      <c r="C694" s="11"/>
      <c r="D694" s="11"/>
      <c r="E694" t="str">
        <f t="shared" si="7"/>
        <v>|</v>
      </c>
    </row>
    <row r="695" spans="1:5" ht="15" customHeight="1" x14ac:dyDescent="0.3">
      <c r="A695" s="11"/>
      <c r="B695" s="11"/>
      <c r="C695" s="11"/>
      <c r="D695" s="11"/>
      <c r="E695" t="str">
        <f t="shared" si="7"/>
        <v>|</v>
      </c>
    </row>
    <row r="696" spans="1:5" ht="15" customHeight="1" x14ac:dyDescent="0.3">
      <c r="A696" s="11"/>
      <c r="B696" s="11"/>
      <c r="C696" s="11"/>
      <c r="D696" s="11"/>
      <c r="E696" t="str">
        <f t="shared" si="7"/>
        <v>|</v>
      </c>
    </row>
    <row r="697" spans="1:5" ht="15" customHeight="1" x14ac:dyDescent="0.3">
      <c r="A697" s="11"/>
      <c r="B697" s="11"/>
      <c r="C697" s="11"/>
      <c r="D697" s="11"/>
      <c r="E697" t="str">
        <f t="shared" si="7"/>
        <v>|</v>
      </c>
    </row>
    <row r="698" spans="1:5" ht="15" customHeight="1" x14ac:dyDescent="0.3">
      <c r="A698" s="11"/>
      <c r="B698" s="11"/>
      <c r="C698" s="11"/>
      <c r="D698" s="11"/>
      <c r="E698" t="str">
        <f t="shared" si="7"/>
        <v>|</v>
      </c>
    </row>
    <row r="699" spans="1:5" ht="15" customHeight="1" x14ac:dyDescent="0.3">
      <c r="A699" s="11"/>
      <c r="B699" s="11"/>
      <c r="C699" s="11"/>
      <c r="D699" s="11"/>
      <c r="E699" t="str">
        <f t="shared" si="7"/>
        <v>|</v>
      </c>
    </row>
    <row r="700" spans="1:5" ht="15" customHeight="1" x14ac:dyDescent="0.3">
      <c r="A700" s="11"/>
      <c r="B700" s="11"/>
      <c r="C700" s="11"/>
      <c r="D700" s="11"/>
      <c r="E700" t="str">
        <f t="shared" si="7"/>
        <v>|</v>
      </c>
    </row>
    <row r="701" spans="1:5" ht="15" customHeight="1" x14ac:dyDescent="0.3">
      <c r="A701" s="11"/>
      <c r="B701" s="11"/>
      <c r="C701" s="11"/>
      <c r="D701" s="11"/>
      <c r="E701" t="str">
        <f t="shared" si="7"/>
        <v>|</v>
      </c>
    </row>
    <row r="702" spans="1:5" ht="15" customHeight="1" x14ac:dyDescent="0.3">
      <c r="A702" s="11"/>
      <c r="B702" s="11"/>
      <c r="C702" s="11"/>
      <c r="D702" s="11"/>
      <c r="E702" t="str">
        <f t="shared" ref="E702:E765" si="8">A702&amp;"|"&amp;B702</f>
        <v>|</v>
      </c>
    </row>
    <row r="703" spans="1:5" ht="15" customHeight="1" x14ac:dyDescent="0.3">
      <c r="A703" s="11"/>
      <c r="B703" s="11"/>
      <c r="C703" s="11"/>
      <c r="D703" s="11"/>
      <c r="E703" t="str">
        <f t="shared" si="8"/>
        <v>|</v>
      </c>
    </row>
    <row r="704" spans="1:5" ht="15" customHeight="1" x14ac:dyDescent="0.3">
      <c r="A704" s="11"/>
      <c r="B704" s="11"/>
      <c r="C704" s="11"/>
      <c r="D704" s="11"/>
      <c r="E704" t="str">
        <f t="shared" si="8"/>
        <v>|</v>
      </c>
    </row>
    <row r="705" spans="1:5" ht="15" customHeight="1" x14ac:dyDescent="0.3">
      <c r="A705" s="11"/>
      <c r="B705" s="11"/>
      <c r="C705" s="11"/>
      <c r="D705" s="11"/>
      <c r="E705" t="str">
        <f t="shared" si="8"/>
        <v>|</v>
      </c>
    </row>
    <row r="706" spans="1:5" ht="15" customHeight="1" x14ac:dyDescent="0.3">
      <c r="A706" s="11"/>
      <c r="B706" s="11"/>
      <c r="C706" s="11"/>
      <c r="D706" s="11"/>
      <c r="E706" t="str">
        <f t="shared" si="8"/>
        <v>|</v>
      </c>
    </row>
    <row r="707" spans="1:5" ht="15" customHeight="1" x14ac:dyDescent="0.3">
      <c r="A707" s="11"/>
      <c r="B707" s="11"/>
      <c r="C707" s="11"/>
      <c r="D707" s="11"/>
      <c r="E707" t="str">
        <f t="shared" si="8"/>
        <v>|</v>
      </c>
    </row>
    <row r="708" spans="1:5" ht="15" customHeight="1" x14ac:dyDescent="0.3">
      <c r="A708" s="11"/>
      <c r="B708" s="11"/>
      <c r="C708" s="11"/>
      <c r="D708" s="11"/>
      <c r="E708" t="str">
        <f t="shared" si="8"/>
        <v>|</v>
      </c>
    </row>
    <row r="709" spans="1:5" ht="15" customHeight="1" x14ac:dyDescent="0.3">
      <c r="A709" s="11"/>
      <c r="B709" s="11"/>
      <c r="C709" s="11"/>
      <c r="D709" s="11"/>
      <c r="E709" t="str">
        <f t="shared" si="8"/>
        <v>|</v>
      </c>
    </row>
    <row r="710" spans="1:5" ht="15" customHeight="1" x14ac:dyDescent="0.3">
      <c r="A710" s="11"/>
      <c r="B710" s="11"/>
      <c r="C710" s="11"/>
      <c r="D710" s="11"/>
      <c r="E710" t="str">
        <f t="shared" si="8"/>
        <v>|</v>
      </c>
    </row>
    <row r="711" spans="1:5" ht="15" customHeight="1" x14ac:dyDescent="0.3">
      <c r="A711" s="11"/>
      <c r="B711" s="11"/>
      <c r="C711" s="11"/>
      <c r="D711" s="11"/>
      <c r="E711" t="str">
        <f t="shared" si="8"/>
        <v>|</v>
      </c>
    </row>
    <row r="712" spans="1:5" ht="15" customHeight="1" x14ac:dyDescent="0.3">
      <c r="A712" s="11"/>
      <c r="B712" s="11"/>
      <c r="C712" s="11"/>
      <c r="D712" s="11"/>
      <c r="E712" t="str">
        <f t="shared" si="8"/>
        <v>|</v>
      </c>
    </row>
    <row r="713" spans="1:5" ht="15" customHeight="1" x14ac:dyDescent="0.3">
      <c r="A713" s="11"/>
      <c r="B713" s="11"/>
      <c r="C713" s="11"/>
      <c r="D713" s="11"/>
      <c r="E713" t="str">
        <f t="shared" si="8"/>
        <v>|</v>
      </c>
    </row>
    <row r="714" spans="1:5" ht="15" customHeight="1" x14ac:dyDescent="0.3">
      <c r="A714" s="11"/>
      <c r="B714" s="11"/>
      <c r="C714" s="11"/>
      <c r="D714" s="11"/>
      <c r="E714" t="str">
        <f t="shared" si="8"/>
        <v>|</v>
      </c>
    </row>
    <row r="715" spans="1:5" ht="15" customHeight="1" x14ac:dyDescent="0.3">
      <c r="A715" s="11"/>
      <c r="B715" s="11"/>
      <c r="C715" s="11"/>
      <c r="D715" s="11"/>
      <c r="E715" t="str">
        <f t="shared" si="8"/>
        <v>|</v>
      </c>
    </row>
    <row r="716" spans="1:5" ht="15" customHeight="1" x14ac:dyDescent="0.3">
      <c r="A716" s="11"/>
      <c r="B716" s="11"/>
      <c r="C716" s="11"/>
      <c r="D716" s="11"/>
      <c r="E716" t="str">
        <f t="shared" si="8"/>
        <v>|</v>
      </c>
    </row>
    <row r="717" spans="1:5" ht="15" customHeight="1" x14ac:dyDescent="0.3">
      <c r="A717" s="11"/>
      <c r="B717" s="11"/>
      <c r="C717" s="11"/>
      <c r="D717" s="11"/>
      <c r="E717" t="str">
        <f t="shared" si="8"/>
        <v>|</v>
      </c>
    </row>
    <row r="718" spans="1:5" ht="15" customHeight="1" x14ac:dyDescent="0.3">
      <c r="A718" s="11"/>
      <c r="B718" s="11"/>
      <c r="C718" s="11"/>
      <c r="D718" s="11"/>
      <c r="E718" t="str">
        <f t="shared" si="8"/>
        <v>|</v>
      </c>
    </row>
    <row r="719" spans="1:5" ht="15" customHeight="1" x14ac:dyDescent="0.3">
      <c r="A719" s="11"/>
      <c r="B719" s="11"/>
      <c r="C719" s="11"/>
      <c r="D719" s="11"/>
      <c r="E719" t="str">
        <f t="shared" si="8"/>
        <v>|</v>
      </c>
    </row>
    <row r="720" spans="1:5" ht="15" customHeight="1" x14ac:dyDescent="0.3">
      <c r="A720" s="11"/>
      <c r="B720" s="11"/>
      <c r="C720" s="11"/>
      <c r="D720" s="11"/>
      <c r="E720" t="str">
        <f t="shared" si="8"/>
        <v>|</v>
      </c>
    </row>
    <row r="721" spans="1:5" ht="15" customHeight="1" x14ac:dyDescent="0.3">
      <c r="A721" s="11"/>
      <c r="B721" s="11"/>
      <c r="C721" s="11"/>
      <c r="D721" s="11"/>
      <c r="E721" t="str">
        <f t="shared" si="8"/>
        <v>|</v>
      </c>
    </row>
    <row r="722" spans="1:5" ht="15" customHeight="1" x14ac:dyDescent="0.3">
      <c r="A722" s="11"/>
      <c r="B722" s="11"/>
      <c r="C722" s="11"/>
      <c r="D722" s="11"/>
      <c r="E722" t="str">
        <f t="shared" si="8"/>
        <v>|</v>
      </c>
    </row>
    <row r="723" spans="1:5" ht="15" customHeight="1" x14ac:dyDescent="0.3">
      <c r="A723" s="11"/>
      <c r="B723" s="11"/>
      <c r="C723" s="11"/>
      <c r="D723" s="11"/>
      <c r="E723" t="str">
        <f t="shared" si="8"/>
        <v>|</v>
      </c>
    </row>
    <row r="724" spans="1:5" ht="15" customHeight="1" x14ac:dyDescent="0.3">
      <c r="A724" s="11"/>
      <c r="B724" s="11"/>
      <c r="C724" s="11"/>
      <c r="D724" s="11"/>
      <c r="E724" t="str">
        <f t="shared" si="8"/>
        <v>|</v>
      </c>
    </row>
    <row r="725" spans="1:5" ht="15" customHeight="1" x14ac:dyDescent="0.3">
      <c r="A725" s="11"/>
      <c r="B725" s="11"/>
      <c r="C725" s="11"/>
      <c r="D725" s="11"/>
      <c r="E725" t="str">
        <f t="shared" si="8"/>
        <v>|</v>
      </c>
    </row>
    <row r="726" spans="1:5" ht="15" customHeight="1" x14ac:dyDescent="0.3">
      <c r="A726" s="11"/>
      <c r="B726" s="11"/>
      <c r="C726" s="11"/>
      <c r="D726" s="11"/>
      <c r="E726" t="str">
        <f t="shared" si="8"/>
        <v>|</v>
      </c>
    </row>
    <row r="727" spans="1:5" ht="15" customHeight="1" x14ac:dyDescent="0.3">
      <c r="A727" s="11"/>
      <c r="B727" s="11"/>
      <c r="C727" s="11"/>
      <c r="D727" s="11"/>
      <c r="E727" t="str">
        <f t="shared" si="8"/>
        <v>|</v>
      </c>
    </row>
    <row r="728" spans="1:5" ht="15" customHeight="1" x14ac:dyDescent="0.3">
      <c r="A728" s="11"/>
      <c r="B728" s="11"/>
      <c r="C728" s="11"/>
      <c r="D728" s="11"/>
      <c r="E728" t="str">
        <f t="shared" si="8"/>
        <v>|</v>
      </c>
    </row>
    <row r="729" spans="1:5" ht="15" customHeight="1" x14ac:dyDescent="0.3">
      <c r="A729" s="11"/>
      <c r="B729" s="11"/>
      <c r="C729" s="11"/>
      <c r="D729" s="11"/>
      <c r="E729" t="str">
        <f t="shared" si="8"/>
        <v>|</v>
      </c>
    </row>
    <row r="730" spans="1:5" ht="15" customHeight="1" x14ac:dyDescent="0.3">
      <c r="A730" s="11"/>
      <c r="B730" s="11"/>
      <c r="C730" s="11"/>
      <c r="D730" s="11"/>
      <c r="E730" t="str">
        <f t="shared" si="8"/>
        <v>|</v>
      </c>
    </row>
    <row r="731" spans="1:5" ht="15" customHeight="1" x14ac:dyDescent="0.3">
      <c r="A731" s="11"/>
      <c r="B731" s="11"/>
      <c r="C731" s="11"/>
      <c r="D731" s="11"/>
      <c r="E731" t="str">
        <f t="shared" si="8"/>
        <v>|</v>
      </c>
    </row>
    <row r="732" spans="1:5" ht="15" customHeight="1" x14ac:dyDescent="0.3">
      <c r="A732" s="11"/>
      <c r="B732" s="11"/>
      <c r="C732" s="11"/>
      <c r="D732" s="11"/>
      <c r="E732" t="str">
        <f t="shared" si="8"/>
        <v>|</v>
      </c>
    </row>
    <row r="733" spans="1:5" ht="15" customHeight="1" x14ac:dyDescent="0.3">
      <c r="A733" s="11"/>
      <c r="B733" s="11"/>
      <c r="C733" s="11"/>
      <c r="D733" s="11"/>
      <c r="E733" t="str">
        <f t="shared" si="8"/>
        <v>|</v>
      </c>
    </row>
    <row r="734" spans="1:5" ht="15" customHeight="1" x14ac:dyDescent="0.3">
      <c r="A734" s="11"/>
      <c r="B734" s="11"/>
      <c r="C734" s="11"/>
      <c r="D734" s="11"/>
      <c r="E734" t="str">
        <f t="shared" si="8"/>
        <v>|</v>
      </c>
    </row>
    <row r="735" spans="1:5" ht="15" customHeight="1" x14ac:dyDescent="0.3">
      <c r="A735" s="11"/>
      <c r="B735" s="11"/>
      <c r="C735" s="11"/>
      <c r="D735" s="11"/>
      <c r="E735" t="str">
        <f t="shared" si="8"/>
        <v>|</v>
      </c>
    </row>
    <row r="736" spans="1:5" ht="15" customHeight="1" x14ac:dyDescent="0.3">
      <c r="A736" s="11"/>
      <c r="B736" s="11"/>
      <c r="C736" s="11"/>
      <c r="D736" s="11"/>
      <c r="E736" t="str">
        <f t="shared" si="8"/>
        <v>|</v>
      </c>
    </row>
    <row r="737" spans="1:5" ht="15" customHeight="1" x14ac:dyDescent="0.3">
      <c r="A737" s="11"/>
      <c r="B737" s="11"/>
      <c r="C737" s="11"/>
      <c r="D737" s="11"/>
      <c r="E737" t="str">
        <f t="shared" si="8"/>
        <v>|</v>
      </c>
    </row>
    <row r="738" spans="1:5" ht="15" customHeight="1" x14ac:dyDescent="0.3">
      <c r="A738" s="11"/>
      <c r="B738" s="11"/>
      <c r="C738" s="11"/>
      <c r="D738" s="11"/>
      <c r="E738" t="str">
        <f t="shared" si="8"/>
        <v>|</v>
      </c>
    </row>
    <row r="739" spans="1:5" ht="15" customHeight="1" x14ac:dyDescent="0.3">
      <c r="A739" s="11"/>
      <c r="B739" s="11"/>
      <c r="C739" s="11"/>
      <c r="D739" s="11"/>
      <c r="E739" t="str">
        <f t="shared" si="8"/>
        <v>|</v>
      </c>
    </row>
    <row r="740" spans="1:5" ht="15" customHeight="1" x14ac:dyDescent="0.3">
      <c r="A740" s="11"/>
      <c r="B740" s="11"/>
      <c r="C740" s="11"/>
      <c r="D740" s="11"/>
      <c r="E740" t="str">
        <f t="shared" si="8"/>
        <v>|</v>
      </c>
    </row>
    <row r="741" spans="1:5" ht="15" customHeight="1" x14ac:dyDescent="0.3">
      <c r="A741" s="11"/>
      <c r="B741" s="11"/>
      <c r="C741" s="11"/>
      <c r="D741" s="11"/>
      <c r="E741" t="str">
        <f t="shared" si="8"/>
        <v>|</v>
      </c>
    </row>
    <row r="742" spans="1:5" ht="15" customHeight="1" x14ac:dyDescent="0.3">
      <c r="A742" s="11"/>
      <c r="B742" s="11"/>
      <c r="C742" s="11"/>
      <c r="D742" s="11"/>
      <c r="E742" t="str">
        <f t="shared" si="8"/>
        <v>|</v>
      </c>
    </row>
    <row r="743" spans="1:5" ht="15" customHeight="1" x14ac:dyDescent="0.3">
      <c r="A743" s="11"/>
      <c r="B743" s="11"/>
      <c r="C743" s="11"/>
      <c r="D743" s="11"/>
      <c r="E743" t="str">
        <f t="shared" si="8"/>
        <v>|</v>
      </c>
    </row>
    <row r="744" spans="1:5" ht="15" customHeight="1" x14ac:dyDescent="0.3">
      <c r="A744" s="11"/>
      <c r="B744" s="11"/>
      <c r="C744" s="11"/>
      <c r="D744" s="11"/>
      <c r="E744" t="str">
        <f t="shared" si="8"/>
        <v>|</v>
      </c>
    </row>
    <row r="745" spans="1:5" ht="15" customHeight="1" x14ac:dyDescent="0.3">
      <c r="A745" s="11"/>
      <c r="B745" s="11"/>
      <c r="C745" s="11"/>
      <c r="D745" s="11"/>
      <c r="E745" t="str">
        <f t="shared" si="8"/>
        <v>|</v>
      </c>
    </row>
    <row r="746" spans="1:5" ht="15" customHeight="1" x14ac:dyDescent="0.3">
      <c r="A746" s="11"/>
      <c r="B746" s="11"/>
      <c r="C746" s="11"/>
      <c r="D746" s="11"/>
      <c r="E746" t="str">
        <f t="shared" si="8"/>
        <v>|</v>
      </c>
    </row>
    <row r="747" spans="1:5" ht="15" customHeight="1" x14ac:dyDescent="0.3">
      <c r="A747" s="11"/>
      <c r="B747" s="11"/>
      <c r="C747" s="11"/>
      <c r="D747" s="11"/>
      <c r="E747" t="str">
        <f t="shared" si="8"/>
        <v>|</v>
      </c>
    </row>
    <row r="748" spans="1:5" ht="15" customHeight="1" x14ac:dyDescent="0.3">
      <c r="A748" s="11"/>
      <c r="B748" s="11"/>
      <c r="C748" s="11"/>
      <c r="D748" s="11"/>
      <c r="E748" t="str">
        <f t="shared" si="8"/>
        <v>|</v>
      </c>
    </row>
    <row r="749" spans="1:5" ht="15" customHeight="1" x14ac:dyDescent="0.3">
      <c r="A749" s="11"/>
      <c r="B749" s="11"/>
      <c r="C749" s="11"/>
      <c r="D749" s="11"/>
      <c r="E749" t="str">
        <f t="shared" si="8"/>
        <v>|</v>
      </c>
    </row>
    <row r="750" spans="1:5" ht="15" customHeight="1" x14ac:dyDescent="0.3">
      <c r="A750" s="11"/>
      <c r="B750" s="11"/>
      <c r="C750" s="11"/>
      <c r="D750" s="11"/>
      <c r="E750" t="str">
        <f t="shared" si="8"/>
        <v>|</v>
      </c>
    </row>
    <row r="751" spans="1:5" ht="15" customHeight="1" x14ac:dyDescent="0.3">
      <c r="A751" s="11"/>
      <c r="B751" s="11"/>
      <c r="C751" s="11"/>
      <c r="D751" s="11"/>
      <c r="E751" t="str">
        <f t="shared" si="8"/>
        <v>|</v>
      </c>
    </row>
    <row r="752" spans="1:5" ht="15" customHeight="1" x14ac:dyDescent="0.3">
      <c r="A752" s="11"/>
      <c r="B752" s="11"/>
      <c r="C752" s="11"/>
      <c r="D752" s="11"/>
      <c r="E752" t="str">
        <f t="shared" si="8"/>
        <v>|</v>
      </c>
    </row>
    <row r="753" spans="1:5" ht="15" customHeight="1" x14ac:dyDescent="0.3">
      <c r="A753" s="11"/>
      <c r="B753" s="11"/>
      <c r="C753" s="11"/>
      <c r="D753" s="11"/>
      <c r="E753" t="str">
        <f t="shared" si="8"/>
        <v>|</v>
      </c>
    </row>
    <row r="754" spans="1:5" ht="15" customHeight="1" x14ac:dyDescent="0.3">
      <c r="A754" s="11"/>
      <c r="B754" s="11"/>
      <c r="C754" s="11"/>
      <c r="D754" s="11"/>
      <c r="E754" t="str">
        <f t="shared" si="8"/>
        <v>|</v>
      </c>
    </row>
    <row r="755" spans="1:5" ht="15" customHeight="1" x14ac:dyDescent="0.3">
      <c r="A755" s="11"/>
      <c r="B755" s="11"/>
      <c r="C755" s="11"/>
      <c r="D755" s="11"/>
      <c r="E755" t="str">
        <f t="shared" si="8"/>
        <v>|</v>
      </c>
    </row>
    <row r="756" spans="1:5" ht="15" customHeight="1" x14ac:dyDescent="0.3">
      <c r="A756" s="11"/>
      <c r="B756" s="11"/>
      <c r="C756" s="11"/>
      <c r="D756" s="11"/>
      <c r="E756" t="str">
        <f t="shared" si="8"/>
        <v>|</v>
      </c>
    </row>
    <row r="757" spans="1:5" ht="15" customHeight="1" x14ac:dyDescent="0.3">
      <c r="A757" s="11"/>
      <c r="B757" s="11"/>
      <c r="C757" s="11"/>
      <c r="D757" s="11"/>
      <c r="E757" t="str">
        <f t="shared" si="8"/>
        <v>|</v>
      </c>
    </row>
    <row r="758" spans="1:5" ht="15" customHeight="1" x14ac:dyDescent="0.3">
      <c r="A758" s="11"/>
      <c r="B758" s="11"/>
      <c r="C758" s="11"/>
      <c r="D758" s="11"/>
      <c r="E758" t="str">
        <f t="shared" si="8"/>
        <v>|</v>
      </c>
    </row>
    <row r="759" spans="1:5" ht="15" customHeight="1" x14ac:dyDescent="0.3">
      <c r="A759" s="11"/>
      <c r="B759" s="11"/>
      <c r="C759" s="11"/>
      <c r="D759" s="11"/>
      <c r="E759" t="str">
        <f t="shared" si="8"/>
        <v>|</v>
      </c>
    </row>
    <row r="760" spans="1:5" ht="15" customHeight="1" x14ac:dyDescent="0.3">
      <c r="A760" s="11"/>
      <c r="B760" s="11"/>
      <c r="C760" s="11"/>
      <c r="D760" s="11"/>
      <c r="E760" t="str">
        <f t="shared" si="8"/>
        <v>|</v>
      </c>
    </row>
    <row r="761" spans="1:5" ht="15" customHeight="1" x14ac:dyDescent="0.3">
      <c r="A761" s="11"/>
      <c r="B761" s="11"/>
      <c r="C761" s="11"/>
      <c r="D761" s="11"/>
      <c r="E761" t="str">
        <f t="shared" si="8"/>
        <v>|</v>
      </c>
    </row>
    <row r="762" spans="1:5" ht="15" customHeight="1" x14ac:dyDescent="0.3">
      <c r="A762" s="11"/>
      <c r="B762" s="11"/>
      <c r="C762" s="11"/>
      <c r="D762" s="11"/>
      <c r="E762" t="str">
        <f t="shared" si="8"/>
        <v>|</v>
      </c>
    </row>
    <row r="763" spans="1:5" ht="15" customHeight="1" x14ac:dyDescent="0.3">
      <c r="A763" s="11"/>
      <c r="B763" s="11"/>
      <c r="C763" s="11"/>
      <c r="D763" s="11"/>
      <c r="E763" t="str">
        <f t="shared" si="8"/>
        <v>|</v>
      </c>
    </row>
    <row r="764" spans="1:5" ht="15" customHeight="1" x14ac:dyDescent="0.3">
      <c r="A764" s="11"/>
      <c r="B764" s="11"/>
      <c r="C764" s="11"/>
      <c r="D764" s="11"/>
      <c r="E764" t="str">
        <f t="shared" si="8"/>
        <v>|</v>
      </c>
    </row>
    <row r="765" spans="1:5" ht="15" customHeight="1" x14ac:dyDescent="0.3">
      <c r="A765" s="11"/>
      <c r="B765" s="11"/>
      <c r="C765" s="11"/>
      <c r="D765" s="11"/>
      <c r="E765" t="str">
        <f t="shared" si="8"/>
        <v>|</v>
      </c>
    </row>
    <row r="766" spans="1:5" ht="15" customHeight="1" x14ac:dyDescent="0.3">
      <c r="A766" s="11"/>
      <c r="B766" s="11"/>
      <c r="C766" s="11"/>
      <c r="D766" s="11"/>
      <c r="E766" t="str">
        <f t="shared" ref="E766:E829" si="9">A766&amp;"|"&amp;B766</f>
        <v>|</v>
      </c>
    </row>
    <row r="767" spans="1:5" ht="15" customHeight="1" x14ac:dyDescent="0.3">
      <c r="A767" s="11"/>
      <c r="B767" s="11"/>
      <c r="C767" s="11"/>
      <c r="D767" s="11"/>
      <c r="E767" t="str">
        <f t="shared" si="9"/>
        <v>|</v>
      </c>
    </row>
    <row r="768" spans="1:5" ht="15" customHeight="1" x14ac:dyDescent="0.3">
      <c r="A768" s="11"/>
      <c r="B768" s="11"/>
      <c r="C768" s="11"/>
      <c r="D768" s="11"/>
      <c r="E768" t="str">
        <f t="shared" si="9"/>
        <v>|</v>
      </c>
    </row>
    <row r="769" spans="1:5" ht="15" customHeight="1" x14ac:dyDescent="0.3">
      <c r="A769" s="11"/>
      <c r="B769" s="11"/>
      <c r="C769" s="11"/>
      <c r="D769" s="11"/>
      <c r="E769" t="str">
        <f t="shared" si="9"/>
        <v>|</v>
      </c>
    </row>
    <row r="770" spans="1:5" ht="15" customHeight="1" x14ac:dyDescent="0.3">
      <c r="A770" s="11"/>
      <c r="B770" s="11"/>
      <c r="C770" s="11"/>
      <c r="D770" s="11"/>
      <c r="E770" t="str">
        <f t="shared" si="9"/>
        <v>|</v>
      </c>
    </row>
    <row r="771" spans="1:5" ht="15" customHeight="1" x14ac:dyDescent="0.3">
      <c r="A771" s="11"/>
      <c r="B771" s="11"/>
      <c r="C771" s="11"/>
      <c r="D771" s="11"/>
      <c r="E771" t="str">
        <f t="shared" si="9"/>
        <v>|</v>
      </c>
    </row>
    <row r="772" spans="1:5" ht="15" customHeight="1" x14ac:dyDescent="0.3">
      <c r="A772" s="11"/>
      <c r="B772" s="11"/>
      <c r="C772" s="11"/>
      <c r="D772" s="11"/>
      <c r="E772" t="str">
        <f t="shared" si="9"/>
        <v>|</v>
      </c>
    </row>
    <row r="773" spans="1:5" ht="15" customHeight="1" x14ac:dyDescent="0.3">
      <c r="A773" s="11"/>
      <c r="B773" s="11"/>
      <c r="C773" s="11"/>
      <c r="D773" s="11"/>
      <c r="E773" t="str">
        <f t="shared" si="9"/>
        <v>|</v>
      </c>
    </row>
    <row r="774" spans="1:5" ht="15" customHeight="1" x14ac:dyDescent="0.3">
      <c r="A774" s="11"/>
      <c r="B774" s="11"/>
      <c r="C774" s="11"/>
      <c r="D774" s="11"/>
      <c r="E774" t="str">
        <f t="shared" si="9"/>
        <v>|</v>
      </c>
    </row>
    <row r="775" spans="1:5" ht="15" customHeight="1" x14ac:dyDescent="0.3">
      <c r="A775" s="11"/>
      <c r="B775" s="11"/>
      <c r="C775" s="11"/>
      <c r="D775" s="11"/>
      <c r="E775" t="str">
        <f t="shared" si="9"/>
        <v>|</v>
      </c>
    </row>
    <row r="776" spans="1:5" ht="15" customHeight="1" x14ac:dyDescent="0.3">
      <c r="A776" s="11"/>
      <c r="B776" s="11"/>
      <c r="C776" s="11"/>
      <c r="D776" s="11"/>
      <c r="E776" t="str">
        <f t="shared" si="9"/>
        <v>|</v>
      </c>
    </row>
    <row r="777" spans="1:5" ht="15" customHeight="1" x14ac:dyDescent="0.3">
      <c r="A777" s="11"/>
      <c r="B777" s="11"/>
      <c r="C777" s="11"/>
      <c r="D777" s="11"/>
      <c r="E777" t="str">
        <f t="shared" si="9"/>
        <v>|</v>
      </c>
    </row>
    <row r="778" spans="1:5" ht="15" customHeight="1" x14ac:dyDescent="0.3">
      <c r="A778" s="11"/>
      <c r="B778" s="11"/>
      <c r="C778" s="11"/>
      <c r="D778" s="11"/>
      <c r="E778" t="str">
        <f t="shared" si="9"/>
        <v>|</v>
      </c>
    </row>
    <row r="779" spans="1:5" ht="15" customHeight="1" x14ac:dyDescent="0.3">
      <c r="A779" s="11"/>
      <c r="B779" s="11"/>
      <c r="C779" s="11"/>
      <c r="D779" s="11"/>
      <c r="E779" t="str">
        <f t="shared" si="9"/>
        <v>|</v>
      </c>
    </row>
    <row r="780" spans="1:5" ht="15" customHeight="1" x14ac:dyDescent="0.3">
      <c r="A780" s="11"/>
      <c r="B780" s="11"/>
      <c r="C780" s="11"/>
      <c r="D780" s="11"/>
      <c r="E780" t="str">
        <f t="shared" si="9"/>
        <v>|</v>
      </c>
    </row>
    <row r="781" spans="1:5" ht="15" customHeight="1" x14ac:dyDescent="0.3">
      <c r="A781" s="11"/>
      <c r="B781" s="11"/>
      <c r="C781" s="11"/>
      <c r="D781" s="11"/>
      <c r="E781" t="str">
        <f t="shared" si="9"/>
        <v>|</v>
      </c>
    </row>
    <row r="782" spans="1:5" ht="15" customHeight="1" x14ac:dyDescent="0.3">
      <c r="A782" s="11"/>
      <c r="B782" s="11"/>
      <c r="C782" s="11"/>
      <c r="D782" s="11"/>
      <c r="E782" t="str">
        <f t="shared" si="9"/>
        <v>|</v>
      </c>
    </row>
    <row r="783" spans="1:5" ht="15" customHeight="1" x14ac:dyDescent="0.3">
      <c r="A783" s="11"/>
      <c r="B783" s="11"/>
      <c r="C783" s="11"/>
      <c r="D783" s="11"/>
      <c r="E783" t="str">
        <f t="shared" si="9"/>
        <v>|</v>
      </c>
    </row>
    <row r="784" spans="1:5" ht="15" customHeight="1" x14ac:dyDescent="0.3">
      <c r="A784" s="11"/>
      <c r="B784" s="11"/>
      <c r="C784" s="11"/>
      <c r="D784" s="11"/>
      <c r="E784" t="str">
        <f t="shared" si="9"/>
        <v>|</v>
      </c>
    </row>
    <row r="785" spans="1:5" ht="15" customHeight="1" x14ac:dyDescent="0.3">
      <c r="A785" s="11"/>
      <c r="B785" s="11"/>
      <c r="C785" s="11"/>
      <c r="D785" s="11"/>
      <c r="E785" t="str">
        <f t="shared" si="9"/>
        <v>|</v>
      </c>
    </row>
    <row r="786" spans="1:5" ht="15" customHeight="1" x14ac:dyDescent="0.3">
      <c r="A786" s="11"/>
      <c r="B786" s="11"/>
      <c r="C786" s="11"/>
      <c r="D786" s="11"/>
      <c r="E786" t="str">
        <f t="shared" si="9"/>
        <v>|</v>
      </c>
    </row>
    <row r="787" spans="1:5" ht="15" customHeight="1" x14ac:dyDescent="0.3">
      <c r="A787" s="11"/>
      <c r="B787" s="11"/>
      <c r="C787" s="11"/>
      <c r="D787" s="11"/>
      <c r="E787" t="str">
        <f t="shared" si="9"/>
        <v>|</v>
      </c>
    </row>
    <row r="788" spans="1:5" ht="15" customHeight="1" x14ac:dyDescent="0.3">
      <c r="A788" s="11"/>
      <c r="B788" s="11"/>
      <c r="C788" s="11"/>
      <c r="D788" s="11"/>
      <c r="E788" t="str">
        <f t="shared" si="9"/>
        <v>|</v>
      </c>
    </row>
    <row r="789" spans="1:5" ht="15" customHeight="1" x14ac:dyDescent="0.3">
      <c r="A789" s="11"/>
      <c r="B789" s="11"/>
      <c r="C789" s="11"/>
      <c r="D789" s="11"/>
      <c r="E789" t="str">
        <f t="shared" si="9"/>
        <v>|</v>
      </c>
    </row>
    <row r="790" spans="1:5" ht="15" customHeight="1" x14ac:dyDescent="0.3">
      <c r="A790" s="11"/>
      <c r="B790" s="11"/>
      <c r="C790" s="11"/>
      <c r="D790" s="11"/>
      <c r="E790" t="str">
        <f t="shared" si="9"/>
        <v>|</v>
      </c>
    </row>
    <row r="791" spans="1:5" ht="15" customHeight="1" x14ac:dyDescent="0.3">
      <c r="A791" s="11"/>
      <c r="B791" s="11"/>
      <c r="C791" s="11"/>
      <c r="D791" s="11"/>
      <c r="E791" t="str">
        <f t="shared" si="9"/>
        <v>|</v>
      </c>
    </row>
    <row r="792" spans="1:5" ht="15" customHeight="1" x14ac:dyDescent="0.3">
      <c r="A792" s="11"/>
      <c r="B792" s="11"/>
      <c r="C792" s="11"/>
      <c r="D792" s="11"/>
      <c r="E792" t="str">
        <f t="shared" si="9"/>
        <v>|</v>
      </c>
    </row>
    <row r="793" spans="1:5" ht="15" customHeight="1" x14ac:dyDescent="0.3">
      <c r="A793" s="11"/>
      <c r="B793" s="11"/>
      <c r="C793" s="11"/>
      <c r="D793" s="11"/>
      <c r="E793" t="str">
        <f t="shared" si="9"/>
        <v>|</v>
      </c>
    </row>
    <row r="794" spans="1:5" ht="15" customHeight="1" x14ac:dyDescent="0.3">
      <c r="A794" s="11"/>
      <c r="B794" s="11"/>
      <c r="C794" s="11"/>
      <c r="D794" s="11"/>
      <c r="E794" t="str">
        <f t="shared" si="9"/>
        <v>|</v>
      </c>
    </row>
    <row r="795" spans="1:5" ht="15" customHeight="1" x14ac:dyDescent="0.3">
      <c r="A795" s="11"/>
      <c r="B795" s="11"/>
      <c r="C795" s="11"/>
      <c r="D795" s="11"/>
      <c r="E795" t="str">
        <f t="shared" si="9"/>
        <v>|</v>
      </c>
    </row>
    <row r="796" spans="1:5" ht="15" customHeight="1" x14ac:dyDescent="0.3">
      <c r="A796" s="11"/>
      <c r="B796" s="11"/>
      <c r="C796" s="11"/>
      <c r="D796" s="11"/>
      <c r="E796" t="str">
        <f t="shared" si="9"/>
        <v>|</v>
      </c>
    </row>
    <row r="797" spans="1:5" ht="15" customHeight="1" x14ac:dyDescent="0.3">
      <c r="A797" s="11"/>
      <c r="B797" s="11"/>
      <c r="C797" s="11"/>
      <c r="D797" s="11"/>
      <c r="E797" t="str">
        <f t="shared" si="9"/>
        <v>|</v>
      </c>
    </row>
    <row r="798" spans="1:5" ht="15" customHeight="1" x14ac:dyDescent="0.3">
      <c r="A798" s="11"/>
      <c r="B798" s="11"/>
      <c r="C798" s="11"/>
      <c r="D798" s="11"/>
      <c r="E798" t="str">
        <f t="shared" si="9"/>
        <v>|</v>
      </c>
    </row>
    <row r="799" spans="1:5" ht="15" customHeight="1" x14ac:dyDescent="0.3">
      <c r="A799" s="11"/>
      <c r="B799" s="11"/>
      <c r="C799" s="11"/>
      <c r="D799" s="11"/>
      <c r="E799" t="str">
        <f t="shared" si="9"/>
        <v>|</v>
      </c>
    </row>
    <row r="800" spans="1:5" ht="15" customHeight="1" x14ac:dyDescent="0.3">
      <c r="A800" s="11"/>
      <c r="B800" s="11"/>
      <c r="C800" s="11"/>
      <c r="D800" s="11"/>
      <c r="E800" t="str">
        <f t="shared" si="9"/>
        <v>|</v>
      </c>
    </row>
    <row r="801" spans="1:5" ht="15" customHeight="1" x14ac:dyDescent="0.3">
      <c r="A801" s="11"/>
      <c r="B801" s="11"/>
      <c r="C801" s="11"/>
      <c r="D801" s="11"/>
      <c r="E801" t="str">
        <f t="shared" si="9"/>
        <v>|</v>
      </c>
    </row>
    <row r="802" spans="1:5" ht="15" customHeight="1" x14ac:dyDescent="0.3">
      <c r="A802" s="11"/>
      <c r="B802" s="11"/>
      <c r="C802" s="11"/>
      <c r="D802" s="11"/>
      <c r="E802" t="str">
        <f t="shared" si="9"/>
        <v>|</v>
      </c>
    </row>
    <row r="803" spans="1:5" ht="15" customHeight="1" x14ac:dyDescent="0.3">
      <c r="A803" s="11"/>
      <c r="B803" s="11"/>
      <c r="C803" s="11"/>
      <c r="D803" s="11"/>
      <c r="E803" t="str">
        <f t="shared" si="9"/>
        <v>|</v>
      </c>
    </row>
    <row r="804" spans="1:5" ht="15" customHeight="1" x14ac:dyDescent="0.3">
      <c r="A804" s="11"/>
      <c r="B804" s="11"/>
      <c r="C804" s="11"/>
      <c r="D804" s="11"/>
      <c r="E804" t="str">
        <f t="shared" si="9"/>
        <v>|</v>
      </c>
    </row>
    <row r="805" spans="1:5" ht="15" customHeight="1" x14ac:dyDescent="0.3">
      <c r="A805" s="11"/>
      <c r="B805" s="11"/>
      <c r="C805" s="11"/>
      <c r="D805" s="11"/>
      <c r="E805" t="str">
        <f t="shared" si="9"/>
        <v>|</v>
      </c>
    </row>
    <row r="806" spans="1:5" ht="15" customHeight="1" x14ac:dyDescent="0.3">
      <c r="A806" s="11"/>
      <c r="B806" s="11"/>
      <c r="C806" s="11"/>
      <c r="D806" s="11"/>
      <c r="E806" t="str">
        <f t="shared" si="9"/>
        <v>|</v>
      </c>
    </row>
    <row r="807" spans="1:5" ht="15" customHeight="1" x14ac:dyDescent="0.3">
      <c r="A807" s="11"/>
      <c r="B807" s="11"/>
      <c r="C807" s="11"/>
      <c r="D807" s="11"/>
      <c r="E807" t="str">
        <f t="shared" si="9"/>
        <v>|</v>
      </c>
    </row>
    <row r="808" spans="1:5" ht="15" customHeight="1" x14ac:dyDescent="0.3">
      <c r="A808" s="11"/>
      <c r="B808" s="11"/>
      <c r="C808" s="11"/>
      <c r="D808" s="11"/>
      <c r="E808" t="str">
        <f t="shared" si="9"/>
        <v>|</v>
      </c>
    </row>
    <row r="809" spans="1:5" ht="15" customHeight="1" x14ac:dyDescent="0.3">
      <c r="A809" s="11"/>
      <c r="B809" s="11"/>
      <c r="C809" s="11"/>
      <c r="D809" s="11"/>
      <c r="E809" t="str">
        <f t="shared" si="9"/>
        <v>|</v>
      </c>
    </row>
    <row r="810" spans="1:5" ht="15" customHeight="1" x14ac:dyDescent="0.3">
      <c r="A810" s="11"/>
      <c r="B810" s="11"/>
      <c r="C810" s="11"/>
      <c r="D810" s="11"/>
      <c r="E810" t="str">
        <f t="shared" si="9"/>
        <v>|</v>
      </c>
    </row>
    <row r="811" spans="1:5" ht="15" customHeight="1" x14ac:dyDescent="0.3">
      <c r="A811" s="11"/>
      <c r="B811" s="11"/>
      <c r="C811" s="11"/>
      <c r="D811" s="11"/>
      <c r="E811" t="str">
        <f t="shared" si="9"/>
        <v>|</v>
      </c>
    </row>
    <row r="812" spans="1:5" ht="15" customHeight="1" x14ac:dyDescent="0.3">
      <c r="A812" s="11"/>
      <c r="B812" s="11"/>
      <c r="C812" s="11"/>
      <c r="D812" s="11"/>
      <c r="E812" t="str">
        <f t="shared" si="9"/>
        <v>|</v>
      </c>
    </row>
    <row r="813" spans="1:5" ht="15" customHeight="1" x14ac:dyDescent="0.3">
      <c r="A813" s="11"/>
      <c r="B813" s="11"/>
      <c r="C813" s="11"/>
      <c r="D813" s="11"/>
      <c r="E813" t="str">
        <f t="shared" si="9"/>
        <v>|</v>
      </c>
    </row>
    <row r="814" spans="1:5" ht="15" customHeight="1" x14ac:dyDescent="0.3">
      <c r="A814" s="11"/>
      <c r="B814" s="11"/>
      <c r="C814" s="11"/>
      <c r="D814" s="11"/>
      <c r="E814" t="str">
        <f t="shared" si="9"/>
        <v>|</v>
      </c>
    </row>
    <row r="815" spans="1:5" ht="15" customHeight="1" x14ac:dyDescent="0.3">
      <c r="A815" s="11"/>
      <c r="B815" s="11"/>
      <c r="C815" s="11"/>
      <c r="D815" s="11"/>
      <c r="E815" t="str">
        <f t="shared" si="9"/>
        <v>|</v>
      </c>
    </row>
    <row r="816" spans="1:5" ht="15" customHeight="1" x14ac:dyDescent="0.3">
      <c r="A816" s="11"/>
      <c r="B816" s="11"/>
      <c r="C816" s="11"/>
      <c r="D816" s="11"/>
      <c r="E816" t="str">
        <f t="shared" si="9"/>
        <v>|</v>
      </c>
    </row>
    <row r="817" spans="1:5" ht="15" customHeight="1" x14ac:dyDescent="0.3">
      <c r="A817" s="11"/>
      <c r="B817" s="11"/>
      <c r="C817" s="11"/>
      <c r="D817" s="11"/>
      <c r="E817" t="str">
        <f t="shared" si="9"/>
        <v>|</v>
      </c>
    </row>
    <row r="818" spans="1:5" ht="15" customHeight="1" x14ac:dyDescent="0.3">
      <c r="A818" s="11"/>
      <c r="B818" s="11"/>
      <c r="C818" s="11"/>
      <c r="D818" s="11"/>
      <c r="E818" t="str">
        <f t="shared" si="9"/>
        <v>|</v>
      </c>
    </row>
    <row r="819" spans="1:5" ht="15" customHeight="1" x14ac:dyDescent="0.3">
      <c r="A819" s="11"/>
      <c r="B819" s="11"/>
      <c r="C819" s="11"/>
      <c r="D819" s="11"/>
      <c r="E819" t="str">
        <f t="shared" si="9"/>
        <v>|</v>
      </c>
    </row>
    <row r="820" spans="1:5" ht="15" customHeight="1" x14ac:dyDescent="0.3">
      <c r="A820" s="11"/>
      <c r="B820" s="11"/>
      <c r="C820" s="11"/>
      <c r="D820" s="11"/>
      <c r="E820" t="str">
        <f t="shared" si="9"/>
        <v>|</v>
      </c>
    </row>
    <row r="821" spans="1:5" ht="15" customHeight="1" x14ac:dyDescent="0.3">
      <c r="A821" s="11"/>
      <c r="B821" s="11"/>
      <c r="C821" s="11"/>
      <c r="D821" s="11"/>
      <c r="E821" t="str">
        <f t="shared" si="9"/>
        <v>|</v>
      </c>
    </row>
    <row r="822" spans="1:5" ht="15" customHeight="1" x14ac:dyDescent="0.3">
      <c r="A822" s="11"/>
      <c r="B822" s="11"/>
      <c r="C822" s="11"/>
      <c r="D822" s="11"/>
      <c r="E822" t="str">
        <f t="shared" si="9"/>
        <v>|</v>
      </c>
    </row>
    <row r="823" spans="1:5" ht="15" customHeight="1" x14ac:dyDescent="0.3">
      <c r="A823" s="11"/>
      <c r="B823" s="11"/>
      <c r="C823" s="11"/>
      <c r="D823" s="11"/>
      <c r="E823" t="str">
        <f t="shared" si="9"/>
        <v>|</v>
      </c>
    </row>
    <row r="824" spans="1:5" ht="15" customHeight="1" x14ac:dyDescent="0.3">
      <c r="A824" s="11"/>
      <c r="B824" s="11"/>
      <c r="C824" s="11"/>
      <c r="D824" s="11"/>
      <c r="E824" t="str">
        <f t="shared" si="9"/>
        <v>|</v>
      </c>
    </row>
    <row r="825" spans="1:5" ht="15" customHeight="1" x14ac:dyDescent="0.3">
      <c r="A825" s="11"/>
      <c r="B825" s="11"/>
      <c r="C825" s="11"/>
      <c r="D825" s="11"/>
      <c r="E825" t="str">
        <f t="shared" si="9"/>
        <v>|</v>
      </c>
    </row>
    <row r="826" spans="1:5" ht="15" customHeight="1" x14ac:dyDescent="0.3">
      <c r="A826" s="11"/>
      <c r="B826" s="11"/>
      <c r="C826" s="11"/>
      <c r="D826" s="11"/>
      <c r="E826" t="str">
        <f t="shared" si="9"/>
        <v>|</v>
      </c>
    </row>
    <row r="827" spans="1:5" ht="15" customHeight="1" x14ac:dyDescent="0.3">
      <c r="A827" s="11"/>
      <c r="B827" s="11"/>
      <c r="C827" s="11"/>
      <c r="D827" s="11"/>
      <c r="E827" t="str">
        <f t="shared" si="9"/>
        <v>|</v>
      </c>
    </row>
    <row r="828" spans="1:5" ht="15" customHeight="1" x14ac:dyDescent="0.3">
      <c r="A828" s="11"/>
      <c r="B828" s="11"/>
      <c r="C828" s="11"/>
      <c r="D828" s="11"/>
      <c r="E828" t="str">
        <f t="shared" si="9"/>
        <v>|</v>
      </c>
    </row>
    <row r="829" spans="1:5" ht="15" customHeight="1" x14ac:dyDescent="0.3">
      <c r="A829" s="11"/>
      <c r="B829" s="11"/>
      <c r="C829" s="11"/>
      <c r="D829" s="11"/>
      <c r="E829" t="str">
        <f t="shared" si="9"/>
        <v>|</v>
      </c>
    </row>
    <row r="830" spans="1:5" ht="15" customHeight="1" x14ac:dyDescent="0.3">
      <c r="A830" s="11"/>
      <c r="B830" s="11"/>
      <c r="C830" s="11"/>
      <c r="D830" s="11"/>
      <c r="E830" t="str">
        <f t="shared" ref="E830:E893" si="10">A830&amp;"|"&amp;B830</f>
        <v>|</v>
      </c>
    </row>
    <row r="831" spans="1:5" ht="15" customHeight="1" x14ac:dyDescent="0.3">
      <c r="A831" s="11"/>
      <c r="B831" s="11"/>
      <c r="C831" s="11"/>
      <c r="D831" s="11"/>
      <c r="E831" t="str">
        <f t="shared" si="10"/>
        <v>|</v>
      </c>
    </row>
    <row r="832" spans="1:5" ht="15" customHeight="1" x14ac:dyDescent="0.3">
      <c r="A832" s="11"/>
      <c r="B832" s="11"/>
      <c r="C832" s="11"/>
      <c r="D832" s="11"/>
      <c r="E832" t="str">
        <f t="shared" si="10"/>
        <v>|</v>
      </c>
    </row>
    <row r="833" spans="1:5" ht="15" customHeight="1" x14ac:dyDescent="0.3">
      <c r="A833" s="11"/>
      <c r="B833" s="11"/>
      <c r="C833" s="11"/>
      <c r="D833" s="11"/>
      <c r="E833" t="str">
        <f t="shared" si="10"/>
        <v>|</v>
      </c>
    </row>
    <row r="834" spans="1:5" ht="15" customHeight="1" x14ac:dyDescent="0.3">
      <c r="A834" s="11"/>
      <c r="B834" s="11"/>
      <c r="C834" s="11"/>
      <c r="D834" s="11"/>
      <c r="E834" t="str">
        <f t="shared" si="10"/>
        <v>|</v>
      </c>
    </row>
    <row r="835" spans="1:5" ht="15" customHeight="1" x14ac:dyDescent="0.3">
      <c r="A835" s="11"/>
      <c r="B835" s="11"/>
      <c r="C835" s="11"/>
      <c r="D835" s="11"/>
      <c r="E835" t="str">
        <f t="shared" si="10"/>
        <v>|</v>
      </c>
    </row>
    <row r="836" spans="1:5" ht="15" customHeight="1" x14ac:dyDescent="0.3">
      <c r="A836" s="11"/>
      <c r="B836" s="11"/>
      <c r="C836" s="11"/>
      <c r="D836" s="11"/>
      <c r="E836" t="str">
        <f t="shared" si="10"/>
        <v>|</v>
      </c>
    </row>
    <row r="837" spans="1:5" ht="15" customHeight="1" x14ac:dyDescent="0.3">
      <c r="A837" s="11"/>
      <c r="B837" s="11"/>
      <c r="C837" s="11"/>
      <c r="D837" s="11"/>
      <c r="E837" t="str">
        <f t="shared" si="10"/>
        <v>|</v>
      </c>
    </row>
    <row r="838" spans="1:5" ht="15" customHeight="1" x14ac:dyDescent="0.3">
      <c r="A838" s="11"/>
      <c r="B838" s="11"/>
      <c r="C838" s="11"/>
      <c r="D838" s="11"/>
      <c r="E838" t="str">
        <f t="shared" si="10"/>
        <v>|</v>
      </c>
    </row>
    <row r="839" spans="1:5" ht="15" customHeight="1" x14ac:dyDescent="0.3">
      <c r="A839" s="11"/>
      <c r="B839" s="11"/>
      <c r="C839" s="11"/>
      <c r="D839" s="11"/>
      <c r="E839" t="str">
        <f t="shared" si="10"/>
        <v>|</v>
      </c>
    </row>
    <row r="840" spans="1:5" ht="15" customHeight="1" x14ac:dyDescent="0.3">
      <c r="A840" s="11"/>
      <c r="B840" s="11"/>
      <c r="C840" s="11"/>
      <c r="D840" s="11"/>
      <c r="E840" t="str">
        <f t="shared" si="10"/>
        <v>|</v>
      </c>
    </row>
    <row r="841" spans="1:5" ht="15" customHeight="1" x14ac:dyDescent="0.3">
      <c r="A841" s="11"/>
      <c r="B841" s="11"/>
      <c r="C841" s="11"/>
      <c r="D841" s="11"/>
      <c r="E841" t="str">
        <f t="shared" si="10"/>
        <v>|</v>
      </c>
    </row>
    <row r="842" spans="1:5" ht="15" customHeight="1" x14ac:dyDescent="0.3">
      <c r="A842" s="11"/>
      <c r="B842" s="11"/>
      <c r="C842" s="11"/>
      <c r="D842" s="11"/>
      <c r="E842" t="str">
        <f t="shared" si="10"/>
        <v>|</v>
      </c>
    </row>
    <row r="843" spans="1:5" ht="15" customHeight="1" x14ac:dyDescent="0.3">
      <c r="A843" s="11"/>
      <c r="B843" s="11"/>
      <c r="C843" s="11"/>
      <c r="D843" s="11"/>
      <c r="E843" t="str">
        <f t="shared" si="10"/>
        <v>|</v>
      </c>
    </row>
    <row r="844" spans="1:5" ht="15" customHeight="1" x14ac:dyDescent="0.3">
      <c r="A844" s="11"/>
      <c r="B844" s="11"/>
      <c r="C844" s="11"/>
      <c r="D844" s="11"/>
      <c r="E844" t="str">
        <f t="shared" si="10"/>
        <v>|</v>
      </c>
    </row>
    <row r="845" spans="1:5" ht="15" customHeight="1" x14ac:dyDescent="0.3">
      <c r="A845" s="11"/>
      <c r="B845" s="11"/>
      <c r="C845" s="11"/>
      <c r="D845" s="11"/>
      <c r="E845" t="str">
        <f t="shared" si="10"/>
        <v>|</v>
      </c>
    </row>
    <row r="846" spans="1:5" ht="15" customHeight="1" x14ac:dyDescent="0.3">
      <c r="A846" s="11"/>
      <c r="B846" s="11"/>
      <c r="C846" s="11"/>
      <c r="D846" s="11"/>
      <c r="E846" t="str">
        <f t="shared" si="10"/>
        <v>|</v>
      </c>
    </row>
    <row r="847" spans="1:5" ht="15" customHeight="1" x14ac:dyDescent="0.3">
      <c r="A847" s="11"/>
      <c r="B847" s="11"/>
      <c r="C847" s="11"/>
      <c r="D847" s="11"/>
      <c r="E847" t="str">
        <f t="shared" si="10"/>
        <v>|</v>
      </c>
    </row>
    <row r="848" spans="1:5" ht="15" customHeight="1" x14ac:dyDescent="0.3">
      <c r="A848" s="11"/>
      <c r="B848" s="11"/>
      <c r="C848" s="11"/>
      <c r="D848" s="11"/>
      <c r="E848" t="str">
        <f t="shared" si="10"/>
        <v>|</v>
      </c>
    </row>
    <row r="849" spans="1:5" ht="15" customHeight="1" x14ac:dyDescent="0.3">
      <c r="A849" s="11"/>
      <c r="B849" s="11"/>
      <c r="C849" s="11"/>
      <c r="D849" s="11"/>
      <c r="E849" t="str">
        <f t="shared" si="10"/>
        <v>|</v>
      </c>
    </row>
    <row r="850" spans="1:5" ht="15" customHeight="1" x14ac:dyDescent="0.3">
      <c r="A850" s="11"/>
      <c r="B850" s="11"/>
      <c r="C850" s="11"/>
      <c r="D850" s="11"/>
      <c r="E850" t="str">
        <f t="shared" si="10"/>
        <v>|</v>
      </c>
    </row>
    <row r="851" spans="1:5" ht="15" customHeight="1" x14ac:dyDescent="0.3">
      <c r="A851" s="11"/>
      <c r="B851" s="11"/>
      <c r="C851" s="11"/>
      <c r="D851" s="11"/>
      <c r="E851" t="str">
        <f t="shared" si="10"/>
        <v>|</v>
      </c>
    </row>
    <row r="852" spans="1:5" ht="15" customHeight="1" x14ac:dyDescent="0.3">
      <c r="A852" s="11"/>
      <c r="B852" s="11"/>
      <c r="C852" s="11"/>
      <c r="D852" s="11"/>
      <c r="E852" t="str">
        <f t="shared" si="10"/>
        <v>|</v>
      </c>
    </row>
    <row r="853" spans="1:5" ht="15" customHeight="1" x14ac:dyDescent="0.3">
      <c r="A853" s="11"/>
      <c r="B853" s="11"/>
      <c r="C853" s="11"/>
      <c r="D853" s="11"/>
      <c r="E853" t="str">
        <f t="shared" si="10"/>
        <v>|</v>
      </c>
    </row>
    <row r="854" spans="1:5" ht="15" customHeight="1" x14ac:dyDescent="0.3">
      <c r="A854" s="11"/>
      <c r="B854" s="11"/>
      <c r="C854" s="11"/>
      <c r="D854" s="11"/>
      <c r="E854" t="str">
        <f t="shared" si="10"/>
        <v>|</v>
      </c>
    </row>
    <row r="855" spans="1:5" ht="15" customHeight="1" x14ac:dyDescent="0.3">
      <c r="A855" s="11"/>
      <c r="B855" s="11"/>
      <c r="C855" s="11"/>
      <c r="D855" s="11"/>
      <c r="E855" t="str">
        <f t="shared" si="10"/>
        <v>|</v>
      </c>
    </row>
    <row r="856" spans="1:5" ht="15" customHeight="1" x14ac:dyDescent="0.3">
      <c r="A856" s="11"/>
      <c r="B856" s="11"/>
      <c r="C856" s="11"/>
      <c r="D856" s="11"/>
      <c r="E856" t="str">
        <f t="shared" si="10"/>
        <v>|</v>
      </c>
    </row>
    <row r="857" spans="1:5" ht="15" customHeight="1" x14ac:dyDescent="0.3">
      <c r="A857" s="11"/>
      <c r="B857" s="11"/>
      <c r="C857" s="11"/>
      <c r="D857" s="11"/>
      <c r="E857" t="str">
        <f t="shared" si="10"/>
        <v>|</v>
      </c>
    </row>
    <row r="858" spans="1:5" ht="15" customHeight="1" x14ac:dyDescent="0.3">
      <c r="A858" s="11"/>
      <c r="B858" s="11"/>
      <c r="C858" s="11"/>
      <c r="D858" s="11"/>
      <c r="E858" t="str">
        <f t="shared" si="10"/>
        <v>|</v>
      </c>
    </row>
    <row r="859" spans="1:5" ht="15" customHeight="1" x14ac:dyDescent="0.3">
      <c r="A859" s="11"/>
      <c r="B859" s="11"/>
      <c r="C859" s="11"/>
      <c r="D859" s="11"/>
      <c r="E859" t="str">
        <f t="shared" si="10"/>
        <v>|</v>
      </c>
    </row>
    <row r="860" spans="1:5" ht="15" customHeight="1" x14ac:dyDescent="0.3">
      <c r="A860" s="11"/>
      <c r="B860" s="11"/>
      <c r="C860" s="11"/>
      <c r="D860" s="11"/>
      <c r="E860" t="str">
        <f t="shared" si="10"/>
        <v>|</v>
      </c>
    </row>
    <row r="861" spans="1:5" ht="15" customHeight="1" x14ac:dyDescent="0.3">
      <c r="A861" s="11"/>
      <c r="B861" s="11"/>
      <c r="C861" s="11"/>
      <c r="D861" s="11"/>
      <c r="E861" t="str">
        <f t="shared" si="10"/>
        <v>|</v>
      </c>
    </row>
    <row r="862" spans="1:5" ht="15" customHeight="1" x14ac:dyDescent="0.3">
      <c r="A862" s="11"/>
      <c r="B862" s="11"/>
      <c r="C862" s="11"/>
      <c r="D862" s="11"/>
      <c r="E862" t="str">
        <f t="shared" si="10"/>
        <v>|</v>
      </c>
    </row>
    <row r="863" spans="1:5" ht="15" customHeight="1" x14ac:dyDescent="0.3">
      <c r="A863" s="11"/>
      <c r="B863" s="11"/>
      <c r="C863" s="11"/>
      <c r="D863" s="11"/>
      <c r="E863" t="str">
        <f t="shared" si="10"/>
        <v>|</v>
      </c>
    </row>
    <row r="864" spans="1:5" ht="15" customHeight="1" x14ac:dyDescent="0.3">
      <c r="A864" s="11"/>
      <c r="B864" s="11"/>
      <c r="C864" s="11"/>
      <c r="D864" s="11"/>
      <c r="E864" t="str">
        <f t="shared" si="10"/>
        <v>|</v>
      </c>
    </row>
    <row r="865" spans="1:5" ht="15" customHeight="1" x14ac:dyDescent="0.3">
      <c r="A865" s="11"/>
      <c r="B865" s="11"/>
      <c r="C865" s="11"/>
      <c r="D865" s="11"/>
      <c r="E865" t="str">
        <f t="shared" si="10"/>
        <v>|</v>
      </c>
    </row>
    <row r="866" spans="1:5" ht="15" customHeight="1" x14ac:dyDescent="0.3">
      <c r="A866" s="11"/>
      <c r="B866" s="11"/>
      <c r="C866" s="11"/>
      <c r="D866" s="11"/>
      <c r="E866" t="str">
        <f t="shared" si="10"/>
        <v>|</v>
      </c>
    </row>
    <row r="867" spans="1:5" ht="15" customHeight="1" x14ac:dyDescent="0.3">
      <c r="A867" s="11"/>
      <c r="B867" s="11"/>
      <c r="C867" s="11"/>
      <c r="D867" s="11"/>
      <c r="E867" t="str">
        <f t="shared" si="10"/>
        <v>|</v>
      </c>
    </row>
    <row r="868" spans="1:5" ht="15" customHeight="1" x14ac:dyDescent="0.3">
      <c r="A868" s="11"/>
      <c r="B868" s="11"/>
      <c r="C868" s="11"/>
      <c r="D868" s="11"/>
      <c r="E868" t="str">
        <f t="shared" si="10"/>
        <v>|</v>
      </c>
    </row>
    <row r="869" spans="1:5" ht="15" customHeight="1" x14ac:dyDescent="0.3">
      <c r="A869" s="11"/>
      <c r="B869" s="11"/>
      <c r="C869" s="11"/>
      <c r="D869" s="11"/>
      <c r="E869" t="str">
        <f t="shared" si="10"/>
        <v>|</v>
      </c>
    </row>
    <row r="870" spans="1:5" ht="15" customHeight="1" x14ac:dyDescent="0.3">
      <c r="A870" s="11"/>
      <c r="B870" s="11"/>
      <c r="C870" s="11"/>
      <c r="D870" s="11"/>
      <c r="E870" t="str">
        <f t="shared" si="10"/>
        <v>|</v>
      </c>
    </row>
    <row r="871" spans="1:5" ht="15" customHeight="1" x14ac:dyDescent="0.3">
      <c r="A871" s="11"/>
      <c r="B871" s="11"/>
      <c r="C871" s="11"/>
      <c r="D871" s="11"/>
      <c r="E871" t="str">
        <f t="shared" si="10"/>
        <v>|</v>
      </c>
    </row>
    <row r="872" spans="1:5" ht="15" customHeight="1" x14ac:dyDescent="0.3">
      <c r="A872" s="11"/>
      <c r="B872" s="11"/>
      <c r="C872" s="11"/>
      <c r="D872" s="11"/>
      <c r="E872" t="str">
        <f t="shared" si="10"/>
        <v>|</v>
      </c>
    </row>
    <row r="873" spans="1:5" ht="15" customHeight="1" x14ac:dyDescent="0.3">
      <c r="A873" s="11"/>
      <c r="B873" s="11"/>
      <c r="C873" s="11"/>
      <c r="D873" s="11"/>
      <c r="E873" t="str">
        <f t="shared" si="10"/>
        <v>|</v>
      </c>
    </row>
    <row r="874" spans="1:5" ht="15" customHeight="1" x14ac:dyDescent="0.3">
      <c r="A874" s="11"/>
      <c r="B874" s="11"/>
      <c r="C874" s="11"/>
      <c r="D874" s="11"/>
      <c r="E874" t="str">
        <f t="shared" si="10"/>
        <v>|</v>
      </c>
    </row>
    <row r="875" spans="1:5" ht="15" customHeight="1" x14ac:dyDescent="0.3">
      <c r="A875" s="11"/>
      <c r="B875" s="11"/>
      <c r="C875" s="11"/>
      <c r="D875" s="11"/>
      <c r="E875" t="str">
        <f t="shared" si="10"/>
        <v>|</v>
      </c>
    </row>
    <row r="876" spans="1:5" ht="15" customHeight="1" x14ac:dyDescent="0.3">
      <c r="A876" s="11"/>
      <c r="B876" s="11"/>
      <c r="C876" s="11"/>
      <c r="D876" s="11"/>
      <c r="E876" t="str">
        <f t="shared" si="10"/>
        <v>|</v>
      </c>
    </row>
    <row r="877" spans="1:5" ht="15" customHeight="1" x14ac:dyDescent="0.3">
      <c r="A877" s="11"/>
      <c r="B877" s="11"/>
      <c r="C877" s="11"/>
      <c r="D877" s="11"/>
      <c r="E877" t="str">
        <f t="shared" si="10"/>
        <v>|</v>
      </c>
    </row>
    <row r="878" spans="1:5" ht="15" customHeight="1" x14ac:dyDescent="0.3">
      <c r="A878" s="11"/>
      <c r="B878" s="11"/>
      <c r="C878" s="11"/>
      <c r="D878" s="11"/>
      <c r="E878" t="str">
        <f t="shared" si="10"/>
        <v>|</v>
      </c>
    </row>
    <row r="879" spans="1:5" ht="15" customHeight="1" x14ac:dyDescent="0.3">
      <c r="A879" s="11"/>
      <c r="B879" s="11"/>
      <c r="C879" s="11"/>
      <c r="D879" s="11"/>
      <c r="E879" t="str">
        <f t="shared" si="10"/>
        <v>|</v>
      </c>
    </row>
    <row r="880" spans="1:5" ht="15" customHeight="1" x14ac:dyDescent="0.3">
      <c r="A880" s="11"/>
      <c r="B880" s="11"/>
      <c r="C880" s="11"/>
      <c r="D880" s="11"/>
      <c r="E880" t="str">
        <f t="shared" si="10"/>
        <v>|</v>
      </c>
    </row>
    <row r="881" spans="1:5" ht="15" customHeight="1" x14ac:dyDescent="0.3">
      <c r="A881" s="11"/>
      <c r="B881" s="11"/>
      <c r="C881" s="11"/>
      <c r="D881" s="11"/>
      <c r="E881" t="str">
        <f t="shared" si="10"/>
        <v>|</v>
      </c>
    </row>
    <row r="882" spans="1:5" ht="15" customHeight="1" x14ac:dyDescent="0.3">
      <c r="A882" s="11"/>
      <c r="B882" s="11"/>
      <c r="C882" s="11"/>
      <c r="D882" s="11"/>
      <c r="E882" t="str">
        <f t="shared" si="10"/>
        <v>|</v>
      </c>
    </row>
    <row r="883" spans="1:5" ht="15" customHeight="1" x14ac:dyDescent="0.3">
      <c r="A883" s="11"/>
      <c r="B883" s="11"/>
      <c r="C883" s="11"/>
      <c r="D883" s="11"/>
      <c r="E883" t="str">
        <f t="shared" si="10"/>
        <v>|</v>
      </c>
    </row>
    <row r="884" spans="1:5" ht="15" customHeight="1" x14ac:dyDescent="0.3">
      <c r="A884" s="11"/>
      <c r="B884" s="11"/>
      <c r="C884" s="11"/>
      <c r="D884" s="11"/>
      <c r="E884" t="str">
        <f t="shared" si="10"/>
        <v>|</v>
      </c>
    </row>
    <row r="885" spans="1:5" ht="15" customHeight="1" x14ac:dyDescent="0.3">
      <c r="A885" s="11"/>
      <c r="B885" s="11"/>
      <c r="C885" s="11"/>
      <c r="D885" s="11"/>
      <c r="E885" t="str">
        <f t="shared" si="10"/>
        <v>|</v>
      </c>
    </row>
    <row r="886" spans="1:5" ht="15" customHeight="1" x14ac:dyDescent="0.3">
      <c r="A886" s="11"/>
      <c r="B886" s="11"/>
      <c r="C886" s="11"/>
      <c r="D886" s="11"/>
      <c r="E886" t="str">
        <f t="shared" si="10"/>
        <v>|</v>
      </c>
    </row>
    <row r="887" spans="1:5" ht="15" customHeight="1" x14ac:dyDescent="0.3">
      <c r="A887" s="11"/>
      <c r="B887" s="11"/>
      <c r="C887" s="11"/>
      <c r="D887" s="11"/>
      <c r="E887" t="str">
        <f t="shared" si="10"/>
        <v>|</v>
      </c>
    </row>
    <row r="888" spans="1:5" ht="15" customHeight="1" x14ac:dyDescent="0.3">
      <c r="A888" s="11"/>
      <c r="B888" s="11"/>
      <c r="C888" s="11"/>
      <c r="D888" s="11"/>
      <c r="E888" t="str">
        <f t="shared" si="10"/>
        <v>|</v>
      </c>
    </row>
    <row r="889" spans="1:5" ht="15" customHeight="1" x14ac:dyDescent="0.3">
      <c r="A889" s="11"/>
      <c r="B889" s="11"/>
      <c r="C889" s="11"/>
      <c r="D889" s="11"/>
      <c r="E889" t="str">
        <f t="shared" si="10"/>
        <v>|</v>
      </c>
    </row>
    <row r="890" spans="1:5" ht="15" customHeight="1" x14ac:dyDescent="0.3">
      <c r="A890" s="11"/>
      <c r="B890" s="11"/>
      <c r="C890" s="11"/>
      <c r="D890" s="11"/>
      <c r="E890" t="str">
        <f t="shared" si="10"/>
        <v>|</v>
      </c>
    </row>
    <row r="891" spans="1:5" ht="15" customHeight="1" x14ac:dyDescent="0.3">
      <c r="A891" s="11"/>
      <c r="B891" s="11"/>
      <c r="C891" s="11"/>
      <c r="D891" s="11"/>
      <c r="E891" t="str">
        <f t="shared" si="10"/>
        <v>|</v>
      </c>
    </row>
    <row r="892" spans="1:5" ht="15" customHeight="1" x14ac:dyDescent="0.3">
      <c r="A892" s="11"/>
      <c r="B892" s="11"/>
      <c r="C892" s="11"/>
      <c r="D892" s="11"/>
      <c r="E892" t="str">
        <f t="shared" si="10"/>
        <v>|</v>
      </c>
    </row>
    <row r="893" spans="1:5" ht="15" customHeight="1" x14ac:dyDescent="0.3">
      <c r="A893" s="11"/>
      <c r="B893" s="11"/>
      <c r="C893" s="11"/>
      <c r="D893" s="11"/>
      <c r="E893" t="str">
        <f t="shared" si="10"/>
        <v>|</v>
      </c>
    </row>
    <row r="894" spans="1:5" ht="15" customHeight="1" x14ac:dyDescent="0.3">
      <c r="A894" s="11"/>
      <c r="B894" s="11"/>
      <c r="C894" s="11"/>
      <c r="D894" s="11"/>
      <c r="E894" t="str">
        <f t="shared" ref="E894:E957" si="11">A894&amp;"|"&amp;B894</f>
        <v>|</v>
      </c>
    </row>
    <row r="895" spans="1:5" ht="15" customHeight="1" x14ac:dyDescent="0.3">
      <c r="A895" s="11"/>
      <c r="B895" s="11"/>
      <c r="C895" s="11"/>
      <c r="D895" s="11"/>
      <c r="E895" t="str">
        <f t="shared" si="11"/>
        <v>|</v>
      </c>
    </row>
    <row r="896" spans="1:5" ht="15" customHeight="1" x14ac:dyDescent="0.3">
      <c r="A896" s="11"/>
      <c r="B896" s="11"/>
      <c r="C896" s="11"/>
      <c r="D896" s="11"/>
      <c r="E896" t="str">
        <f t="shared" si="11"/>
        <v>|</v>
      </c>
    </row>
    <row r="897" spans="1:5" ht="15" customHeight="1" x14ac:dyDescent="0.3">
      <c r="A897" s="11"/>
      <c r="B897" s="11"/>
      <c r="C897" s="11"/>
      <c r="D897" s="11"/>
      <c r="E897" t="str">
        <f t="shared" si="11"/>
        <v>|</v>
      </c>
    </row>
    <row r="898" spans="1:5" ht="15" customHeight="1" x14ac:dyDescent="0.3">
      <c r="A898" s="11"/>
      <c r="B898" s="11"/>
      <c r="C898" s="11"/>
      <c r="D898" s="11"/>
      <c r="E898" t="str">
        <f t="shared" si="11"/>
        <v>|</v>
      </c>
    </row>
    <row r="899" spans="1:5" ht="15" customHeight="1" x14ac:dyDescent="0.3">
      <c r="A899" s="11"/>
      <c r="B899" s="11"/>
      <c r="C899" s="11"/>
      <c r="D899" s="11"/>
      <c r="E899" t="str">
        <f t="shared" si="11"/>
        <v>|</v>
      </c>
    </row>
    <row r="900" spans="1:5" ht="15" customHeight="1" x14ac:dyDescent="0.3">
      <c r="A900" s="11"/>
      <c r="B900" s="11"/>
      <c r="C900" s="11"/>
      <c r="D900" s="11"/>
      <c r="E900" t="str">
        <f t="shared" si="11"/>
        <v>|</v>
      </c>
    </row>
    <row r="901" spans="1:5" ht="15" customHeight="1" x14ac:dyDescent="0.3">
      <c r="A901" s="11"/>
      <c r="B901" s="11"/>
      <c r="C901" s="11"/>
      <c r="D901" s="11"/>
      <c r="E901" t="str">
        <f t="shared" si="11"/>
        <v>|</v>
      </c>
    </row>
    <row r="902" spans="1:5" ht="15" customHeight="1" x14ac:dyDescent="0.3">
      <c r="A902" s="11"/>
      <c r="B902" s="11"/>
      <c r="C902" s="11"/>
      <c r="D902" s="11"/>
      <c r="E902" t="str">
        <f t="shared" si="11"/>
        <v>|</v>
      </c>
    </row>
    <row r="903" spans="1:5" ht="15" customHeight="1" x14ac:dyDescent="0.3">
      <c r="A903" s="11"/>
      <c r="B903" s="11"/>
      <c r="C903" s="11"/>
      <c r="D903" s="11"/>
      <c r="E903" t="str">
        <f t="shared" si="11"/>
        <v>|</v>
      </c>
    </row>
    <row r="904" spans="1:5" ht="15" customHeight="1" x14ac:dyDescent="0.3">
      <c r="A904" s="11"/>
      <c r="B904" s="11"/>
      <c r="C904" s="11"/>
      <c r="D904" s="11"/>
      <c r="E904" t="str">
        <f t="shared" si="11"/>
        <v>|</v>
      </c>
    </row>
    <row r="905" spans="1:5" ht="15" customHeight="1" x14ac:dyDescent="0.3">
      <c r="A905" s="11"/>
      <c r="B905" s="11"/>
      <c r="C905" s="11"/>
      <c r="D905" s="11"/>
      <c r="E905" t="str">
        <f t="shared" si="11"/>
        <v>|</v>
      </c>
    </row>
    <row r="906" spans="1:5" ht="15" customHeight="1" x14ac:dyDescent="0.3">
      <c r="A906" s="11"/>
      <c r="B906" s="11"/>
      <c r="C906" s="11"/>
      <c r="D906" s="11"/>
      <c r="E906" t="str">
        <f t="shared" si="11"/>
        <v>|</v>
      </c>
    </row>
    <row r="907" spans="1:5" ht="15" customHeight="1" x14ac:dyDescent="0.3">
      <c r="A907" s="11"/>
      <c r="B907" s="11"/>
      <c r="C907" s="11"/>
      <c r="D907" s="11"/>
      <c r="E907" t="str">
        <f t="shared" si="11"/>
        <v>|</v>
      </c>
    </row>
    <row r="908" spans="1:5" ht="15" customHeight="1" x14ac:dyDescent="0.3">
      <c r="A908" s="11"/>
      <c r="B908" s="11"/>
      <c r="C908" s="11"/>
      <c r="D908" s="11"/>
      <c r="E908" t="str">
        <f t="shared" si="11"/>
        <v>|</v>
      </c>
    </row>
    <row r="909" spans="1:5" ht="15" customHeight="1" x14ac:dyDescent="0.3">
      <c r="A909" s="11"/>
      <c r="B909" s="11"/>
      <c r="C909" s="11"/>
      <c r="D909" s="11"/>
      <c r="E909" t="str">
        <f t="shared" si="11"/>
        <v>|</v>
      </c>
    </row>
    <row r="910" spans="1:5" ht="15" customHeight="1" x14ac:dyDescent="0.3">
      <c r="A910" s="11"/>
      <c r="B910" s="11"/>
      <c r="C910" s="11"/>
      <c r="D910" s="11"/>
      <c r="E910" t="str">
        <f t="shared" si="11"/>
        <v>|</v>
      </c>
    </row>
    <row r="911" spans="1:5" ht="15" customHeight="1" x14ac:dyDescent="0.3">
      <c r="A911" s="11"/>
      <c r="B911" s="11"/>
      <c r="C911" s="11"/>
      <c r="D911" s="11"/>
      <c r="E911" t="str">
        <f t="shared" si="11"/>
        <v>|</v>
      </c>
    </row>
    <row r="912" spans="1:5" ht="15" customHeight="1" x14ac:dyDescent="0.3">
      <c r="A912" s="11"/>
      <c r="B912" s="11"/>
      <c r="C912" s="11"/>
      <c r="D912" s="11"/>
      <c r="E912" t="str">
        <f t="shared" si="11"/>
        <v>|</v>
      </c>
    </row>
    <row r="913" spans="1:5" ht="15" customHeight="1" x14ac:dyDescent="0.3">
      <c r="A913" s="11"/>
      <c r="B913" s="11"/>
      <c r="C913" s="11"/>
      <c r="D913" s="11"/>
      <c r="E913" t="str">
        <f t="shared" si="11"/>
        <v>|</v>
      </c>
    </row>
    <row r="914" spans="1:5" ht="15" customHeight="1" x14ac:dyDescent="0.3">
      <c r="A914" s="11"/>
      <c r="B914" s="11"/>
      <c r="C914" s="11"/>
      <c r="D914" s="11"/>
      <c r="E914" t="str">
        <f t="shared" si="11"/>
        <v>|</v>
      </c>
    </row>
    <row r="915" spans="1:5" ht="15" customHeight="1" x14ac:dyDescent="0.3">
      <c r="A915" s="11"/>
      <c r="B915" s="11"/>
      <c r="C915" s="11"/>
      <c r="D915" s="11"/>
      <c r="E915" t="str">
        <f t="shared" si="11"/>
        <v>|</v>
      </c>
    </row>
    <row r="916" spans="1:5" ht="15" customHeight="1" x14ac:dyDescent="0.3">
      <c r="A916" s="11"/>
      <c r="B916" s="11"/>
      <c r="C916" s="11"/>
      <c r="D916" s="11"/>
      <c r="E916" t="str">
        <f t="shared" si="11"/>
        <v>|</v>
      </c>
    </row>
    <row r="917" spans="1:5" ht="15" customHeight="1" x14ac:dyDescent="0.3">
      <c r="A917" s="11"/>
      <c r="B917" s="11"/>
      <c r="C917" s="11"/>
      <c r="D917" s="11"/>
      <c r="E917" t="str">
        <f t="shared" si="11"/>
        <v>|</v>
      </c>
    </row>
    <row r="918" spans="1:5" ht="15" customHeight="1" x14ac:dyDescent="0.3">
      <c r="A918" s="11"/>
      <c r="B918" s="11"/>
      <c r="C918" s="11"/>
      <c r="D918" s="11"/>
      <c r="E918" t="str">
        <f t="shared" si="11"/>
        <v>|</v>
      </c>
    </row>
    <row r="919" spans="1:5" ht="15" customHeight="1" x14ac:dyDescent="0.3">
      <c r="A919" s="11"/>
      <c r="B919" s="11"/>
      <c r="C919" s="11"/>
      <c r="D919" s="11"/>
      <c r="E919" t="str">
        <f t="shared" si="11"/>
        <v>|</v>
      </c>
    </row>
    <row r="920" spans="1:5" ht="15" customHeight="1" x14ac:dyDescent="0.3">
      <c r="A920" s="11"/>
      <c r="B920" s="11"/>
      <c r="C920" s="11"/>
      <c r="D920" s="11"/>
      <c r="E920" t="str">
        <f t="shared" si="11"/>
        <v>|</v>
      </c>
    </row>
    <row r="921" spans="1:5" ht="15" customHeight="1" x14ac:dyDescent="0.3">
      <c r="A921" s="11"/>
      <c r="B921" s="11"/>
      <c r="C921" s="11"/>
      <c r="D921" s="11"/>
      <c r="E921" t="str">
        <f t="shared" si="11"/>
        <v>|</v>
      </c>
    </row>
    <row r="922" spans="1:5" ht="15" customHeight="1" x14ac:dyDescent="0.3">
      <c r="A922" s="11"/>
      <c r="B922" s="11"/>
      <c r="C922" s="11"/>
      <c r="D922" s="11"/>
      <c r="E922" t="str">
        <f t="shared" si="11"/>
        <v>|</v>
      </c>
    </row>
    <row r="923" spans="1:5" ht="15" customHeight="1" x14ac:dyDescent="0.3">
      <c r="A923" s="11"/>
      <c r="B923" s="11"/>
      <c r="C923" s="11"/>
      <c r="D923" s="11"/>
      <c r="E923" t="str">
        <f t="shared" si="11"/>
        <v>|</v>
      </c>
    </row>
    <row r="924" spans="1:5" ht="15" customHeight="1" x14ac:dyDescent="0.3">
      <c r="A924" s="11"/>
      <c r="B924" s="11"/>
      <c r="C924" s="11"/>
      <c r="D924" s="11"/>
      <c r="E924" t="str">
        <f t="shared" si="11"/>
        <v>|</v>
      </c>
    </row>
    <row r="925" spans="1:5" ht="15" customHeight="1" x14ac:dyDescent="0.3">
      <c r="A925" s="11"/>
      <c r="B925" s="11"/>
      <c r="C925" s="11"/>
      <c r="D925" s="11"/>
      <c r="E925" t="str">
        <f t="shared" si="11"/>
        <v>|</v>
      </c>
    </row>
    <row r="926" spans="1:5" ht="15" customHeight="1" x14ac:dyDescent="0.3">
      <c r="A926" s="11"/>
      <c r="B926" s="11"/>
      <c r="C926" s="11"/>
      <c r="D926" s="11"/>
      <c r="E926" t="str">
        <f t="shared" si="11"/>
        <v>|</v>
      </c>
    </row>
    <row r="927" spans="1:5" ht="15" customHeight="1" x14ac:dyDescent="0.3">
      <c r="A927" s="11"/>
      <c r="B927" s="11"/>
      <c r="C927" s="11"/>
      <c r="D927" s="11"/>
      <c r="E927" t="str">
        <f t="shared" si="11"/>
        <v>|</v>
      </c>
    </row>
    <row r="928" spans="1:5" ht="15" customHeight="1" x14ac:dyDescent="0.3">
      <c r="A928" s="11"/>
      <c r="B928" s="11"/>
      <c r="C928" s="11"/>
      <c r="D928" s="11"/>
      <c r="E928" t="str">
        <f t="shared" si="11"/>
        <v>|</v>
      </c>
    </row>
    <row r="929" spans="1:5" ht="15" customHeight="1" x14ac:dyDescent="0.3">
      <c r="A929" s="11"/>
      <c r="B929" s="11"/>
      <c r="C929" s="11"/>
      <c r="D929" s="11"/>
      <c r="E929" t="str">
        <f t="shared" si="11"/>
        <v>|</v>
      </c>
    </row>
    <row r="930" spans="1:5" ht="15" customHeight="1" x14ac:dyDescent="0.3">
      <c r="A930" s="11"/>
      <c r="B930" s="11"/>
      <c r="C930" s="11"/>
      <c r="D930" s="11"/>
      <c r="E930" t="str">
        <f t="shared" si="11"/>
        <v>|</v>
      </c>
    </row>
    <row r="931" spans="1:5" ht="15" customHeight="1" x14ac:dyDescent="0.3">
      <c r="A931" s="11"/>
      <c r="B931" s="11"/>
      <c r="C931" s="11"/>
      <c r="D931" s="11"/>
      <c r="E931" t="str">
        <f t="shared" si="11"/>
        <v>|</v>
      </c>
    </row>
    <row r="932" spans="1:5" ht="15" customHeight="1" x14ac:dyDescent="0.3">
      <c r="A932" s="11"/>
      <c r="B932" s="11"/>
      <c r="C932" s="11"/>
      <c r="D932" s="11"/>
      <c r="E932" t="str">
        <f t="shared" si="11"/>
        <v>|</v>
      </c>
    </row>
    <row r="933" spans="1:5" ht="15" customHeight="1" x14ac:dyDescent="0.3">
      <c r="A933" s="11"/>
      <c r="B933" s="11"/>
      <c r="C933" s="11"/>
      <c r="D933" s="11"/>
      <c r="E933" t="str">
        <f t="shared" si="11"/>
        <v>|</v>
      </c>
    </row>
    <row r="934" spans="1:5" ht="15" customHeight="1" x14ac:dyDescent="0.3">
      <c r="A934" s="11"/>
      <c r="B934" s="11"/>
      <c r="C934" s="11"/>
      <c r="D934" s="11"/>
      <c r="E934" t="str">
        <f t="shared" si="11"/>
        <v>|</v>
      </c>
    </row>
    <row r="935" spans="1:5" ht="15" customHeight="1" x14ac:dyDescent="0.3">
      <c r="A935" s="11"/>
      <c r="B935" s="11"/>
      <c r="C935" s="11"/>
      <c r="D935" s="11"/>
      <c r="E935" t="str">
        <f t="shared" si="11"/>
        <v>|</v>
      </c>
    </row>
    <row r="936" spans="1:5" ht="15" customHeight="1" x14ac:dyDescent="0.3">
      <c r="A936" s="11"/>
      <c r="B936" s="11"/>
      <c r="C936" s="11"/>
      <c r="D936" s="11"/>
      <c r="E936" t="str">
        <f t="shared" si="11"/>
        <v>|</v>
      </c>
    </row>
    <row r="937" spans="1:5" ht="15" customHeight="1" x14ac:dyDescent="0.3">
      <c r="A937" s="11"/>
      <c r="B937" s="11"/>
      <c r="C937" s="11"/>
      <c r="D937" s="11"/>
      <c r="E937" t="str">
        <f t="shared" si="11"/>
        <v>|</v>
      </c>
    </row>
    <row r="938" spans="1:5" ht="15" customHeight="1" x14ac:dyDescent="0.3">
      <c r="A938" s="11"/>
      <c r="B938" s="11"/>
      <c r="C938" s="11"/>
      <c r="D938" s="11"/>
      <c r="E938" t="str">
        <f t="shared" si="11"/>
        <v>|</v>
      </c>
    </row>
    <row r="939" spans="1:5" ht="15" customHeight="1" x14ac:dyDescent="0.3">
      <c r="A939" s="11"/>
      <c r="B939" s="11"/>
      <c r="C939" s="11"/>
      <c r="D939" s="11"/>
      <c r="E939" t="str">
        <f t="shared" si="11"/>
        <v>|</v>
      </c>
    </row>
    <row r="940" spans="1:5" ht="15" customHeight="1" x14ac:dyDescent="0.3">
      <c r="A940" s="11"/>
      <c r="B940" s="11"/>
      <c r="C940" s="11"/>
      <c r="D940" s="11"/>
      <c r="E940" t="str">
        <f t="shared" si="11"/>
        <v>|</v>
      </c>
    </row>
    <row r="941" spans="1:5" ht="15" customHeight="1" x14ac:dyDescent="0.3">
      <c r="A941" s="11"/>
      <c r="B941" s="11"/>
      <c r="C941" s="11"/>
      <c r="D941" s="11"/>
      <c r="E941" t="str">
        <f t="shared" si="11"/>
        <v>|</v>
      </c>
    </row>
    <row r="942" spans="1:5" ht="15" customHeight="1" x14ac:dyDescent="0.3">
      <c r="A942" s="11"/>
      <c r="B942" s="11"/>
      <c r="C942" s="11"/>
      <c r="D942" s="11"/>
      <c r="E942" t="str">
        <f t="shared" si="11"/>
        <v>|</v>
      </c>
    </row>
    <row r="943" spans="1:5" ht="15" customHeight="1" x14ac:dyDescent="0.3">
      <c r="A943" s="11"/>
      <c r="B943" s="11"/>
      <c r="C943" s="11"/>
      <c r="D943" s="11"/>
      <c r="E943" t="str">
        <f t="shared" si="11"/>
        <v>|</v>
      </c>
    </row>
    <row r="944" spans="1:5" ht="15" customHeight="1" x14ac:dyDescent="0.3">
      <c r="A944" s="11"/>
      <c r="B944" s="11"/>
      <c r="C944" s="11"/>
      <c r="D944" s="11"/>
      <c r="E944" t="str">
        <f t="shared" si="11"/>
        <v>|</v>
      </c>
    </row>
    <row r="945" spans="1:5" ht="15" customHeight="1" x14ac:dyDescent="0.3">
      <c r="A945" s="11"/>
      <c r="B945" s="11"/>
      <c r="C945" s="11"/>
      <c r="D945" s="11"/>
      <c r="E945" t="str">
        <f t="shared" si="11"/>
        <v>|</v>
      </c>
    </row>
    <row r="946" spans="1:5" ht="15" customHeight="1" x14ac:dyDescent="0.3">
      <c r="A946" s="11"/>
      <c r="B946" s="11"/>
      <c r="C946" s="11"/>
      <c r="D946" s="11"/>
      <c r="E946" t="str">
        <f t="shared" si="11"/>
        <v>|</v>
      </c>
    </row>
    <row r="947" spans="1:5" ht="15" customHeight="1" x14ac:dyDescent="0.3">
      <c r="A947" s="11"/>
      <c r="B947" s="11"/>
      <c r="C947" s="11"/>
      <c r="D947" s="11"/>
      <c r="E947" t="str">
        <f t="shared" si="11"/>
        <v>|</v>
      </c>
    </row>
    <row r="948" spans="1:5" ht="15" customHeight="1" x14ac:dyDescent="0.3">
      <c r="A948" s="11"/>
      <c r="B948" s="11"/>
      <c r="C948" s="11"/>
      <c r="D948" s="11"/>
      <c r="E948" t="str">
        <f t="shared" si="11"/>
        <v>|</v>
      </c>
    </row>
    <row r="949" spans="1:5" ht="15" customHeight="1" x14ac:dyDescent="0.3">
      <c r="A949" s="11"/>
      <c r="B949" s="11"/>
      <c r="C949" s="11"/>
      <c r="D949" s="11"/>
      <c r="E949" t="str">
        <f t="shared" si="11"/>
        <v>|</v>
      </c>
    </row>
    <row r="950" spans="1:5" ht="15" customHeight="1" x14ac:dyDescent="0.3">
      <c r="A950" s="11"/>
      <c r="B950" s="11"/>
      <c r="C950" s="11"/>
      <c r="D950" s="11"/>
      <c r="E950" t="str">
        <f t="shared" si="11"/>
        <v>|</v>
      </c>
    </row>
    <row r="951" spans="1:5" ht="15" customHeight="1" x14ac:dyDescent="0.3">
      <c r="A951" s="11"/>
      <c r="B951" s="11"/>
      <c r="C951" s="11"/>
      <c r="D951" s="11"/>
      <c r="E951" t="str">
        <f t="shared" si="11"/>
        <v>|</v>
      </c>
    </row>
    <row r="952" spans="1:5" ht="15" customHeight="1" x14ac:dyDescent="0.3">
      <c r="A952" s="11"/>
      <c r="B952" s="11"/>
      <c r="C952" s="11"/>
      <c r="D952" s="11"/>
      <c r="E952" t="str">
        <f t="shared" si="11"/>
        <v>|</v>
      </c>
    </row>
    <row r="953" spans="1:5" ht="15" customHeight="1" x14ac:dyDescent="0.3">
      <c r="A953" s="11"/>
      <c r="B953" s="11"/>
      <c r="C953" s="11"/>
      <c r="D953" s="11"/>
      <c r="E953" t="str">
        <f t="shared" si="11"/>
        <v>|</v>
      </c>
    </row>
    <row r="954" spans="1:5" ht="15" customHeight="1" x14ac:dyDescent="0.3">
      <c r="A954" s="11"/>
      <c r="B954" s="11"/>
      <c r="C954" s="11"/>
      <c r="D954" s="11"/>
      <c r="E954" t="str">
        <f t="shared" si="11"/>
        <v>|</v>
      </c>
    </row>
    <row r="955" spans="1:5" ht="15" customHeight="1" x14ac:dyDescent="0.3">
      <c r="A955" s="11"/>
      <c r="B955" s="11"/>
      <c r="C955" s="11"/>
      <c r="D955" s="11"/>
      <c r="E955" t="str">
        <f t="shared" si="11"/>
        <v>|</v>
      </c>
    </row>
    <row r="956" spans="1:5" ht="15" customHeight="1" x14ac:dyDescent="0.3">
      <c r="A956" s="11"/>
      <c r="B956" s="11"/>
      <c r="C956" s="11"/>
      <c r="D956" s="11"/>
      <c r="E956" t="str">
        <f t="shared" si="11"/>
        <v>|</v>
      </c>
    </row>
    <row r="957" spans="1:5" ht="15" customHeight="1" x14ac:dyDescent="0.3">
      <c r="A957" s="11"/>
      <c r="B957" s="11"/>
      <c r="C957" s="11"/>
      <c r="D957" s="11"/>
      <c r="E957" t="str">
        <f t="shared" si="11"/>
        <v>|</v>
      </c>
    </row>
    <row r="958" spans="1:5" ht="15" customHeight="1" x14ac:dyDescent="0.3">
      <c r="A958" s="11"/>
      <c r="B958" s="11"/>
      <c r="C958" s="11"/>
      <c r="D958" s="11"/>
      <c r="E958" t="str">
        <f t="shared" ref="E958:E1021" si="12">A958&amp;"|"&amp;B958</f>
        <v>|</v>
      </c>
    </row>
    <row r="959" spans="1:5" ht="15" customHeight="1" x14ac:dyDescent="0.3">
      <c r="A959" s="11"/>
      <c r="B959" s="11"/>
      <c r="C959" s="11"/>
      <c r="D959" s="11"/>
      <c r="E959" t="str">
        <f t="shared" si="12"/>
        <v>|</v>
      </c>
    </row>
    <row r="960" spans="1:5" ht="15" customHeight="1" x14ac:dyDescent="0.3">
      <c r="A960" s="11"/>
      <c r="B960" s="11"/>
      <c r="C960" s="11"/>
      <c r="D960" s="11"/>
      <c r="E960" t="str">
        <f t="shared" si="12"/>
        <v>|</v>
      </c>
    </row>
    <row r="961" spans="1:5" ht="15" customHeight="1" x14ac:dyDescent="0.3">
      <c r="A961" s="11"/>
      <c r="B961" s="11"/>
      <c r="C961" s="11"/>
      <c r="D961" s="11"/>
      <c r="E961" t="str">
        <f t="shared" si="12"/>
        <v>|</v>
      </c>
    </row>
    <row r="962" spans="1:5" ht="15" customHeight="1" x14ac:dyDescent="0.3">
      <c r="A962" s="11"/>
      <c r="B962" s="11"/>
      <c r="C962" s="11"/>
      <c r="D962" s="11"/>
      <c r="E962" t="str">
        <f t="shared" si="12"/>
        <v>|</v>
      </c>
    </row>
    <row r="963" spans="1:5" ht="15" customHeight="1" x14ac:dyDescent="0.3">
      <c r="A963" s="11"/>
      <c r="B963" s="11"/>
      <c r="C963" s="11"/>
      <c r="D963" s="11"/>
      <c r="E963" t="str">
        <f t="shared" si="12"/>
        <v>|</v>
      </c>
    </row>
    <row r="964" spans="1:5" ht="15" customHeight="1" x14ac:dyDescent="0.3">
      <c r="A964" s="11"/>
      <c r="B964" s="11"/>
      <c r="C964" s="11"/>
      <c r="D964" s="11"/>
      <c r="E964" t="str">
        <f t="shared" si="12"/>
        <v>|</v>
      </c>
    </row>
    <row r="965" spans="1:5" ht="15" customHeight="1" x14ac:dyDescent="0.3">
      <c r="A965" s="11"/>
      <c r="B965" s="11"/>
      <c r="C965" s="11"/>
      <c r="D965" s="11"/>
      <c r="E965" t="str">
        <f t="shared" si="12"/>
        <v>|</v>
      </c>
    </row>
    <row r="966" spans="1:5" ht="15" customHeight="1" x14ac:dyDescent="0.3">
      <c r="A966" s="11"/>
      <c r="B966" s="11"/>
      <c r="C966" s="11"/>
      <c r="D966" s="11"/>
      <c r="E966" t="str">
        <f t="shared" si="12"/>
        <v>|</v>
      </c>
    </row>
    <row r="967" spans="1:5" ht="15" customHeight="1" x14ac:dyDescent="0.3">
      <c r="A967" s="11"/>
      <c r="B967" s="11"/>
      <c r="C967" s="11"/>
      <c r="D967" s="11"/>
      <c r="E967" t="str">
        <f t="shared" si="12"/>
        <v>|</v>
      </c>
    </row>
    <row r="968" spans="1:5" ht="15" customHeight="1" x14ac:dyDescent="0.3">
      <c r="A968" s="11"/>
      <c r="B968" s="11"/>
      <c r="C968" s="11"/>
      <c r="D968" s="11"/>
      <c r="E968" t="str">
        <f t="shared" si="12"/>
        <v>|</v>
      </c>
    </row>
    <row r="969" spans="1:5" ht="15" customHeight="1" x14ac:dyDescent="0.3">
      <c r="A969" s="11"/>
      <c r="B969" s="11"/>
      <c r="C969" s="11"/>
      <c r="D969" s="11"/>
      <c r="E969" t="str">
        <f t="shared" si="12"/>
        <v>|</v>
      </c>
    </row>
    <row r="970" spans="1:5" ht="15" customHeight="1" x14ac:dyDescent="0.3">
      <c r="A970" s="11"/>
      <c r="B970" s="11"/>
      <c r="C970" s="11"/>
      <c r="D970" s="11"/>
      <c r="E970" t="str">
        <f t="shared" si="12"/>
        <v>|</v>
      </c>
    </row>
    <row r="971" spans="1:5" ht="15" customHeight="1" x14ac:dyDescent="0.3">
      <c r="A971" s="11"/>
      <c r="B971" s="11"/>
      <c r="C971" s="11"/>
      <c r="D971" s="11"/>
      <c r="E971" t="str">
        <f t="shared" si="12"/>
        <v>|</v>
      </c>
    </row>
    <row r="972" spans="1:5" ht="15" customHeight="1" x14ac:dyDescent="0.3">
      <c r="A972" s="11"/>
      <c r="B972" s="11"/>
      <c r="C972" s="11"/>
      <c r="D972" s="11"/>
      <c r="E972" t="str">
        <f t="shared" si="12"/>
        <v>|</v>
      </c>
    </row>
    <row r="973" spans="1:5" ht="15" customHeight="1" x14ac:dyDescent="0.3">
      <c r="A973" s="11"/>
      <c r="B973" s="11"/>
      <c r="C973" s="11"/>
      <c r="D973" s="11"/>
      <c r="E973" t="str">
        <f t="shared" si="12"/>
        <v>|</v>
      </c>
    </row>
    <row r="974" spans="1:5" ht="15" customHeight="1" x14ac:dyDescent="0.3">
      <c r="A974" s="11"/>
      <c r="B974" s="11"/>
      <c r="C974" s="11"/>
      <c r="D974" s="11"/>
      <c r="E974" t="str">
        <f t="shared" si="12"/>
        <v>|</v>
      </c>
    </row>
    <row r="975" spans="1:5" ht="15" customHeight="1" x14ac:dyDescent="0.3">
      <c r="A975" s="11"/>
      <c r="B975" s="11"/>
      <c r="C975" s="11"/>
      <c r="D975" s="11"/>
      <c r="E975" t="str">
        <f t="shared" si="12"/>
        <v>|</v>
      </c>
    </row>
    <row r="976" spans="1:5" ht="15" customHeight="1" x14ac:dyDescent="0.3">
      <c r="A976" s="11"/>
      <c r="B976" s="11"/>
      <c r="C976" s="11"/>
      <c r="D976" s="11"/>
      <c r="E976" t="str">
        <f t="shared" si="12"/>
        <v>|</v>
      </c>
    </row>
    <row r="977" spans="1:5" ht="15" customHeight="1" x14ac:dyDescent="0.3">
      <c r="A977" s="11"/>
      <c r="B977" s="11"/>
      <c r="C977" s="11"/>
      <c r="D977" s="11"/>
      <c r="E977" t="str">
        <f t="shared" si="12"/>
        <v>|</v>
      </c>
    </row>
    <row r="978" spans="1:5" ht="15" customHeight="1" x14ac:dyDescent="0.3">
      <c r="A978" s="11"/>
      <c r="B978" s="11"/>
      <c r="C978" s="11"/>
      <c r="D978" s="11"/>
      <c r="E978" t="str">
        <f t="shared" si="12"/>
        <v>|</v>
      </c>
    </row>
    <row r="979" spans="1:5" ht="15" customHeight="1" x14ac:dyDescent="0.3">
      <c r="A979" s="11"/>
      <c r="B979" s="11"/>
      <c r="C979" s="11"/>
      <c r="D979" s="11"/>
      <c r="E979" t="str">
        <f t="shared" si="12"/>
        <v>|</v>
      </c>
    </row>
    <row r="980" spans="1:5" ht="15" customHeight="1" x14ac:dyDescent="0.3">
      <c r="A980" s="11"/>
      <c r="B980" s="11"/>
      <c r="C980" s="11"/>
      <c r="D980" s="11"/>
      <c r="E980" t="str">
        <f t="shared" si="12"/>
        <v>|</v>
      </c>
    </row>
    <row r="981" spans="1:5" ht="15" customHeight="1" x14ac:dyDescent="0.3">
      <c r="A981" s="11"/>
      <c r="B981" s="11"/>
      <c r="C981" s="11"/>
      <c r="D981" s="11"/>
      <c r="E981" t="str">
        <f t="shared" si="12"/>
        <v>|</v>
      </c>
    </row>
    <row r="982" spans="1:5" ht="15" customHeight="1" x14ac:dyDescent="0.3">
      <c r="A982" s="11"/>
      <c r="B982" s="11"/>
      <c r="C982" s="11"/>
      <c r="D982" s="11"/>
      <c r="E982" t="str">
        <f t="shared" si="12"/>
        <v>|</v>
      </c>
    </row>
    <row r="983" spans="1:5" ht="15" customHeight="1" x14ac:dyDescent="0.3">
      <c r="A983" s="11"/>
      <c r="B983" s="11"/>
      <c r="C983" s="11"/>
      <c r="D983" s="11"/>
      <c r="E983" t="str">
        <f t="shared" si="12"/>
        <v>|</v>
      </c>
    </row>
    <row r="984" spans="1:5" ht="15" customHeight="1" x14ac:dyDescent="0.3">
      <c r="A984" s="11"/>
      <c r="B984" s="11"/>
      <c r="C984" s="11"/>
      <c r="D984" s="11"/>
      <c r="E984" t="str">
        <f t="shared" si="12"/>
        <v>|</v>
      </c>
    </row>
    <row r="985" spans="1:5" ht="15" customHeight="1" x14ac:dyDescent="0.3">
      <c r="A985" s="11"/>
      <c r="B985" s="11"/>
      <c r="C985" s="11"/>
      <c r="D985" s="11"/>
      <c r="E985" t="str">
        <f t="shared" si="12"/>
        <v>|</v>
      </c>
    </row>
    <row r="986" spans="1:5" ht="15" customHeight="1" x14ac:dyDescent="0.3">
      <c r="A986" s="11"/>
      <c r="B986" s="11"/>
      <c r="C986" s="11"/>
      <c r="D986" s="11"/>
      <c r="E986" t="str">
        <f t="shared" si="12"/>
        <v>|</v>
      </c>
    </row>
    <row r="987" spans="1:5" ht="15" customHeight="1" x14ac:dyDescent="0.3">
      <c r="A987" s="11"/>
      <c r="B987" s="11"/>
      <c r="C987" s="11"/>
      <c r="D987" s="11"/>
      <c r="E987" t="str">
        <f t="shared" si="12"/>
        <v>|</v>
      </c>
    </row>
    <row r="988" spans="1:5" ht="15" customHeight="1" x14ac:dyDescent="0.3">
      <c r="A988" s="11"/>
      <c r="B988" s="11"/>
      <c r="C988" s="11"/>
      <c r="D988" s="11"/>
      <c r="E988" t="str">
        <f t="shared" si="12"/>
        <v>|</v>
      </c>
    </row>
    <row r="989" spans="1:5" ht="15" customHeight="1" x14ac:dyDescent="0.3">
      <c r="A989" s="11"/>
      <c r="B989" s="11"/>
      <c r="C989" s="11"/>
      <c r="D989" s="11"/>
      <c r="E989" t="str">
        <f t="shared" si="12"/>
        <v>|</v>
      </c>
    </row>
    <row r="990" spans="1:5" ht="15" customHeight="1" x14ac:dyDescent="0.3">
      <c r="A990" s="11"/>
      <c r="B990" s="11"/>
      <c r="C990" s="11"/>
      <c r="D990" s="11"/>
      <c r="E990" t="str">
        <f t="shared" si="12"/>
        <v>|</v>
      </c>
    </row>
    <row r="991" spans="1:5" ht="15" customHeight="1" x14ac:dyDescent="0.3">
      <c r="A991" s="11"/>
      <c r="B991" s="11"/>
      <c r="C991" s="11"/>
      <c r="D991" s="11"/>
      <c r="E991" t="str">
        <f t="shared" si="12"/>
        <v>|</v>
      </c>
    </row>
    <row r="992" spans="1:5" ht="15" customHeight="1" x14ac:dyDescent="0.3">
      <c r="A992" s="11"/>
      <c r="B992" s="11"/>
      <c r="C992" s="11"/>
      <c r="D992" s="11"/>
      <c r="E992" t="str">
        <f t="shared" si="12"/>
        <v>|</v>
      </c>
    </row>
    <row r="993" spans="1:5" ht="15" customHeight="1" x14ac:dyDescent="0.3">
      <c r="A993" s="11"/>
      <c r="B993" s="11"/>
      <c r="C993" s="11"/>
      <c r="D993" s="11"/>
      <c r="E993" t="str">
        <f t="shared" si="12"/>
        <v>|</v>
      </c>
    </row>
    <row r="994" spans="1:5" ht="15" customHeight="1" x14ac:dyDescent="0.3">
      <c r="A994" s="11"/>
      <c r="B994" s="11"/>
      <c r="C994" s="11"/>
      <c r="D994" s="11"/>
      <c r="E994" t="str">
        <f t="shared" si="12"/>
        <v>|</v>
      </c>
    </row>
    <row r="995" spans="1:5" ht="15" customHeight="1" x14ac:dyDescent="0.3">
      <c r="A995" s="11"/>
      <c r="B995" s="11"/>
      <c r="C995" s="11"/>
      <c r="D995" s="11"/>
      <c r="E995" t="str">
        <f t="shared" si="12"/>
        <v>|</v>
      </c>
    </row>
    <row r="996" spans="1:5" ht="15" customHeight="1" x14ac:dyDescent="0.3">
      <c r="A996" s="11"/>
      <c r="B996" s="11"/>
      <c r="C996" s="11"/>
      <c r="D996" s="11"/>
      <c r="E996" t="str">
        <f t="shared" si="12"/>
        <v>|</v>
      </c>
    </row>
    <row r="997" spans="1:5" ht="15" customHeight="1" x14ac:dyDescent="0.3">
      <c r="A997" s="11"/>
      <c r="B997" s="11"/>
      <c r="C997" s="11"/>
      <c r="D997" s="11"/>
      <c r="E997" t="str">
        <f t="shared" si="12"/>
        <v>|</v>
      </c>
    </row>
    <row r="998" spans="1:5" ht="15" customHeight="1" x14ac:dyDescent="0.3">
      <c r="A998" s="11"/>
      <c r="B998" s="11"/>
      <c r="C998" s="11"/>
      <c r="D998" s="11"/>
      <c r="E998" t="str">
        <f t="shared" si="12"/>
        <v>|</v>
      </c>
    </row>
    <row r="999" spans="1:5" ht="15" customHeight="1" x14ac:dyDescent="0.3">
      <c r="A999" s="11"/>
      <c r="B999" s="11"/>
      <c r="C999" s="11"/>
      <c r="D999" s="11"/>
      <c r="E999" t="str">
        <f t="shared" si="12"/>
        <v>|</v>
      </c>
    </row>
    <row r="1000" spans="1:5" ht="15" customHeight="1" x14ac:dyDescent="0.3">
      <c r="A1000" s="11"/>
      <c r="B1000" s="11"/>
      <c r="C1000" s="11"/>
      <c r="D1000" s="11"/>
      <c r="E1000" t="str">
        <f t="shared" si="12"/>
        <v>|</v>
      </c>
    </row>
    <row r="1001" spans="1:5" ht="15" customHeight="1" x14ac:dyDescent="0.3">
      <c r="A1001" s="11"/>
      <c r="B1001" s="11"/>
      <c r="C1001" s="11"/>
      <c r="D1001" s="11"/>
      <c r="E1001" t="str">
        <f t="shared" si="12"/>
        <v>|</v>
      </c>
    </row>
    <row r="1002" spans="1:5" ht="15" customHeight="1" x14ac:dyDescent="0.3">
      <c r="A1002" s="11"/>
      <c r="B1002" s="11"/>
      <c r="C1002" s="11"/>
      <c r="D1002" s="11"/>
      <c r="E1002" t="str">
        <f t="shared" si="12"/>
        <v>|</v>
      </c>
    </row>
    <row r="1003" spans="1:5" ht="15" customHeight="1" x14ac:dyDescent="0.3">
      <c r="A1003" s="11"/>
      <c r="B1003" s="11"/>
      <c r="C1003" s="11"/>
      <c r="D1003" s="11"/>
      <c r="E1003" t="str">
        <f t="shared" si="12"/>
        <v>|</v>
      </c>
    </row>
    <row r="1004" spans="1:5" ht="15" customHeight="1" x14ac:dyDescent="0.3">
      <c r="A1004" s="11"/>
      <c r="B1004" s="11"/>
      <c r="C1004" s="11"/>
      <c r="D1004" s="11"/>
      <c r="E1004" t="str">
        <f t="shared" si="12"/>
        <v>|</v>
      </c>
    </row>
    <row r="1005" spans="1:5" ht="15" customHeight="1" x14ac:dyDescent="0.3">
      <c r="A1005" s="11"/>
      <c r="B1005" s="11"/>
      <c r="C1005" s="11"/>
      <c r="D1005" s="11"/>
      <c r="E1005" t="str">
        <f t="shared" si="12"/>
        <v>|</v>
      </c>
    </row>
    <row r="1006" spans="1:5" ht="15" customHeight="1" x14ac:dyDescent="0.3">
      <c r="A1006" s="11"/>
      <c r="B1006" s="11"/>
      <c r="C1006" s="11"/>
      <c r="D1006" s="11"/>
      <c r="E1006" t="str">
        <f t="shared" si="12"/>
        <v>|</v>
      </c>
    </row>
    <row r="1007" spans="1:5" ht="15" customHeight="1" x14ac:dyDescent="0.3">
      <c r="A1007" s="11"/>
      <c r="B1007" s="11"/>
      <c r="C1007" s="11"/>
      <c r="D1007" s="11"/>
      <c r="E1007" t="str">
        <f t="shared" si="12"/>
        <v>|</v>
      </c>
    </row>
    <row r="1008" spans="1:5" ht="15" customHeight="1" x14ac:dyDescent="0.3">
      <c r="A1008" s="11"/>
      <c r="B1008" s="11"/>
      <c r="C1008" s="11"/>
      <c r="D1008" s="11"/>
      <c r="E1008" t="str">
        <f t="shared" si="12"/>
        <v>|</v>
      </c>
    </row>
    <row r="1009" spans="1:5" ht="15" customHeight="1" x14ac:dyDescent="0.3">
      <c r="A1009" s="11"/>
      <c r="B1009" s="11"/>
      <c r="C1009" s="11"/>
      <c r="D1009" s="11"/>
      <c r="E1009" t="str">
        <f t="shared" si="12"/>
        <v>|</v>
      </c>
    </row>
    <row r="1010" spans="1:5" ht="15" customHeight="1" x14ac:dyDescent="0.3">
      <c r="A1010" s="11"/>
      <c r="B1010" s="11"/>
      <c r="C1010" s="11"/>
      <c r="D1010" s="11"/>
      <c r="E1010" t="str">
        <f t="shared" si="12"/>
        <v>|</v>
      </c>
    </row>
    <row r="1011" spans="1:5" ht="15" customHeight="1" x14ac:dyDescent="0.3">
      <c r="A1011" s="11"/>
      <c r="B1011" s="11"/>
      <c r="C1011" s="11"/>
      <c r="D1011" s="11"/>
      <c r="E1011" t="str">
        <f t="shared" si="12"/>
        <v>|</v>
      </c>
    </row>
    <row r="1012" spans="1:5" ht="15" customHeight="1" x14ac:dyDescent="0.3">
      <c r="A1012" s="11"/>
      <c r="B1012" s="11"/>
      <c r="C1012" s="11"/>
      <c r="D1012" s="11"/>
      <c r="E1012" t="str">
        <f t="shared" si="12"/>
        <v>|</v>
      </c>
    </row>
    <row r="1013" spans="1:5" ht="15" customHeight="1" x14ac:dyDescent="0.3">
      <c r="A1013" s="11"/>
      <c r="B1013" s="11"/>
      <c r="C1013" s="11"/>
      <c r="D1013" s="11"/>
      <c r="E1013" t="str">
        <f t="shared" si="12"/>
        <v>|</v>
      </c>
    </row>
    <row r="1014" spans="1:5" ht="15" customHeight="1" x14ac:dyDescent="0.3">
      <c r="A1014" s="11"/>
      <c r="B1014" s="11"/>
      <c r="C1014" s="11"/>
      <c r="D1014" s="11"/>
      <c r="E1014" t="str">
        <f t="shared" si="12"/>
        <v>|</v>
      </c>
    </row>
    <row r="1015" spans="1:5" ht="15" customHeight="1" x14ac:dyDescent="0.3">
      <c r="A1015" s="11"/>
      <c r="B1015" s="11"/>
      <c r="C1015" s="11"/>
      <c r="D1015" s="11"/>
      <c r="E1015" t="str">
        <f t="shared" si="12"/>
        <v>|</v>
      </c>
    </row>
    <row r="1016" spans="1:5" ht="15" customHeight="1" x14ac:dyDescent="0.3">
      <c r="A1016" s="11"/>
      <c r="B1016" s="11"/>
      <c r="C1016" s="11"/>
      <c r="D1016" s="11"/>
      <c r="E1016" t="str">
        <f t="shared" si="12"/>
        <v>|</v>
      </c>
    </row>
    <row r="1017" spans="1:5" ht="15" customHeight="1" x14ac:dyDescent="0.3">
      <c r="A1017" s="11"/>
      <c r="B1017" s="11"/>
      <c r="C1017" s="11"/>
      <c r="D1017" s="11"/>
      <c r="E1017" t="str">
        <f t="shared" si="12"/>
        <v>|</v>
      </c>
    </row>
    <row r="1018" spans="1:5" ht="15" customHeight="1" x14ac:dyDescent="0.3">
      <c r="A1018" s="11"/>
      <c r="B1018" s="11"/>
      <c r="C1018" s="11"/>
      <c r="D1018" s="11"/>
      <c r="E1018" t="str">
        <f t="shared" si="12"/>
        <v>|</v>
      </c>
    </row>
    <row r="1019" spans="1:5" ht="15" customHeight="1" x14ac:dyDescent="0.3">
      <c r="A1019" s="11"/>
      <c r="B1019" s="11"/>
      <c r="C1019" s="11"/>
      <c r="D1019" s="11"/>
      <c r="E1019" t="str">
        <f t="shared" si="12"/>
        <v>|</v>
      </c>
    </row>
    <row r="1020" spans="1:5" ht="15" customHeight="1" x14ac:dyDescent="0.3">
      <c r="A1020" s="11"/>
      <c r="B1020" s="11"/>
      <c r="C1020" s="11"/>
      <c r="D1020" s="11"/>
      <c r="E1020" t="str">
        <f t="shared" si="12"/>
        <v>|</v>
      </c>
    </row>
    <row r="1021" spans="1:5" ht="15" customHeight="1" x14ac:dyDescent="0.3">
      <c r="A1021" s="11"/>
      <c r="B1021" s="11"/>
      <c r="C1021" s="11"/>
      <c r="D1021" s="11"/>
      <c r="E1021" t="str">
        <f t="shared" si="12"/>
        <v>|</v>
      </c>
    </row>
    <row r="1022" spans="1:5" ht="15" customHeight="1" x14ac:dyDescent="0.3">
      <c r="A1022" s="11"/>
      <c r="B1022" s="11"/>
      <c r="C1022" s="11"/>
      <c r="D1022" s="11"/>
      <c r="E1022" t="str">
        <f t="shared" ref="E1022:E1085" si="13">A1022&amp;"|"&amp;B1022</f>
        <v>|</v>
      </c>
    </row>
    <row r="1023" spans="1:5" ht="15" customHeight="1" x14ac:dyDescent="0.3">
      <c r="A1023" s="11"/>
      <c r="B1023" s="11"/>
      <c r="C1023" s="11"/>
      <c r="D1023" s="11"/>
      <c r="E1023" t="str">
        <f t="shared" si="13"/>
        <v>|</v>
      </c>
    </row>
    <row r="1024" spans="1:5" ht="15" customHeight="1" x14ac:dyDescent="0.3">
      <c r="A1024" s="11"/>
      <c r="B1024" s="11"/>
      <c r="C1024" s="11"/>
      <c r="D1024" s="11"/>
      <c r="E1024" t="str">
        <f t="shared" si="13"/>
        <v>|</v>
      </c>
    </row>
    <row r="1025" spans="1:5" ht="15" customHeight="1" x14ac:dyDescent="0.3">
      <c r="A1025" s="11"/>
      <c r="B1025" s="11"/>
      <c r="C1025" s="11"/>
      <c r="D1025" s="11"/>
      <c r="E1025" t="str">
        <f t="shared" si="13"/>
        <v>|</v>
      </c>
    </row>
    <row r="1026" spans="1:5" ht="15" customHeight="1" x14ac:dyDescent="0.3">
      <c r="A1026" s="11"/>
      <c r="B1026" s="11"/>
      <c r="C1026" s="11"/>
      <c r="D1026" s="11"/>
      <c r="E1026" t="str">
        <f t="shared" si="13"/>
        <v>|</v>
      </c>
    </row>
    <row r="1027" spans="1:5" ht="15" customHeight="1" x14ac:dyDescent="0.3">
      <c r="A1027" s="11"/>
      <c r="B1027" s="11"/>
      <c r="C1027" s="11"/>
      <c r="D1027" s="11"/>
      <c r="E1027" t="str">
        <f t="shared" si="13"/>
        <v>|</v>
      </c>
    </row>
    <row r="1028" spans="1:5" ht="15" customHeight="1" x14ac:dyDescent="0.3">
      <c r="A1028" s="11"/>
      <c r="B1028" s="11"/>
      <c r="C1028" s="11"/>
      <c r="D1028" s="11"/>
      <c r="E1028" t="str">
        <f t="shared" si="13"/>
        <v>|</v>
      </c>
    </row>
    <row r="1029" spans="1:5" ht="15" customHeight="1" x14ac:dyDescent="0.3">
      <c r="A1029" s="11"/>
      <c r="B1029" s="11"/>
      <c r="C1029" s="11"/>
      <c r="D1029" s="11"/>
      <c r="E1029" t="str">
        <f t="shared" si="13"/>
        <v>|</v>
      </c>
    </row>
    <row r="1030" spans="1:5" ht="15" customHeight="1" x14ac:dyDescent="0.3">
      <c r="A1030" s="11"/>
      <c r="B1030" s="11"/>
      <c r="C1030" s="11"/>
      <c r="D1030" s="11"/>
      <c r="E1030" t="str">
        <f t="shared" si="13"/>
        <v>|</v>
      </c>
    </row>
    <row r="1031" spans="1:5" ht="15" customHeight="1" x14ac:dyDescent="0.3">
      <c r="A1031" s="11"/>
      <c r="B1031" s="11"/>
      <c r="C1031" s="11"/>
      <c r="D1031" s="11"/>
      <c r="E1031" t="str">
        <f t="shared" si="13"/>
        <v>|</v>
      </c>
    </row>
    <row r="1032" spans="1:5" ht="15" customHeight="1" x14ac:dyDescent="0.3">
      <c r="A1032" s="11"/>
      <c r="B1032" s="11"/>
      <c r="C1032" s="11"/>
      <c r="D1032" s="11"/>
      <c r="E1032" t="str">
        <f t="shared" si="13"/>
        <v>|</v>
      </c>
    </row>
    <row r="1033" spans="1:5" ht="15" customHeight="1" x14ac:dyDescent="0.3">
      <c r="A1033" s="11"/>
      <c r="B1033" s="11"/>
      <c r="C1033" s="11"/>
      <c r="D1033" s="11"/>
      <c r="E1033" t="str">
        <f t="shared" si="13"/>
        <v>|</v>
      </c>
    </row>
    <row r="1034" spans="1:5" ht="15" customHeight="1" x14ac:dyDescent="0.3">
      <c r="A1034" s="11"/>
      <c r="B1034" s="11"/>
      <c r="C1034" s="11"/>
      <c r="D1034" s="11"/>
      <c r="E1034" t="str">
        <f t="shared" si="13"/>
        <v>|</v>
      </c>
    </row>
    <row r="1035" spans="1:5" ht="15" customHeight="1" x14ac:dyDescent="0.3">
      <c r="A1035" s="11"/>
      <c r="B1035" s="11"/>
      <c r="C1035" s="11"/>
      <c r="D1035" s="11"/>
      <c r="E1035" t="str">
        <f t="shared" si="13"/>
        <v>|</v>
      </c>
    </row>
    <row r="1036" spans="1:5" ht="15" customHeight="1" x14ac:dyDescent="0.3">
      <c r="A1036" s="11"/>
      <c r="B1036" s="11"/>
      <c r="C1036" s="11"/>
      <c r="D1036" s="11"/>
      <c r="E1036" t="str">
        <f t="shared" si="13"/>
        <v>|</v>
      </c>
    </row>
    <row r="1037" spans="1:5" ht="15" customHeight="1" x14ac:dyDescent="0.3">
      <c r="A1037" s="11"/>
      <c r="B1037" s="11"/>
      <c r="C1037" s="11"/>
      <c r="D1037" s="11"/>
      <c r="E1037" t="str">
        <f t="shared" si="13"/>
        <v>|</v>
      </c>
    </row>
    <row r="1038" spans="1:5" ht="15" customHeight="1" x14ac:dyDescent="0.3">
      <c r="A1038" s="11"/>
      <c r="B1038" s="11"/>
      <c r="C1038" s="11"/>
      <c r="D1038" s="11"/>
      <c r="E1038" t="str">
        <f t="shared" si="13"/>
        <v>|</v>
      </c>
    </row>
    <row r="1039" spans="1:5" ht="15" customHeight="1" x14ac:dyDescent="0.3">
      <c r="A1039" s="11"/>
      <c r="B1039" s="11"/>
      <c r="C1039" s="11"/>
      <c r="D1039" s="11"/>
      <c r="E1039" t="str">
        <f t="shared" si="13"/>
        <v>|</v>
      </c>
    </row>
    <row r="1040" spans="1:5" ht="15" customHeight="1" x14ac:dyDescent="0.3">
      <c r="A1040" s="11"/>
      <c r="B1040" s="11"/>
      <c r="C1040" s="11"/>
      <c r="D1040" s="11"/>
      <c r="E1040" t="str">
        <f t="shared" si="13"/>
        <v>|</v>
      </c>
    </row>
    <row r="1041" spans="1:5" ht="15" customHeight="1" x14ac:dyDescent="0.3">
      <c r="A1041" s="11"/>
      <c r="B1041" s="11"/>
      <c r="C1041" s="11"/>
      <c r="D1041" s="11"/>
      <c r="E1041" t="str">
        <f t="shared" si="13"/>
        <v>|</v>
      </c>
    </row>
    <row r="1042" spans="1:5" ht="15" customHeight="1" x14ac:dyDescent="0.3">
      <c r="A1042" s="11"/>
      <c r="B1042" s="11"/>
      <c r="C1042" s="11"/>
      <c r="D1042" s="11"/>
      <c r="E1042" t="str">
        <f t="shared" si="13"/>
        <v>|</v>
      </c>
    </row>
    <row r="1043" spans="1:5" ht="15" customHeight="1" x14ac:dyDescent="0.3">
      <c r="A1043" s="11"/>
      <c r="B1043" s="11"/>
      <c r="C1043" s="11"/>
      <c r="D1043" s="11"/>
      <c r="E1043" t="str">
        <f t="shared" si="13"/>
        <v>|</v>
      </c>
    </row>
    <row r="1044" spans="1:5" ht="15" customHeight="1" x14ac:dyDescent="0.3">
      <c r="A1044" s="11"/>
      <c r="B1044" s="11"/>
      <c r="C1044" s="11"/>
      <c r="D1044" s="11"/>
      <c r="E1044" t="str">
        <f t="shared" si="13"/>
        <v>|</v>
      </c>
    </row>
    <row r="1045" spans="1:5" ht="15" customHeight="1" x14ac:dyDescent="0.3">
      <c r="A1045" s="11"/>
      <c r="B1045" s="11"/>
      <c r="C1045" s="11"/>
      <c r="D1045" s="11"/>
      <c r="E1045" t="str">
        <f t="shared" si="13"/>
        <v>|</v>
      </c>
    </row>
    <row r="1046" spans="1:5" ht="15" customHeight="1" x14ac:dyDescent="0.3">
      <c r="A1046" s="11"/>
      <c r="B1046" s="11"/>
      <c r="C1046" s="11"/>
      <c r="D1046" s="11"/>
      <c r="E1046" t="str">
        <f t="shared" si="13"/>
        <v>|</v>
      </c>
    </row>
    <row r="1047" spans="1:5" ht="15" customHeight="1" x14ac:dyDescent="0.3">
      <c r="A1047" s="11"/>
      <c r="B1047" s="11"/>
      <c r="C1047" s="11"/>
      <c r="D1047" s="11"/>
      <c r="E1047" t="str">
        <f t="shared" si="13"/>
        <v>|</v>
      </c>
    </row>
    <row r="1048" spans="1:5" ht="15" customHeight="1" x14ac:dyDescent="0.3">
      <c r="A1048" s="11"/>
      <c r="B1048" s="11"/>
      <c r="C1048" s="11"/>
      <c r="D1048" s="11"/>
      <c r="E1048" t="str">
        <f t="shared" si="13"/>
        <v>|</v>
      </c>
    </row>
    <row r="1049" spans="1:5" ht="15" customHeight="1" x14ac:dyDescent="0.3">
      <c r="A1049" s="11"/>
      <c r="B1049" s="11"/>
      <c r="C1049" s="11"/>
      <c r="D1049" s="11"/>
      <c r="E1049" t="str">
        <f t="shared" si="13"/>
        <v>|</v>
      </c>
    </row>
    <row r="1050" spans="1:5" ht="15" customHeight="1" x14ac:dyDescent="0.3">
      <c r="A1050" s="11"/>
      <c r="B1050" s="11"/>
      <c r="C1050" s="11"/>
      <c r="D1050" s="11"/>
      <c r="E1050" t="str">
        <f t="shared" si="13"/>
        <v>|</v>
      </c>
    </row>
    <row r="1051" spans="1:5" ht="15" customHeight="1" x14ac:dyDescent="0.3">
      <c r="A1051" s="11"/>
      <c r="B1051" s="11"/>
      <c r="C1051" s="11"/>
      <c r="D1051" s="11"/>
      <c r="E1051" t="str">
        <f t="shared" si="13"/>
        <v>|</v>
      </c>
    </row>
    <row r="1052" spans="1:5" ht="15" customHeight="1" x14ac:dyDescent="0.3">
      <c r="A1052" s="11"/>
      <c r="B1052" s="11"/>
      <c r="C1052" s="11"/>
      <c r="D1052" s="11"/>
      <c r="E1052" t="str">
        <f t="shared" si="13"/>
        <v>|</v>
      </c>
    </row>
    <row r="1053" spans="1:5" ht="15" customHeight="1" x14ac:dyDescent="0.3">
      <c r="A1053" s="11"/>
      <c r="B1053" s="11"/>
      <c r="C1053" s="11"/>
      <c r="D1053" s="11"/>
      <c r="E1053" t="str">
        <f t="shared" si="13"/>
        <v>|</v>
      </c>
    </row>
    <row r="1054" spans="1:5" ht="15" customHeight="1" x14ac:dyDescent="0.3">
      <c r="A1054" s="11"/>
      <c r="B1054" s="11"/>
      <c r="C1054" s="11"/>
      <c r="D1054" s="11"/>
      <c r="E1054" t="str">
        <f t="shared" si="13"/>
        <v>|</v>
      </c>
    </row>
    <row r="1055" spans="1:5" ht="15" customHeight="1" x14ac:dyDescent="0.3">
      <c r="A1055" s="11"/>
      <c r="B1055" s="11"/>
      <c r="C1055" s="11"/>
      <c r="D1055" s="11"/>
      <c r="E1055" t="str">
        <f t="shared" si="13"/>
        <v>|</v>
      </c>
    </row>
    <row r="1056" spans="1:5" ht="15" customHeight="1" x14ac:dyDescent="0.3">
      <c r="A1056" s="11"/>
      <c r="B1056" s="11"/>
      <c r="C1056" s="11"/>
      <c r="D1056" s="11"/>
      <c r="E1056" t="str">
        <f t="shared" si="13"/>
        <v>|</v>
      </c>
    </row>
    <row r="1057" spans="1:5" ht="15" customHeight="1" x14ac:dyDescent="0.3">
      <c r="A1057" s="11"/>
      <c r="B1057" s="11"/>
      <c r="C1057" s="11"/>
      <c r="D1057" s="11"/>
      <c r="E1057" t="str">
        <f t="shared" si="13"/>
        <v>|</v>
      </c>
    </row>
    <row r="1058" spans="1:5" ht="15" customHeight="1" x14ac:dyDescent="0.3">
      <c r="A1058" s="11"/>
      <c r="B1058" s="11"/>
      <c r="C1058" s="11"/>
      <c r="D1058" s="11"/>
      <c r="E1058" t="str">
        <f t="shared" si="13"/>
        <v>|</v>
      </c>
    </row>
    <row r="1059" spans="1:5" ht="15" customHeight="1" x14ac:dyDescent="0.3">
      <c r="A1059" s="11"/>
      <c r="B1059" s="11"/>
      <c r="C1059" s="11"/>
      <c r="D1059" s="11"/>
      <c r="E1059" t="str">
        <f t="shared" si="13"/>
        <v>|</v>
      </c>
    </row>
    <row r="1060" spans="1:5" ht="15" customHeight="1" x14ac:dyDescent="0.3">
      <c r="A1060" s="11"/>
      <c r="B1060" s="11"/>
      <c r="C1060" s="11"/>
      <c r="D1060" s="11"/>
      <c r="E1060" t="str">
        <f t="shared" si="13"/>
        <v>|</v>
      </c>
    </row>
    <row r="1061" spans="1:5" ht="15" customHeight="1" x14ac:dyDescent="0.3">
      <c r="A1061" s="11"/>
      <c r="B1061" s="11"/>
      <c r="C1061" s="11"/>
      <c r="D1061" s="11"/>
      <c r="E1061" t="str">
        <f t="shared" si="13"/>
        <v>|</v>
      </c>
    </row>
    <row r="1062" spans="1:5" ht="15" customHeight="1" x14ac:dyDescent="0.3">
      <c r="A1062" s="11"/>
      <c r="B1062" s="11"/>
      <c r="C1062" s="11"/>
      <c r="D1062" s="11"/>
      <c r="E1062" t="str">
        <f t="shared" si="13"/>
        <v>|</v>
      </c>
    </row>
    <row r="1063" spans="1:5" ht="15" customHeight="1" x14ac:dyDescent="0.3">
      <c r="A1063" s="11"/>
      <c r="B1063" s="11"/>
      <c r="C1063" s="11"/>
      <c r="D1063" s="11"/>
      <c r="E1063" t="str">
        <f t="shared" si="13"/>
        <v>|</v>
      </c>
    </row>
    <row r="1064" spans="1:5" ht="15" customHeight="1" x14ac:dyDescent="0.3">
      <c r="A1064" s="11"/>
      <c r="B1064" s="11"/>
      <c r="C1064" s="11"/>
      <c r="D1064" s="11"/>
      <c r="E1064" t="str">
        <f t="shared" si="13"/>
        <v>|</v>
      </c>
    </row>
    <row r="1065" spans="1:5" ht="15" customHeight="1" x14ac:dyDescent="0.3">
      <c r="A1065" s="11"/>
      <c r="B1065" s="11"/>
      <c r="C1065" s="11"/>
      <c r="D1065" s="11"/>
      <c r="E1065" t="str">
        <f t="shared" si="13"/>
        <v>|</v>
      </c>
    </row>
    <row r="1066" spans="1:5" ht="15" customHeight="1" x14ac:dyDescent="0.3">
      <c r="A1066" s="11"/>
      <c r="B1066" s="11"/>
      <c r="C1066" s="11"/>
      <c r="D1066" s="11"/>
      <c r="E1066" t="str">
        <f t="shared" si="13"/>
        <v>|</v>
      </c>
    </row>
    <row r="1067" spans="1:5" ht="15" customHeight="1" x14ac:dyDescent="0.3">
      <c r="A1067" s="11"/>
      <c r="B1067" s="11"/>
      <c r="C1067" s="11"/>
      <c r="D1067" s="11"/>
      <c r="E1067" t="str">
        <f t="shared" si="13"/>
        <v>|</v>
      </c>
    </row>
    <row r="1068" spans="1:5" ht="15" customHeight="1" x14ac:dyDescent="0.3">
      <c r="A1068" s="11"/>
      <c r="B1068" s="11"/>
      <c r="C1068" s="11"/>
      <c r="D1068" s="11"/>
      <c r="E1068" t="str">
        <f t="shared" si="13"/>
        <v>|</v>
      </c>
    </row>
    <row r="1069" spans="1:5" ht="15" customHeight="1" x14ac:dyDescent="0.3">
      <c r="A1069" s="11"/>
      <c r="B1069" s="11"/>
      <c r="C1069" s="11"/>
      <c r="D1069" s="11"/>
      <c r="E1069" t="str">
        <f t="shared" si="13"/>
        <v>|</v>
      </c>
    </row>
    <row r="1070" spans="1:5" ht="15" customHeight="1" x14ac:dyDescent="0.3">
      <c r="A1070" s="11"/>
      <c r="B1070" s="11"/>
      <c r="C1070" s="11"/>
      <c r="D1070" s="11"/>
      <c r="E1070" t="str">
        <f t="shared" si="13"/>
        <v>|</v>
      </c>
    </row>
    <row r="1071" spans="1:5" ht="15" customHeight="1" x14ac:dyDescent="0.3">
      <c r="A1071" s="11"/>
      <c r="B1071" s="11"/>
      <c r="C1071" s="11"/>
      <c r="D1071" s="11"/>
      <c r="E1071" t="str">
        <f t="shared" si="13"/>
        <v>|</v>
      </c>
    </row>
    <row r="1072" spans="1:5" ht="15" customHeight="1" x14ac:dyDescent="0.3">
      <c r="A1072" s="11"/>
      <c r="B1072" s="11"/>
      <c r="C1072" s="11"/>
      <c r="D1072" s="11"/>
      <c r="E1072" t="str">
        <f t="shared" si="13"/>
        <v>|</v>
      </c>
    </row>
    <row r="1073" spans="1:5" ht="15" customHeight="1" x14ac:dyDescent="0.3">
      <c r="A1073" s="11"/>
      <c r="B1073" s="11"/>
      <c r="C1073" s="11"/>
      <c r="D1073" s="11"/>
      <c r="E1073" t="str">
        <f t="shared" si="13"/>
        <v>|</v>
      </c>
    </row>
    <row r="1074" spans="1:5" ht="15" customHeight="1" x14ac:dyDescent="0.3">
      <c r="A1074" s="11"/>
      <c r="B1074" s="11"/>
      <c r="C1074" s="11"/>
      <c r="D1074" s="11"/>
      <c r="E1074" t="str">
        <f t="shared" si="13"/>
        <v>|</v>
      </c>
    </row>
    <row r="1075" spans="1:5" ht="15" customHeight="1" x14ac:dyDescent="0.3">
      <c r="A1075" s="11"/>
      <c r="B1075" s="11"/>
      <c r="C1075" s="11"/>
      <c r="D1075" s="11"/>
      <c r="E1075" t="str">
        <f t="shared" si="13"/>
        <v>|</v>
      </c>
    </row>
    <row r="1076" spans="1:5" ht="15" customHeight="1" x14ac:dyDescent="0.3">
      <c r="A1076" s="11"/>
      <c r="B1076" s="11"/>
      <c r="C1076" s="11"/>
      <c r="D1076" s="11"/>
      <c r="E1076" t="str">
        <f t="shared" si="13"/>
        <v>|</v>
      </c>
    </row>
    <row r="1077" spans="1:5" ht="15" customHeight="1" x14ac:dyDescent="0.3">
      <c r="A1077" s="11"/>
      <c r="B1077" s="11"/>
      <c r="C1077" s="11"/>
      <c r="D1077" s="11"/>
      <c r="E1077" t="str">
        <f t="shared" si="13"/>
        <v>|</v>
      </c>
    </row>
    <row r="1078" spans="1:5" ht="15" customHeight="1" x14ac:dyDescent="0.3">
      <c r="A1078" s="11"/>
      <c r="B1078" s="11"/>
      <c r="C1078" s="11"/>
      <c r="D1078" s="11"/>
      <c r="E1078" t="str">
        <f t="shared" si="13"/>
        <v>|</v>
      </c>
    </row>
    <row r="1079" spans="1:5" ht="15" customHeight="1" x14ac:dyDescent="0.3">
      <c r="A1079" s="11"/>
      <c r="B1079" s="11"/>
      <c r="C1079" s="11"/>
      <c r="D1079" s="11"/>
      <c r="E1079" t="str">
        <f t="shared" si="13"/>
        <v>|</v>
      </c>
    </row>
    <row r="1080" spans="1:5" ht="15" customHeight="1" x14ac:dyDescent="0.3">
      <c r="A1080" s="11"/>
      <c r="B1080" s="11"/>
      <c r="C1080" s="11"/>
      <c r="D1080" s="11"/>
      <c r="E1080" t="str">
        <f t="shared" si="13"/>
        <v>|</v>
      </c>
    </row>
    <row r="1081" spans="1:5" ht="15" customHeight="1" x14ac:dyDescent="0.3">
      <c r="A1081" s="11"/>
      <c r="B1081" s="11"/>
      <c r="C1081" s="11"/>
      <c r="D1081" s="11"/>
      <c r="E1081" t="str">
        <f t="shared" si="13"/>
        <v>|</v>
      </c>
    </row>
    <row r="1082" spans="1:5" ht="15" customHeight="1" x14ac:dyDescent="0.3">
      <c r="A1082" s="11"/>
      <c r="B1082" s="11"/>
      <c r="C1082" s="11"/>
      <c r="D1082" s="11"/>
      <c r="E1082" t="str">
        <f t="shared" si="13"/>
        <v>|</v>
      </c>
    </row>
    <row r="1083" spans="1:5" ht="15" customHeight="1" x14ac:dyDescent="0.3">
      <c r="A1083" s="11"/>
      <c r="B1083" s="11"/>
      <c r="C1083" s="11"/>
      <c r="D1083" s="11"/>
      <c r="E1083" t="str">
        <f t="shared" si="13"/>
        <v>|</v>
      </c>
    </row>
    <row r="1084" spans="1:5" ht="15" customHeight="1" x14ac:dyDescent="0.3">
      <c r="A1084" s="11"/>
      <c r="B1084" s="11"/>
      <c r="C1084" s="11"/>
      <c r="D1084" s="11"/>
      <c r="E1084" t="str">
        <f t="shared" si="13"/>
        <v>|</v>
      </c>
    </row>
    <row r="1085" spans="1:5" ht="15" customHeight="1" x14ac:dyDescent="0.3">
      <c r="A1085" s="11"/>
      <c r="B1085" s="11"/>
      <c r="C1085" s="11"/>
      <c r="D1085" s="11"/>
      <c r="E1085" t="str">
        <f t="shared" si="13"/>
        <v>|</v>
      </c>
    </row>
    <row r="1086" spans="1:5" ht="15" customHeight="1" x14ac:dyDescent="0.3">
      <c r="A1086" s="11"/>
      <c r="B1086" s="11"/>
      <c r="C1086" s="11"/>
      <c r="D1086" s="11"/>
      <c r="E1086" t="str">
        <f t="shared" ref="E1086:E1149" si="14">A1086&amp;"|"&amp;B1086</f>
        <v>|</v>
      </c>
    </row>
    <row r="1087" spans="1:5" ht="15" customHeight="1" x14ac:dyDescent="0.3">
      <c r="A1087" s="11"/>
      <c r="B1087" s="11"/>
      <c r="C1087" s="11"/>
      <c r="D1087" s="11"/>
      <c r="E1087" t="str">
        <f t="shared" si="14"/>
        <v>|</v>
      </c>
    </row>
    <row r="1088" spans="1:5" ht="15" customHeight="1" x14ac:dyDescent="0.3">
      <c r="A1088" s="11"/>
      <c r="B1088" s="11"/>
      <c r="C1088" s="11"/>
      <c r="D1088" s="11"/>
      <c r="E1088" t="str">
        <f t="shared" si="14"/>
        <v>|</v>
      </c>
    </row>
    <row r="1089" spans="1:5" ht="15" customHeight="1" x14ac:dyDescent="0.3">
      <c r="A1089" s="11"/>
      <c r="B1089" s="11"/>
      <c r="C1089" s="11"/>
      <c r="D1089" s="11"/>
      <c r="E1089" t="str">
        <f t="shared" si="14"/>
        <v>|</v>
      </c>
    </row>
    <row r="1090" spans="1:5" ht="15" customHeight="1" x14ac:dyDescent="0.3">
      <c r="A1090" s="11"/>
      <c r="B1090" s="11"/>
      <c r="C1090" s="11"/>
      <c r="D1090" s="11"/>
      <c r="E1090" t="str">
        <f t="shared" si="14"/>
        <v>|</v>
      </c>
    </row>
    <row r="1091" spans="1:5" ht="15" customHeight="1" x14ac:dyDescent="0.3">
      <c r="A1091" s="11"/>
      <c r="B1091" s="11"/>
      <c r="C1091" s="11"/>
      <c r="D1091" s="11"/>
      <c r="E1091" t="str">
        <f t="shared" si="14"/>
        <v>|</v>
      </c>
    </row>
    <row r="1092" spans="1:5" ht="15" customHeight="1" x14ac:dyDescent="0.3">
      <c r="A1092" s="11"/>
      <c r="B1092" s="11"/>
      <c r="C1092" s="11"/>
      <c r="D1092" s="11"/>
      <c r="E1092" t="str">
        <f t="shared" si="14"/>
        <v>|</v>
      </c>
    </row>
    <row r="1093" spans="1:5" ht="15" customHeight="1" x14ac:dyDescent="0.3">
      <c r="A1093" s="11"/>
      <c r="B1093" s="11"/>
      <c r="C1093" s="11"/>
      <c r="D1093" s="11"/>
      <c r="E1093" t="str">
        <f t="shared" si="14"/>
        <v>|</v>
      </c>
    </row>
    <row r="1094" spans="1:5" ht="15" customHeight="1" x14ac:dyDescent="0.3">
      <c r="A1094" s="11"/>
      <c r="B1094" s="11"/>
      <c r="C1094" s="11"/>
      <c r="D1094" s="11"/>
      <c r="E1094" t="str">
        <f t="shared" si="14"/>
        <v>|</v>
      </c>
    </row>
    <row r="1095" spans="1:5" ht="15" customHeight="1" x14ac:dyDescent="0.3">
      <c r="A1095" s="11"/>
      <c r="B1095" s="11"/>
      <c r="C1095" s="11"/>
      <c r="D1095" s="11"/>
      <c r="E1095" t="str">
        <f t="shared" si="14"/>
        <v>|</v>
      </c>
    </row>
    <row r="1096" spans="1:5" ht="15" customHeight="1" x14ac:dyDescent="0.3">
      <c r="A1096" s="11"/>
      <c r="B1096" s="11"/>
      <c r="C1096" s="11"/>
      <c r="D1096" s="11"/>
      <c r="E1096" t="str">
        <f t="shared" si="14"/>
        <v>|</v>
      </c>
    </row>
    <row r="1097" spans="1:5" ht="15" customHeight="1" x14ac:dyDescent="0.3">
      <c r="A1097" s="11"/>
      <c r="B1097" s="11"/>
      <c r="C1097" s="11"/>
      <c r="D1097" s="11"/>
      <c r="E1097" t="str">
        <f t="shared" si="14"/>
        <v>|</v>
      </c>
    </row>
    <row r="1098" spans="1:5" ht="15" customHeight="1" x14ac:dyDescent="0.3">
      <c r="A1098" s="11"/>
      <c r="B1098" s="11"/>
      <c r="C1098" s="11"/>
      <c r="D1098" s="11"/>
      <c r="E1098" t="str">
        <f t="shared" si="14"/>
        <v>|</v>
      </c>
    </row>
    <row r="1099" spans="1:5" ht="15" customHeight="1" x14ac:dyDescent="0.3">
      <c r="A1099" s="11"/>
      <c r="B1099" s="11"/>
      <c r="C1099" s="11"/>
      <c r="D1099" s="11"/>
      <c r="E1099" t="str">
        <f t="shared" si="14"/>
        <v>|</v>
      </c>
    </row>
    <row r="1100" spans="1:5" ht="15" customHeight="1" x14ac:dyDescent="0.3">
      <c r="A1100" s="11"/>
      <c r="B1100" s="11"/>
      <c r="C1100" s="11"/>
      <c r="D1100" s="11"/>
      <c r="E1100" t="str">
        <f t="shared" si="14"/>
        <v>|</v>
      </c>
    </row>
    <row r="1101" spans="1:5" ht="15" customHeight="1" x14ac:dyDescent="0.3">
      <c r="A1101" s="11"/>
      <c r="B1101" s="11"/>
      <c r="C1101" s="11"/>
      <c r="D1101" s="11"/>
      <c r="E1101" t="str">
        <f t="shared" si="14"/>
        <v>|</v>
      </c>
    </row>
    <row r="1102" spans="1:5" ht="15" customHeight="1" x14ac:dyDescent="0.3">
      <c r="A1102" s="11"/>
      <c r="B1102" s="11"/>
      <c r="C1102" s="11"/>
      <c r="D1102" s="11"/>
      <c r="E1102" t="str">
        <f t="shared" si="14"/>
        <v>|</v>
      </c>
    </row>
    <row r="1103" spans="1:5" ht="15" customHeight="1" x14ac:dyDescent="0.3">
      <c r="A1103" s="11"/>
      <c r="B1103" s="11"/>
      <c r="C1103" s="11"/>
      <c r="D1103" s="11"/>
      <c r="E1103" t="str">
        <f t="shared" si="14"/>
        <v>|</v>
      </c>
    </row>
    <row r="1104" spans="1:5" ht="15" customHeight="1" x14ac:dyDescent="0.3">
      <c r="A1104" s="11"/>
      <c r="B1104" s="11"/>
      <c r="C1104" s="11"/>
      <c r="D1104" s="11"/>
      <c r="E1104" t="str">
        <f t="shared" si="14"/>
        <v>|</v>
      </c>
    </row>
    <row r="1105" spans="1:5" ht="15" customHeight="1" x14ac:dyDescent="0.3">
      <c r="A1105" s="11"/>
      <c r="B1105" s="11"/>
      <c r="C1105" s="11"/>
      <c r="D1105" s="11"/>
      <c r="E1105" t="str">
        <f t="shared" si="14"/>
        <v>|</v>
      </c>
    </row>
    <row r="1106" spans="1:5" ht="15" customHeight="1" x14ac:dyDescent="0.3">
      <c r="A1106" s="11"/>
      <c r="B1106" s="11"/>
      <c r="C1106" s="11"/>
      <c r="D1106" s="11"/>
      <c r="E1106" t="str">
        <f t="shared" si="14"/>
        <v>|</v>
      </c>
    </row>
    <row r="1107" spans="1:5" ht="15" customHeight="1" x14ac:dyDescent="0.3">
      <c r="A1107" s="11"/>
      <c r="B1107" s="11"/>
      <c r="C1107" s="11"/>
      <c r="D1107" s="11"/>
      <c r="E1107" t="str">
        <f t="shared" si="14"/>
        <v>|</v>
      </c>
    </row>
    <row r="1108" spans="1:5" ht="15" customHeight="1" x14ac:dyDescent="0.3">
      <c r="A1108" s="11"/>
      <c r="B1108" s="11"/>
      <c r="C1108" s="11"/>
      <c r="D1108" s="11"/>
      <c r="E1108" t="str">
        <f t="shared" si="14"/>
        <v>|</v>
      </c>
    </row>
    <row r="1109" spans="1:5" ht="15" customHeight="1" x14ac:dyDescent="0.3">
      <c r="A1109" s="11"/>
      <c r="B1109" s="11"/>
      <c r="C1109" s="11"/>
      <c r="D1109" s="11"/>
      <c r="E1109" t="str">
        <f t="shared" si="14"/>
        <v>|</v>
      </c>
    </row>
    <row r="1110" spans="1:5" ht="15" customHeight="1" x14ac:dyDescent="0.3">
      <c r="A1110" s="11"/>
      <c r="B1110" s="11"/>
      <c r="C1110" s="11"/>
      <c r="D1110" s="11"/>
      <c r="E1110" t="str">
        <f t="shared" si="14"/>
        <v>|</v>
      </c>
    </row>
    <row r="1111" spans="1:5" ht="15" customHeight="1" x14ac:dyDescent="0.3">
      <c r="A1111" s="11"/>
      <c r="B1111" s="11"/>
      <c r="C1111" s="11"/>
      <c r="D1111" s="11"/>
      <c r="E1111" t="str">
        <f t="shared" si="14"/>
        <v>|</v>
      </c>
    </row>
    <row r="1112" spans="1:5" ht="15" customHeight="1" x14ac:dyDescent="0.3">
      <c r="A1112" s="11"/>
      <c r="B1112" s="11"/>
      <c r="C1112" s="11"/>
      <c r="D1112" s="11"/>
      <c r="E1112" t="str">
        <f t="shared" si="14"/>
        <v>|</v>
      </c>
    </row>
    <row r="1113" spans="1:5" ht="15" customHeight="1" x14ac:dyDescent="0.3">
      <c r="A1113" s="11"/>
      <c r="B1113" s="11"/>
      <c r="C1113" s="11"/>
      <c r="D1113" s="11"/>
      <c r="E1113" t="str">
        <f t="shared" si="14"/>
        <v>|</v>
      </c>
    </row>
    <row r="1114" spans="1:5" ht="15" customHeight="1" x14ac:dyDescent="0.3">
      <c r="A1114" s="11"/>
      <c r="B1114" s="11"/>
      <c r="C1114" s="11"/>
      <c r="D1114" s="11"/>
      <c r="E1114" t="str">
        <f t="shared" si="14"/>
        <v>|</v>
      </c>
    </row>
    <row r="1115" spans="1:5" ht="15" customHeight="1" x14ac:dyDescent="0.3">
      <c r="A1115" s="11"/>
      <c r="B1115" s="11"/>
      <c r="C1115" s="11"/>
      <c r="D1115" s="11"/>
      <c r="E1115" t="str">
        <f t="shared" si="14"/>
        <v>|</v>
      </c>
    </row>
    <row r="1116" spans="1:5" ht="15" customHeight="1" x14ac:dyDescent="0.3">
      <c r="A1116" s="11"/>
      <c r="B1116" s="11"/>
      <c r="C1116" s="11"/>
      <c r="D1116" s="11"/>
      <c r="E1116" t="str">
        <f t="shared" si="14"/>
        <v>|</v>
      </c>
    </row>
    <row r="1117" spans="1:5" ht="15" customHeight="1" x14ac:dyDescent="0.3">
      <c r="A1117" s="11"/>
      <c r="B1117" s="11"/>
      <c r="C1117" s="11"/>
      <c r="D1117" s="11"/>
      <c r="E1117" t="str">
        <f t="shared" si="14"/>
        <v>|</v>
      </c>
    </row>
    <row r="1118" spans="1:5" ht="15" customHeight="1" x14ac:dyDescent="0.3">
      <c r="A1118" s="11"/>
      <c r="B1118" s="11"/>
      <c r="C1118" s="11"/>
      <c r="D1118" s="11"/>
      <c r="E1118" t="str">
        <f t="shared" si="14"/>
        <v>|</v>
      </c>
    </row>
    <row r="1119" spans="1:5" ht="15" customHeight="1" x14ac:dyDescent="0.3">
      <c r="A1119" s="11"/>
      <c r="B1119" s="11"/>
      <c r="C1119" s="11"/>
      <c r="D1119" s="11"/>
      <c r="E1119" t="str">
        <f t="shared" si="14"/>
        <v>|</v>
      </c>
    </row>
    <row r="1120" spans="1:5" ht="15" customHeight="1" x14ac:dyDescent="0.3">
      <c r="A1120" s="11"/>
      <c r="B1120" s="11"/>
      <c r="C1120" s="11"/>
      <c r="D1120" s="11"/>
      <c r="E1120" t="str">
        <f t="shared" si="14"/>
        <v>|</v>
      </c>
    </row>
    <row r="1121" spans="1:5" ht="15" customHeight="1" x14ac:dyDescent="0.3">
      <c r="A1121" s="11"/>
      <c r="B1121" s="11"/>
      <c r="C1121" s="11"/>
      <c r="D1121" s="11"/>
      <c r="E1121" t="str">
        <f t="shared" si="14"/>
        <v>|</v>
      </c>
    </row>
    <row r="1122" spans="1:5" ht="15" customHeight="1" x14ac:dyDescent="0.3">
      <c r="A1122" s="11"/>
      <c r="B1122" s="11"/>
      <c r="C1122" s="11"/>
      <c r="D1122" s="11"/>
      <c r="E1122" t="str">
        <f t="shared" si="14"/>
        <v>|</v>
      </c>
    </row>
    <row r="1123" spans="1:5" ht="15" customHeight="1" x14ac:dyDescent="0.3">
      <c r="A1123" s="11"/>
      <c r="B1123" s="11"/>
      <c r="C1123" s="11"/>
      <c r="D1123" s="11"/>
      <c r="E1123" t="str">
        <f t="shared" si="14"/>
        <v>|</v>
      </c>
    </row>
    <row r="1124" spans="1:5" ht="15" customHeight="1" x14ac:dyDescent="0.3">
      <c r="A1124" s="11"/>
      <c r="B1124" s="11"/>
      <c r="C1124" s="11"/>
      <c r="D1124" s="11"/>
      <c r="E1124" t="str">
        <f t="shared" si="14"/>
        <v>|</v>
      </c>
    </row>
    <row r="1125" spans="1:5" ht="15" customHeight="1" x14ac:dyDescent="0.3">
      <c r="A1125" s="11"/>
      <c r="B1125" s="11"/>
      <c r="C1125" s="11"/>
      <c r="D1125" s="11"/>
      <c r="E1125" t="str">
        <f t="shared" si="14"/>
        <v>|</v>
      </c>
    </row>
    <row r="1126" spans="1:5" ht="15" customHeight="1" x14ac:dyDescent="0.3">
      <c r="A1126" s="11"/>
      <c r="B1126" s="11"/>
      <c r="C1126" s="11"/>
      <c r="D1126" s="11"/>
      <c r="E1126" t="str">
        <f t="shared" si="14"/>
        <v>|</v>
      </c>
    </row>
    <row r="1127" spans="1:5" ht="15" customHeight="1" x14ac:dyDescent="0.3">
      <c r="A1127" s="11"/>
      <c r="B1127" s="11"/>
      <c r="C1127" s="11"/>
      <c r="D1127" s="11"/>
      <c r="E1127" t="str">
        <f t="shared" si="14"/>
        <v>|</v>
      </c>
    </row>
    <row r="1128" spans="1:5" ht="15" customHeight="1" x14ac:dyDescent="0.3">
      <c r="A1128" s="11"/>
      <c r="B1128" s="11"/>
      <c r="C1128" s="11"/>
      <c r="D1128" s="11"/>
      <c r="E1128" t="str">
        <f t="shared" si="14"/>
        <v>|</v>
      </c>
    </row>
    <row r="1129" spans="1:5" ht="15" customHeight="1" x14ac:dyDescent="0.3">
      <c r="A1129" s="11"/>
      <c r="B1129" s="11"/>
      <c r="C1129" s="11"/>
      <c r="D1129" s="11"/>
      <c r="E1129" t="str">
        <f t="shared" si="14"/>
        <v>|</v>
      </c>
    </row>
    <row r="1130" spans="1:5" ht="15" customHeight="1" x14ac:dyDescent="0.3">
      <c r="A1130" s="11"/>
      <c r="B1130" s="11"/>
      <c r="C1130" s="11"/>
      <c r="D1130" s="11"/>
      <c r="E1130" t="str">
        <f t="shared" si="14"/>
        <v>|</v>
      </c>
    </row>
    <row r="1131" spans="1:5" ht="15" customHeight="1" x14ac:dyDescent="0.3">
      <c r="A1131" s="11"/>
      <c r="B1131" s="11"/>
      <c r="C1131" s="11"/>
      <c r="D1131" s="11"/>
      <c r="E1131" t="str">
        <f t="shared" si="14"/>
        <v>|</v>
      </c>
    </row>
    <row r="1132" spans="1:5" ht="15" customHeight="1" x14ac:dyDescent="0.3">
      <c r="A1132" s="11"/>
      <c r="B1132" s="11"/>
      <c r="C1132" s="11"/>
      <c r="D1132" s="11"/>
      <c r="E1132" t="str">
        <f t="shared" si="14"/>
        <v>|</v>
      </c>
    </row>
    <row r="1133" spans="1:5" ht="15" customHeight="1" x14ac:dyDescent="0.3">
      <c r="A1133" s="11"/>
      <c r="B1133" s="11"/>
      <c r="C1133" s="11"/>
      <c r="D1133" s="11"/>
      <c r="E1133" t="str">
        <f t="shared" si="14"/>
        <v>|</v>
      </c>
    </row>
    <row r="1134" spans="1:5" ht="15" customHeight="1" x14ac:dyDescent="0.3">
      <c r="A1134" s="11"/>
      <c r="B1134" s="11"/>
      <c r="C1134" s="11"/>
      <c r="D1134" s="11"/>
      <c r="E1134" t="str">
        <f t="shared" si="14"/>
        <v>|</v>
      </c>
    </row>
    <row r="1135" spans="1:5" ht="15" customHeight="1" x14ac:dyDescent="0.3">
      <c r="A1135" s="11"/>
      <c r="B1135" s="11"/>
      <c r="C1135" s="11"/>
      <c r="D1135" s="11"/>
      <c r="E1135" t="str">
        <f t="shared" si="14"/>
        <v>|</v>
      </c>
    </row>
    <row r="1136" spans="1:5" ht="15" customHeight="1" x14ac:dyDescent="0.3">
      <c r="A1136" s="11"/>
      <c r="B1136" s="11"/>
      <c r="C1136" s="11"/>
      <c r="D1136" s="11"/>
      <c r="E1136" t="str">
        <f t="shared" si="14"/>
        <v>|</v>
      </c>
    </row>
    <row r="1137" spans="1:5" ht="15" customHeight="1" x14ac:dyDescent="0.3">
      <c r="A1137" s="11"/>
      <c r="B1137" s="11"/>
      <c r="C1137" s="11"/>
      <c r="D1137" s="11"/>
      <c r="E1137" t="str">
        <f t="shared" si="14"/>
        <v>|</v>
      </c>
    </row>
    <row r="1138" spans="1:5" ht="15" customHeight="1" x14ac:dyDescent="0.3">
      <c r="A1138" s="11"/>
      <c r="B1138" s="11"/>
      <c r="C1138" s="11"/>
      <c r="D1138" s="11"/>
      <c r="E1138" t="str">
        <f t="shared" si="14"/>
        <v>|</v>
      </c>
    </row>
    <row r="1139" spans="1:5" ht="15" customHeight="1" x14ac:dyDescent="0.3">
      <c r="A1139" s="11"/>
      <c r="B1139" s="11"/>
      <c r="C1139" s="11"/>
      <c r="D1139" s="11"/>
      <c r="E1139" t="str">
        <f t="shared" si="14"/>
        <v>|</v>
      </c>
    </row>
    <row r="1140" spans="1:5" ht="15" customHeight="1" x14ac:dyDescent="0.3">
      <c r="A1140" s="11"/>
      <c r="B1140" s="11"/>
      <c r="C1140" s="11"/>
      <c r="D1140" s="11"/>
      <c r="E1140" t="str">
        <f t="shared" si="14"/>
        <v>|</v>
      </c>
    </row>
    <row r="1141" spans="1:5" ht="15" customHeight="1" x14ac:dyDescent="0.3">
      <c r="A1141" s="11"/>
      <c r="B1141" s="11"/>
      <c r="C1141" s="11"/>
      <c r="D1141" s="11"/>
      <c r="E1141" t="str">
        <f t="shared" si="14"/>
        <v>|</v>
      </c>
    </row>
    <row r="1142" spans="1:5" ht="15" customHeight="1" x14ac:dyDescent="0.3">
      <c r="A1142" s="11"/>
      <c r="B1142" s="11"/>
      <c r="C1142" s="11"/>
      <c r="D1142" s="11"/>
      <c r="E1142" t="str">
        <f t="shared" si="14"/>
        <v>|</v>
      </c>
    </row>
    <row r="1143" spans="1:5" ht="15" customHeight="1" x14ac:dyDescent="0.3">
      <c r="A1143" s="11"/>
      <c r="B1143" s="11"/>
      <c r="C1143" s="11"/>
      <c r="D1143" s="11"/>
      <c r="E1143" t="str">
        <f t="shared" si="14"/>
        <v>|</v>
      </c>
    </row>
    <row r="1144" spans="1:5" ht="15" customHeight="1" x14ac:dyDescent="0.3">
      <c r="A1144" s="11"/>
      <c r="B1144" s="11"/>
      <c r="C1144" s="11"/>
      <c r="D1144" s="11"/>
      <c r="E1144" t="str">
        <f t="shared" si="14"/>
        <v>|</v>
      </c>
    </row>
    <row r="1145" spans="1:5" ht="15" customHeight="1" x14ac:dyDescent="0.3">
      <c r="A1145" s="11"/>
      <c r="B1145" s="11"/>
      <c r="C1145" s="11"/>
      <c r="D1145" s="11"/>
      <c r="E1145" t="str">
        <f t="shared" si="14"/>
        <v>|</v>
      </c>
    </row>
    <row r="1146" spans="1:5" ht="15" customHeight="1" x14ac:dyDescent="0.3">
      <c r="A1146" s="11"/>
      <c r="B1146" s="11"/>
      <c r="C1146" s="11"/>
      <c r="D1146" s="11"/>
      <c r="E1146" t="str">
        <f t="shared" si="14"/>
        <v>|</v>
      </c>
    </row>
    <row r="1147" spans="1:5" ht="15" customHeight="1" x14ac:dyDescent="0.3">
      <c r="A1147" s="11"/>
      <c r="B1147" s="11"/>
      <c r="C1147" s="11"/>
      <c r="D1147" s="11"/>
      <c r="E1147" t="str">
        <f t="shared" si="14"/>
        <v>|</v>
      </c>
    </row>
    <row r="1148" spans="1:5" ht="15" customHeight="1" x14ac:dyDescent="0.3">
      <c r="A1148" s="11"/>
      <c r="B1148" s="11"/>
      <c r="C1148" s="11"/>
      <c r="D1148" s="11"/>
      <c r="E1148" t="str">
        <f t="shared" si="14"/>
        <v>|</v>
      </c>
    </row>
    <row r="1149" spans="1:5" ht="15" customHeight="1" x14ac:dyDescent="0.3">
      <c r="A1149" s="11"/>
      <c r="B1149" s="11"/>
      <c r="C1149" s="11"/>
      <c r="D1149" s="11"/>
      <c r="E1149" t="str">
        <f t="shared" si="14"/>
        <v>|</v>
      </c>
    </row>
    <row r="1150" spans="1:5" ht="15" customHeight="1" x14ac:dyDescent="0.3">
      <c r="A1150" s="11"/>
      <c r="B1150" s="11"/>
      <c r="C1150" s="11"/>
      <c r="D1150" s="11"/>
      <c r="E1150" t="str">
        <f t="shared" ref="E1150:E1189" si="15">A1150&amp;"|"&amp;B1150</f>
        <v>|</v>
      </c>
    </row>
    <row r="1151" spans="1:5" ht="15" customHeight="1" x14ac:dyDescent="0.3">
      <c r="A1151" s="11"/>
      <c r="B1151" s="11"/>
      <c r="C1151" s="11"/>
      <c r="D1151" s="11"/>
      <c r="E1151" t="str">
        <f t="shared" si="15"/>
        <v>|</v>
      </c>
    </row>
    <row r="1152" spans="1:5" ht="15" customHeight="1" x14ac:dyDescent="0.3">
      <c r="A1152" s="11"/>
      <c r="B1152" s="11"/>
      <c r="C1152" s="11"/>
      <c r="D1152" s="11"/>
      <c r="E1152" t="str">
        <f t="shared" si="15"/>
        <v>|</v>
      </c>
    </row>
    <row r="1153" spans="1:5" ht="15" customHeight="1" x14ac:dyDescent="0.3">
      <c r="A1153" s="11"/>
      <c r="B1153" s="11"/>
      <c r="C1153" s="11"/>
      <c r="D1153" s="11"/>
      <c r="E1153" t="str">
        <f t="shared" si="15"/>
        <v>|</v>
      </c>
    </row>
    <row r="1154" spans="1:5" ht="15" customHeight="1" x14ac:dyDescent="0.3">
      <c r="A1154" s="11"/>
      <c r="B1154" s="11"/>
      <c r="C1154" s="11"/>
      <c r="D1154" s="11"/>
      <c r="E1154" t="str">
        <f t="shared" si="15"/>
        <v>|</v>
      </c>
    </row>
    <row r="1155" spans="1:5" ht="15" customHeight="1" x14ac:dyDescent="0.3">
      <c r="A1155" s="11"/>
      <c r="B1155" s="11"/>
      <c r="C1155" s="11"/>
      <c r="D1155" s="11"/>
      <c r="E1155" t="str">
        <f t="shared" si="15"/>
        <v>|</v>
      </c>
    </row>
    <row r="1156" spans="1:5" ht="15" customHeight="1" x14ac:dyDescent="0.3">
      <c r="A1156" s="11"/>
      <c r="B1156" s="11"/>
      <c r="C1156" s="11"/>
      <c r="D1156" s="11"/>
      <c r="E1156" t="str">
        <f t="shared" si="15"/>
        <v>|</v>
      </c>
    </row>
    <row r="1157" spans="1:5" ht="15" customHeight="1" x14ac:dyDescent="0.3">
      <c r="A1157" s="11"/>
      <c r="B1157" s="11"/>
      <c r="C1157" s="11"/>
      <c r="D1157" s="11"/>
      <c r="E1157" t="str">
        <f t="shared" si="15"/>
        <v>|</v>
      </c>
    </row>
    <row r="1158" spans="1:5" ht="15" customHeight="1" x14ac:dyDescent="0.3">
      <c r="A1158" s="11"/>
      <c r="B1158" s="11"/>
      <c r="C1158" s="11"/>
      <c r="D1158" s="11"/>
      <c r="E1158" t="str">
        <f t="shared" si="15"/>
        <v>|</v>
      </c>
    </row>
    <row r="1159" spans="1:5" ht="15" customHeight="1" x14ac:dyDescent="0.3">
      <c r="A1159" s="11"/>
      <c r="B1159" s="11"/>
      <c r="C1159" s="11"/>
      <c r="D1159" s="11"/>
      <c r="E1159" t="str">
        <f t="shared" si="15"/>
        <v>|</v>
      </c>
    </row>
    <row r="1160" spans="1:5" ht="15" customHeight="1" x14ac:dyDescent="0.3">
      <c r="A1160" s="11"/>
      <c r="B1160" s="11"/>
      <c r="C1160" s="11"/>
      <c r="D1160" s="11"/>
      <c r="E1160" t="str">
        <f t="shared" si="15"/>
        <v>|</v>
      </c>
    </row>
    <row r="1161" spans="1:5" ht="15" customHeight="1" x14ac:dyDescent="0.3">
      <c r="A1161" s="11"/>
      <c r="B1161" s="11"/>
      <c r="C1161" s="11"/>
      <c r="D1161" s="11"/>
      <c r="E1161" t="str">
        <f t="shared" si="15"/>
        <v>|</v>
      </c>
    </row>
    <row r="1162" spans="1:5" ht="15" customHeight="1" x14ac:dyDescent="0.3">
      <c r="A1162" s="11"/>
      <c r="B1162" s="11"/>
      <c r="C1162" s="11"/>
      <c r="D1162" s="11"/>
      <c r="E1162" t="str">
        <f t="shared" si="15"/>
        <v>|</v>
      </c>
    </row>
    <row r="1163" spans="1:5" ht="15" customHeight="1" x14ac:dyDescent="0.3">
      <c r="A1163" s="11"/>
      <c r="B1163" s="11"/>
      <c r="C1163" s="11"/>
      <c r="D1163" s="11"/>
      <c r="E1163" t="str">
        <f t="shared" si="15"/>
        <v>|</v>
      </c>
    </row>
    <row r="1164" spans="1:5" ht="15" customHeight="1" x14ac:dyDescent="0.3">
      <c r="A1164" s="11"/>
      <c r="B1164" s="11"/>
      <c r="C1164" s="11"/>
      <c r="D1164" s="11"/>
      <c r="E1164" t="str">
        <f t="shared" si="15"/>
        <v>|</v>
      </c>
    </row>
    <row r="1165" spans="1:5" ht="15" customHeight="1" x14ac:dyDescent="0.3">
      <c r="A1165" s="11"/>
      <c r="B1165" s="11"/>
      <c r="C1165" s="11"/>
      <c r="D1165" s="11"/>
      <c r="E1165" t="str">
        <f t="shared" si="15"/>
        <v>|</v>
      </c>
    </row>
    <row r="1166" spans="1:5" ht="15" customHeight="1" x14ac:dyDescent="0.3">
      <c r="A1166" s="11"/>
      <c r="B1166" s="11"/>
      <c r="C1166" s="11"/>
      <c r="D1166" s="11"/>
      <c r="E1166" t="str">
        <f t="shared" si="15"/>
        <v>|</v>
      </c>
    </row>
    <row r="1167" spans="1:5" ht="15" customHeight="1" x14ac:dyDescent="0.3">
      <c r="A1167" s="11"/>
      <c r="B1167" s="11"/>
      <c r="C1167" s="11"/>
      <c r="D1167" s="11"/>
      <c r="E1167" t="str">
        <f t="shared" si="15"/>
        <v>|</v>
      </c>
    </row>
    <row r="1168" spans="1:5" ht="15" customHeight="1" x14ac:dyDescent="0.3">
      <c r="A1168" s="11"/>
      <c r="B1168" s="11"/>
      <c r="C1168" s="11"/>
      <c r="D1168" s="11"/>
      <c r="E1168" t="str">
        <f t="shared" si="15"/>
        <v>|</v>
      </c>
    </row>
    <row r="1169" spans="1:5" ht="15" customHeight="1" x14ac:dyDescent="0.3">
      <c r="A1169" s="11"/>
      <c r="B1169" s="11"/>
      <c r="C1169" s="11"/>
      <c r="D1169" s="11"/>
      <c r="E1169" t="str">
        <f t="shared" si="15"/>
        <v>|</v>
      </c>
    </row>
    <row r="1170" spans="1:5" ht="15" customHeight="1" x14ac:dyDescent="0.3">
      <c r="A1170" s="11"/>
      <c r="B1170" s="11"/>
      <c r="C1170" s="11"/>
      <c r="D1170" s="11"/>
      <c r="E1170" t="str">
        <f t="shared" si="15"/>
        <v>|</v>
      </c>
    </row>
    <row r="1171" spans="1:5" ht="15" customHeight="1" x14ac:dyDescent="0.3">
      <c r="A1171" s="11"/>
      <c r="B1171" s="11"/>
      <c r="C1171" s="11"/>
      <c r="D1171" s="11"/>
      <c r="E1171" t="str">
        <f t="shared" si="15"/>
        <v>|</v>
      </c>
    </row>
    <row r="1172" spans="1:5" ht="15" customHeight="1" x14ac:dyDescent="0.3">
      <c r="A1172" s="11"/>
      <c r="B1172" s="11"/>
      <c r="C1172" s="11"/>
      <c r="D1172" s="11"/>
      <c r="E1172" t="str">
        <f t="shared" si="15"/>
        <v>|</v>
      </c>
    </row>
    <row r="1173" spans="1:5" ht="15" customHeight="1" x14ac:dyDescent="0.3">
      <c r="A1173" s="11"/>
      <c r="B1173" s="11"/>
      <c r="C1173" s="11"/>
      <c r="D1173" s="11"/>
      <c r="E1173" t="str">
        <f t="shared" si="15"/>
        <v>|</v>
      </c>
    </row>
    <row r="1174" spans="1:5" ht="15" customHeight="1" x14ac:dyDescent="0.3">
      <c r="A1174" s="11"/>
      <c r="B1174" s="11"/>
      <c r="C1174" s="11"/>
      <c r="D1174" s="11"/>
      <c r="E1174" t="str">
        <f t="shared" si="15"/>
        <v>|</v>
      </c>
    </row>
    <row r="1175" spans="1:5" ht="15" customHeight="1" x14ac:dyDescent="0.3">
      <c r="A1175" s="11"/>
      <c r="B1175" s="11"/>
      <c r="C1175" s="11"/>
      <c r="D1175" s="11"/>
      <c r="E1175" t="str">
        <f t="shared" si="15"/>
        <v>|</v>
      </c>
    </row>
    <row r="1176" spans="1:5" ht="15" customHeight="1" x14ac:dyDescent="0.3">
      <c r="A1176" s="11"/>
      <c r="B1176" s="11"/>
      <c r="C1176" s="11"/>
      <c r="D1176" s="11"/>
      <c r="E1176" t="str">
        <f t="shared" si="15"/>
        <v>|</v>
      </c>
    </row>
    <row r="1177" spans="1:5" ht="15" customHeight="1" x14ac:dyDescent="0.3">
      <c r="A1177" s="11"/>
      <c r="B1177" s="11"/>
      <c r="C1177" s="11"/>
      <c r="D1177" s="11"/>
      <c r="E1177" t="str">
        <f t="shared" si="15"/>
        <v>|</v>
      </c>
    </row>
    <row r="1178" spans="1:5" ht="15" customHeight="1" x14ac:dyDescent="0.3">
      <c r="A1178" s="11"/>
      <c r="B1178" s="11"/>
      <c r="C1178" s="11"/>
      <c r="D1178" s="11"/>
      <c r="E1178" t="str">
        <f t="shared" si="15"/>
        <v>|</v>
      </c>
    </row>
    <row r="1179" spans="1:5" ht="15" customHeight="1" x14ac:dyDescent="0.3">
      <c r="A1179" s="11"/>
      <c r="B1179" s="11"/>
      <c r="C1179" s="11"/>
      <c r="D1179" s="11"/>
      <c r="E1179" t="str">
        <f t="shared" si="15"/>
        <v>|</v>
      </c>
    </row>
    <row r="1180" spans="1:5" ht="15" customHeight="1" x14ac:dyDescent="0.3">
      <c r="A1180" s="11"/>
      <c r="B1180" s="11"/>
      <c r="C1180" s="11"/>
      <c r="D1180" s="11"/>
      <c r="E1180" t="str">
        <f t="shared" si="15"/>
        <v>|</v>
      </c>
    </row>
    <row r="1181" spans="1:5" ht="15" customHeight="1" x14ac:dyDescent="0.3">
      <c r="A1181" s="11"/>
      <c r="B1181" s="11"/>
      <c r="C1181" s="11"/>
      <c r="D1181" s="11"/>
      <c r="E1181" t="str">
        <f t="shared" si="15"/>
        <v>|</v>
      </c>
    </row>
    <row r="1182" spans="1:5" ht="15" customHeight="1" x14ac:dyDescent="0.3">
      <c r="A1182" s="11"/>
      <c r="B1182" s="11"/>
      <c r="C1182" s="11"/>
      <c r="D1182" s="11"/>
      <c r="E1182" t="str">
        <f t="shared" si="15"/>
        <v>|</v>
      </c>
    </row>
    <row r="1183" spans="1:5" ht="15" customHeight="1" x14ac:dyDescent="0.3">
      <c r="A1183" s="11"/>
      <c r="B1183" s="11"/>
      <c r="C1183" s="11"/>
      <c r="D1183" s="11"/>
      <c r="E1183" t="str">
        <f t="shared" si="15"/>
        <v>|</v>
      </c>
    </row>
    <row r="1184" spans="1:5" ht="15" customHeight="1" x14ac:dyDescent="0.3">
      <c r="A1184" s="11"/>
      <c r="B1184" s="11"/>
      <c r="C1184" s="11"/>
      <c r="D1184" s="11"/>
      <c r="E1184" t="str">
        <f t="shared" si="15"/>
        <v>|</v>
      </c>
    </row>
    <row r="1185" spans="1:5" ht="15" customHeight="1" x14ac:dyDescent="0.3">
      <c r="A1185" s="11"/>
      <c r="B1185" s="11"/>
      <c r="C1185" s="11"/>
      <c r="D1185" s="11"/>
      <c r="E1185" t="str">
        <f t="shared" si="15"/>
        <v>|</v>
      </c>
    </row>
    <row r="1186" spans="1:5" ht="15" customHeight="1" x14ac:dyDescent="0.3">
      <c r="A1186" s="11"/>
      <c r="B1186" s="11"/>
      <c r="C1186" s="11"/>
      <c r="D1186" s="11"/>
      <c r="E1186" t="str">
        <f t="shared" si="15"/>
        <v>|</v>
      </c>
    </row>
    <row r="1187" spans="1:5" ht="15" customHeight="1" x14ac:dyDescent="0.3">
      <c r="A1187" s="11"/>
      <c r="B1187" s="11"/>
      <c r="C1187" s="11"/>
      <c r="D1187" s="11"/>
      <c r="E1187" t="str">
        <f t="shared" si="15"/>
        <v>|</v>
      </c>
    </row>
    <row r="1188" spans="1:5" ht="15" customHeight="1" x14ac:dyDescent="0.3">
      <c r="A1188" s="11"/>
      <c r="B1188" s="11"/>
      <c r="C1188" s="11"/>
      <c r="D1188" s="11"/>
      <c r="E1188" t="str">
        <f t="shared" si="15"/>
        <v>|</v>
      </c>
    </row>
    <row r="1189" spans="1:5" ht="15" customHeight="1" x14ac:dyDescent="0.3">
      <c r="A1189" s="11"/>
      <c r="B1189" s="11"/>
      <c r="C1189" s="11"/>
      <c r="D1189" s="11"/>
      <c r="E1189" t="str">
        <f t="shared" si="15"/>
        <v>|</v>
      </c>
    </row>
  </sheetData>
  <mergeCells count="8">
    <mergeCell ref="A131:H131"/>
    <mergeCell ref="A162:W162"/>
    <mergeCell ref="A188:E188"/>
    <mergeCell ref="A1:H1"/>
    <mergeCell ref="A3:N3"/>
    <mergeCell ref="A5:H5"/>
    <mergeCell ref="A17:H17"/>
    <mergeCell ref="A27:H27"/>
  </mergeCells>
  <dataValidations count="1">
    <dataValidation type="list" allowBlank="1" showErrorMessage="1" errorTitle="Invalid type" error="Must be &quot;Tag&quot; or &quot;Hero&quot;." sqref="B29:B128" xr:uid="{00000000-0002-0000-0100-000001000000}">
      <formula1>"Tag,Hero"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hero" error="Pick a hero from the list." xr:uid="{00000000-0002-0000-0100-000000000000}">
          <x14:formula1>
            <xm:f>Heroes!$B$2:$B$134</xm:f>
          </x14:formula1>
          <x14:formula2>
            <xm:f>0</xm:f>
          </x14:formula2>
          <xm:sqref>A29:A128 A190:B1189</xm:sqref>
        </x14:dataValidation>
        <x14:dataValidation type="list" allowBlank="1" showErrorMessage="1" errorTitle="Invalid value" error="Pick a hero (if Hero) or a tag (if Tag) from the list." xr:uid="{00000000-0002-0000-0100-000002000000}">
          <x14:formula1>
            <xm:f>IF($B29="Hero",Heroes!$B$2:$B$134,$A$164:$A$185)</xm:f>
          </x14:formula1>
          <x14:formula2>
            <xm:f>0</xm:f>
          </x14:formula2>
          <xm:sqref>C29:C128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4"/>
  <sheetViews>
    <sheetView zoomScaleNormal="100" workbookViewId="0"/>
  </sheetViews>
  <sheetFormatPr defaultColWidth="8.6640625" defaultRowHeight="14.4" x14ac:dyDescent="0.3"/>
  <cols>
    <col min="1" max="1" width="130" customWidth="1"/>
  </cols>
  <sheetData>
    <row r="1" spans="1:10" ht="19.5" customHeight="1" x14ac:dyDescent="0.35">
      <c r="A1" s="12" t="s">
        <v>447</v>
      </c>
    </row>
    <row r="3" spans="1:10" ht="27.75" customHeight="1" x14ac:dyDescent="0.3">
      <c r="A3" s="3" t="s">
        <v>448</v>
      </c>
      <c r="B3" s="3"/>
      <c r="C3" s="3"/>
      <c r="D3" s="3"/>
      <c r="E3" s="3"/>
      <c r="F3" s="3"/>
      <c r="G3" s="3"/>
      <c r="H3" s="3"/>
      <c r="I3" s="3"/>
      <c r="J3" s="3"/>
    </row>
    <row r="5" spans="1:10" ht="15.75" customHeight="1" x14ac:dyDescent="0.3">
      <c r="A5" s="2" t="s">
        <v>449</v>
      </c>
      <c r="B5" s="2"/>
      <c r="C5" s="2"/>
      <c r="D5" s="2"/>
      <c r="E5" s="2"/>
      <c r="F5" s="2"/>
      <c r="G5" s="2"/>
      <c r="H5" s="2"/>
      <c r="I5" s="2"/>
      <c r="J5" s="2"/>
    </row>
    <row r="7" spans="1:10" ht="15" customHeight="1" x14ac:dyDescent="0.3">
      <c r="A7" s="3" t="s">
        <v>450</v>
      </c>
      <c r="B7" s="3"/>
      <c r="C7" s="3"/>
      <c r="D7" s="3"/>
      <c r="E7" s="3"/>
      <c r="F7" s="3"/>
      <c r="G7" s="3"/>
      <c r="H7" s="3"/>
      <c r="I7" s="3"/>
      <c r="J7" s="3"/>
    </row>
    <row r="8" spans="1:10" ht="15" customHeight="1" x14ac:dyDescent="0.3">
      <c r="A8" s="3" t="s">
        <v>451</v>
      </c>
      <c r="B8" s="3"/>
      <c r="C8" s="3"/>
      <c r="D8" s="3"/>
      <c r="E8" s="3"/>
      <c r="F8" s="3"/>
      <c r="G8" s="3"/>
      <c r="H8" s="3"/>
      <c r="I8" s="3"/>
      <c r="J8" s="3"/>
    </row>
    <row r="9" spans="1:10" ht="15" customHeight="1" x14ac:dyDescent="0.3">
      <c r="A9" s="3" t="s">
        <v>452</v>
      </c>
      <c r="B9" s="3"/>
      <c r="C9" s="3"/>
      <c r="D9" s="3"/>
      <c r="E9" s="3"/>
      <c r="F9" s="3"/>
      <c r="G9" s="3"/>
      <c r="H9" s="3"/>
      <c r="I9" s="3"/>
      <c r="J9" s="3"/>
    </row>
    <row r="10" spans="1:10" ht="15" customHeight="1" x14ac:dyDescent="0.3">
      <c r="A10" s="3" t="s">
        <v>453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ht="15" customHeight="1" x14ac:dyDescent="0.3">
      <c r="A11" s="3" t="s">
        <v>454</v>
      </c>
      <c r="B11" s="3"/>
      <c r="C11" s="3"/>
      <c r="D11" s="3"/>
      <c r="E11" s="3"/>
      <c r="F11" s="3"/>
      <c r="G11" s="3"/>
      <c r="H11" s="3"/>
      <c r="I11" s="3"/>
      <c r="J11" s="3"/>
    </row>
    <row r="13" spans="1:10" ht="15.75" customHeight="1" x14ac:dyDescent="0.3">
      <c r="A13" s="2" t="s">
        <v>455</v>
      </c>
      <c r="B13" s="2"/>
      <c r="C13" s="2"/>
      <c r="D13" s="2"/>
      <c r="E13" s="2"/>
      <c r="F13" s="2"/>
      <c r="G13" s="2"/>
      <c r="H13" s="2"/>
      <c r="I13" s="2"/>
      <c r="J13" s="2"/>
    </row>
    <row r="15" spans="1:10" ht="41.25" customHeight="1" x14ac:dyDescent="0.3">
      <c r="A15" s="3" t="s">
        <v>456</v>
      </c>
      <c r="B15" s="3"/>
      <c r="C15" s="3"/>
      <c r="D15" s="3"/>
      <c r="E15" s="3"/>
      <c r="F15" s="3"/>
      <c r="G15" s="3"/>
      <c r="H15" s="3"/>
      <c r="I15" s="3"/>
      <c r="J15" s="3"/>
    </row>
    <row r="17" spans="1:10" ht="15.75" customHeight="1" x14ac:dyDescent="0.3">
      <c r="A17" s="2" t="s">
        <v>457</v>
      </c>
      <c r="B17" s="2"/>
      <c r="C17" s="2"/>
      <c r="D17" s="2"/>
      <c r="E17" s="2"/>
      <c r="F17" s="2"/>
      <c r="G17" s="2"/>
      <c r="H17" s="2"/>
      <c r="I17" s="2"/>
      <c r="J17" s="2"/>
    </row>
    <row r="19" spans="1:10" ht="15" customHeight="1" x14ac:dyDescent="0.3">
      <c r="A19" s="3" t="s">
        <v>458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ht="15" customHeight="1" x14ac:dyDescent="0.3">
      <c r="A20" s="3" t="s">
        <v>459</v>
      </c>
      <c r="B20" s="3"/>
      <c r="C20" s="3"/>
      <c r="D20" s="3"/>
      <c r="E20" s="3"/>
      <c r="F20" s="3"/>
      <c r="G20" s="3"/>
      <c r="H20" s="3"/>
      <c r="I20" s="3"/>
      <c r="J20" s="3"/>
    </row>
    <row r="22" spans="1:10" ht="15" customHeight="1" x14ac:dyDescent="0.3">
      <c r="A22" s="13" t="s">
        <v>460</v>
      </c>
    </row>
    <row r="23" spans="1:10" ht="15" customHeight="1" x14ac:dyDescent="0.3">
      <c r="A23" s="1" t="s">
        <v>461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27.75" customHeight="1" x14ac:dyDescent="0.3">
      <c r="A24" s="3" t="s">
        <v>462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ht="15" customHeight="1" x14ac:dyDescent="0.3">
      <c r="A25" s="13" t="s">
        <v>463</v>
      </c>
    </row>
    <row r="26" spans="1:10" ht="15" customHeight="1" x14ac:dyDescent="0.3">
      <c r="A26" s="1" t="s">
        <v>464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ht="15" customHeight="1" x14ac:dyDescent="0.3">
      <c r="A27" s="3" t="s">
        <v>465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ht="15" customHeight="1" x14ac:dyDescent="0.3">
      <c r="A28" s="13" t="s">
        <v>466</v>
      </c>
    </row>
    <row r="29" spans="1:10" ht="15" customHeight="1" x14ac:dyDescent="0.3">
      <c r="A29" s="1" t="s">
        <v>467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15" customHeight="1" x14ac:dyDescent="0.3">
      <c r="A30" s="3" t="s">
        <v>468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ht="15" customHeight="1" x14ac:dyDescent="0.3">
      <c r="A31" s="13" t="s">
        <v>469</v>
      </c>
    </row>
    <row r="32" spans="1:10" ht="15" customHeight="1" x14ac:dyDescent="0.3">
      <c r="A32" s="1" t="s">
        <v>470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ht="15" customHeight="1" x14ac:dyDescent="0.3">
      <c r="A33" s="3" t="s">
        <v>471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ht="15" customHeight="1" x14ac:dyDescent="0.3">
      <c r="A34" s="13" t="s">
        <v>472</v>
      </c>
    </row>
    <row r="35" spans="1:10" ht="15" customHeight="1" x14ac:dyDescent="0.3">
      <c r="A35" s="1" t="s">
        <v>473</v>
      </c>
      <c r="B35" s="1"/>
      <c r="C35" s="1"/>
      <c r="D35" s="1"/>
      <c r="E35" s="1"/>
      <c r="F35" s="1"/>
      <c r="G35" s="1"/>
      <c r="H35" s="1"/>
      <c r="I35" s="1"/>
      <c r="J35" s="1"/>
    </row>
    <row r="36" spans="1:10" ht="15" customHeight="1" x14ac:dyDescent="0.3">
      <c r="A36" s="3" t="s">
        <v>474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ht="15" customHeight="1" x14ac:dyDescent="0.3">
      <c r="A37" s="13" t="s">
        <v>475</v>
      </c>
    </row>
    <row r="38" spans="1:10" ht="15" customHeight="1" x14ac:dyDescent="0.3">
      <c r="A38" s="1" t="s">
        <v>476</v>
      </c>
      <c r="B38" s="1"/>
      <c r="C38" s="1"/>
      <c r="D38" s="1"/>
      <c r="E38" s="1"/>
      <c r="F38" s="1"/>
      <c r="G38" s="1"/>
      <c r="H38" s="1"/>
      <c r="I38" s="1"/>
      <c r="J38" s="1"/>
    </row>
    <row r="39" spans="1:10" ht="27.75" customHeight="1" x14ac:dyDescent="0.3">
      <c r="A39" s="3" t="s">
        <v>477</v>
      </c>
      <c r="B39" s="3"/>
      <c r="C39" s="3"/>
      <c r="D39" s="3"/>
      <c r="E39" s="3"/>
      <c r="F39" s="3"/>
      <c r="G39" s="3"/>
      <c r="H39" s="3"/>
      <c r="I39" s="3"/>
      <c r="J39" s="3"/>
    </row>
    <row r="40" spans="1:10" ht="15" customHeight="1" x14ac:dyDescent="0.3">
      <c r="A40" s="13" t="s">
        <v>478</v>
      </c>
    </row>
    <row r="41" spans="1:10" ht="15" customHeight="1" x14ac:dyDescent="0.3">
      <c r="A41" s="3" t="s">
        <v>479</v>
      </c>
      <c r="B41" s="3"/>
      <c r="C41" s="3"/>
      <c r="D41" s="3"/>
      <c r="E41" s="3"/>
      <c r="F41" s="3"/>
      <c r="G41" s="3"/>
      <c r="H41" s="3"/>
      <c r="I41" s="3"/>
      <c r="J41" s="3"/>
    </row>
    <row r="42" spans="1:10" ht="15" customHeight="1" x14ac:dyDescent="0.3">
      <c r="A42" s="3" t="s">
        <v>480</v>
      </c>
      <c r="B42" s="3"/>
      <c r="C42" s="3"/>
      <c r="D42" s="3"/>
      <c r="E42" s="3"/>
      <c r="F42" s="3"/>
      <c r="G42" s="3"/>
      <c r="H42" s="3"/>
      <c r="I42" s="3"/>
      <c r="J42" s="3"/>
    </row>
    <row r="43" spans="1:10" ht="27.75" customHeight="1" x14ac:dyDescent="0.3">
      <c r="A43" s="3" t="s">
        <v>481</v>
      </c>
      <c r="B43" s="3"/>
      <c r="C43" s="3"/>
      <c r="D43" s="3"/>
      <c r="E43" s="3"/>
      <c r="F43" s="3"/>
      <c r="G43" s="3"/>
      <c r="H43" s="3"/>
      <c r="I43" s="3"/>
      <c r="J43" s="3"/>
    </row>
    <row r="44" spans="1:10" ht="15" customHeight="1" x14ac:dyDescent="0.3">
      <c r="A44" s="3" t="s">
        <v>482</v>
      </c>
      <c r="B44" s="3"/>
      <c r="C44" s="3"/>
      <c r="D44" s="3"/>
      <c r="E44" s="3"/>
      <c r="F44" s="3"/>
      <c r="G44" s="3"/>
      <c r="H44" s="3"/>
      <c r="I44" s="3"/>
      <c r="J44" s="3"/>
    </row>
    <row r="45" spans="1:10" ht="41.25" customHeight="1" x14ac:dyDescent="0.3">
      <c r="A45" s="3" t="s">
        <v>483</v>
      </c>
      <c r="B45" s="3"/>
      <c r="C45" s="3"/>
      <c r="D45" s="3"/>
      <c r="E45" s="3"/>
      <c r="F45" s="3"/>
      <c r="G45" s="3"/>
      <c r="H45" s="3"/>
      <c r="I45" s="3"/>
      <c r="J45" s="3"/>
    </row>
    <row r="46" spans="1:10" ht="27.75" customHeight="1" x14ac:dyDescent="0.3">
      <c r="A46" s="3" t="s">
        <v>484</v>
      </c>
      <c r="B46" s="3"/>
      <c r="C46" s="3"/>
      <c r="D46" s="3"/>
      <c r="E46" s="3"/>
      <c r="F46" s="3"/>
      <c r="G46" s="3"/>
      <c r="H46" s="3"/>
      <c r="I46" s="3"/>
      <c r="J46" s="3"/>
    </row>
    <row r="47" spans="1:10" ht="15" customHeight="1" x14ac:dyDescent="0.3">
      <c r="A47" s="3" t="s">
        <v>485</v>
      </c>
      <c r="B47" s="3"/>
      <c r="C47" s="3"/>
      <c r="D47" s="3"/>
      <c r="E47" s="3"/>
      <c r="F47" s="3"/>
      <c r="G47" s="3"/>
      <c r="H47" s="3"/>
      <c r="I47" s="3"/>
      <c r="J47" s="3"/>
    </row>
    <row r="49" spans="1:10" ht="15.75" customHeight="1" x14ac:dyDescent="0.3">
      <c r="A49" s="2" t="s">
        <v>486</v>
      </c>
      <c r="B49" s="2"/>
      <c r="C49" s="2"/>
      <c r="D49" s="2"/>
      <c r="E49" s="2"/>
      <c r="F49" s="2"/>
      <c r="G49" s="2"/>
      <c r="H49" s="2"/>
      <c r="I49" s="2"/>
      <c r="J49" s="2"/>
    </row>
    <row r="51" spans="1:10" ht="27.75" customHeight="1" x14ac:dyDescent="0.3">
      <c r="A51" s="3" t="s">
        <v>487</v>
      </c>
      <c r="B51" s="3"/>
      <c r="C51" s="3"/>
      <c r="D51" s="3"/>
      <c r="E51" s="3"/>
      <c r="F51" s="3"/>
      <c r="G51" s="3"/>
      <c r="H51" s="3"/>
      <c r="I51" s="3"/>
      <c r="J51" s="3"/>
    </row>
    <row r="52" spans="1:10" ht="15" customHeight="1" x14ac:dyDescent="0.3">
      <c r="A52" s="3" t="s">
        <v>488</v>
      </c>
      <c r="B52" s="3"/>
      <c r="C52" s="3"/>
      <c r="D52" s="3"/>
      <c r="E52" s="3"/>
      <c r="F52" s="3"/>
      <c r="G52" s="3"/>
      <c r="H52" s="3"/>
      <c r="I52" s="3"/>
      <c r="J52" s="3"/>
    </row>
    <row r="54" spans="1:10" ht="15.75" customHeight="1" x14ac:dyDescent="0.3">
      <c r="A54" s="2" t="s">
        <v>489</v>
      </c>
      <c r="B54" s="2"/>
      <c r="C54" s="2"/>
      <c r="D54" s="2"/>
      <c r="E54" s="2"/>
      <c r="F54" s="2"/>
      <c r="G54" s="2"/>
      <c r="H54" s="2"/>
      <c r="I54" s="2"/>
      <c r="J54" s="2"/>
    </row>
    <row r="56" spans="1:10" ht="15" customHeight="1" x14ac:dyDescent="0.3">
      <c r="A56" s="1" t="s">
        <v>490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ht="15" customHeight="1" x14ac:dyDescent="0.3">
      <c r="A57" s="1" t="s">
        <v>491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ht="15" customHeight="1" x14ac:dyDescent="0.3">
      <c r="A58" s="1" t="s">
        <v>492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ht="15" customHeight="1" x14ac:dyDescent="0.3">
      <c r="A59" s="1" t="s">
        <v>493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ht="15" customHeight="1" x14ac:dyDescent="0.3">
      <c r="A60" s="1" t="s">
        <v>494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ht="15" customHeight="1" x14ac:dyDescent="0.3">
      <c r="A61" s="1" t="s">
        <v>495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ht="15" customHeight="1" x14ac:dyDescent="0.3">
      <c r="A62" s="1" t="s">
        <v>496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 x14ac:dyDescent="0.3">
      <c r="A63" s="1" t="s">
        <v>497</v>
      </c>
      <c r="B63" s="1"/>
      <c r="C63" s="1"/>
      <c r="D63" s="1"/>
      <c r="E63" s="1"/>
      <c r="F63" s="1"/>
      <c r="G63" s="1"/>
      <c r="H63" s="1"/>
      <c r="I63" s="1"/>
      <c r="J63" s="1"/>
    </row>
    <row r="65" spans="1:10" ht="15.75" customHeight="1" x14ac:dyDescent="0.3">
      <c r="A65" s="2" t="s">
        <v>498</v>
      </c>
      <c r="B65" s="2"/>
      <c r="C65" s="2"/>
      <c r="D65" s="2"/>
      <c r="E65" s="2"/>
      <c r="F65" s="2"/>
      <c r="G65" s="2"/>
      <c r="H65" s="2"/>
      <c r="I65" s="2"/>
      <c r="J65" s="2"/>
    </row>
    <row r="67" spans="1:10" ht="15" customHeight="1" x14ac:dyDescent="0.3">
      <c r="A67" s="1" t="s">
        <v>499</v>
      </c>
      <c r="B67" s="1"/>
      <c r="C67" s="1"/>
      <c r="D67" s="1"/>
      <c r="E67" s="1"/>
      <c r="F67" s="1"/>
      <c r="G67" s="1"/>
      <c r="H67" s="1"/>
      <c r="I67" s="1"/>
      <c r="J67" s="1"/>
    </row>
    <row r="68" spans="1:10" ht="15" customHeight="1" x14ac:dyDescent="0.3">
      <c r="A68" s="1" t="s">
        <v>500</v>
      </c>
      <c r="B68" s="1"/>
      <c r="C68" s="1"/>
      <c r="D68" s="1"/>
      <c r="E68" s="1"/>
      <c r="F68" s="1"/>
      <c r="G68" s="1"/>
      <c r="H68" s="1"/>
      <c r="I68" s="1"/>
      <c r="J68" s="1"/>
    </row>
    <row r="69" spans="1:10" ht="15" customHeight="1" x14ac:dyDescent="0.3">
      <c r="A69" s="1" t="s">
        <v>501</v>
      </c>
      <c r="B69" s="1"/>
      <c r="C69" s="1"/>
      <c r="D69" s="1"/>
      <c r="E69" s="1"/>
      <c r="F69" s="1"/>
      <c r="G69" s="1"/>
      <c r="H69" s="1"/>
      <c r="I69" s="1"/>
      <c r="J69" s="1"/>
    </row>
    <row r="70" spans="1:10" ht="15" customHeight="1" x14ac:dyDescent="0.3">
      <c r="A70" s="1" t="s">
        <v>502</v>
      </c>
      <c r="B70" s="1"/>
      <c r="C70" s="1"/>
      <c r="D70" s="1"/>
      <c r="E70" s="1"/>
      <c r="F70" s="1"/>
      <c r="G70" s="1"/>
      <c r="H70" s="1"/>
      <c r="I70" s="1"/>
      <c r="J70" s="1"/>
    </row>
    <row r="71" spans="1:10" ht="15" customHeight="1" x14ac:dyDescent="0.3">
      <c r="A71" s="1" t="s">
        <v>503</v>
      </c>
      <c r="B71" s="1"/>
      <c r="C71" s="1"/>
      <c r="D71" s="1"/>
      <c r="E71" s="1"/>
      <c r="F71" s="1"/>
      <c r="G71" s="1"/>
      <c r="H71" s="1"/>
      <c r="I71" s="1"/>
      <c r="J71" s="1"/>
    </row>
    <row r="72" spans="1:10" ht="15" customHeight="1" x14ac:dyDescent="0.3">
      <c r="A72" s="1" t="s">
        <v>504</v>
      </c>
      <c r="B72" s="1"/>
      <c r="C72" s="1"/>
      <c r="D72" s="1"/>
      <c r="E72" s="1"/>
      <c r="F72" s="1"/>
      <c r="G72" s="1"/>
      <c r="H72" s="1"/>
      <c r="I72" s="1"/>
      <c r="J72" s="1"/>
    </row>
    <row r="73" spans="1:10" ht="15" customHeight="1" x14ac:dyDescent="0.3">
      <c r="A73" s="1" t="s">
        <v>505</v>
      </c>
      <c r="B73" s="1"/>
      <c r="C73" s="1"/>
      <c r="D73" s="1"/>
      <c r="E73" s="1"/>
      <c r="F73" s="1"/>
      <c r="G73" s="1"/>
      <c r="H73" s="1"/>
      <c r="I73" s="1"/>
      <c r="J73" s="1"/>
    </row>
    <row r="74" spans="1:10" ht="15" customHeight="1" x14ac:dyDescent="0.3">
      <c r="A74" s="1" t="s">
        <v>506</v>
      </c>
      <c r="B74" s="1"/>
      <c r="C74" s="1"/>
      <c r="D74" s="1"/>
      <c r="E74" s="1"/>
      <c r="F74" s="1"/>
      <c r="G74" s="1"/>
      <c r="H74" s="1"/>
      <c r="I74" s="1"/>
      <c r="J74" s="1"/>
    </row>
    <row r="76" spans="1:10" ht="15.75" customHeight="1" x14ac:dyDescent="0.3">
      <c r="A76" s="2" t="s">
        <v>507</v>
      </c>
      <c r="B76" s="2"/>
      <c r="C76" s="2"/>
      <c r="D76" s="2"/>
      <c r="E76" s="2"/>
      <c r="F76" s="2"/>
      <c r="G76" s="2"/>
      <c r="H76" s="2"/>
      <c r="I76" s="2"/>
      <c r="J76" s="2"/>
    </row>
    <row r="78" spans="1:10" ht="15" customHeight="1" x14ac:dyDescent="0.3">
      <c r="A78" s="3" t="s">
        <v>508</v>
      </c>
      <c r="B78" s="3"/>
      <c r="C78" s="3"/>
      <c r="D78" s="3"/>
      <c r="E78" s="3"/>
      <c r="F78" s="3"/>
      <c r="G78" s="3"/>
      <c r="H78" s="3"/>
      <c r="I78" s="3"/>
      <c r="J78" s="3"/>
    </row>
    <row r="79" spans="1:10" ht="15" customHeight="1" x14ac:dyDescent="0.3">
      <c r="A79" s="3" t="s">
        <v>509</v>
      </c>
      <c r="B79" s="3"/>
      <c r="C79" s="3"/>
      <c r="D79" s="3"/>
      <c r="E79" s="3"/>
      <c r="F79" s="3"/>
      <c r="G79" s="3"/>
      <c r="H79" s="3"/>
      <c r="I79" s="3"/>
      <c r="J79" s="3"/>
    </row>
    <row r="80" spans="1:10" ht="15" customHeight="1" x14ac:dyDescent="0.3">
      <c r="A80" s="3" t="s">
        <v>510</v>
      </c>
      <c r="B80" s="3"/>
      <c r="C80" s="3"/>
      <c r="D80" s="3"/>
      <c r="E80" s="3"/>
      <c r="F80" s="3"/>
      <c r="G80" s="3"/>
      <c r="H80" s="3"/>
      <c r="I80" s="3"/>
      <c r="J80" s="3"/>
    </row>
    <row r="81" spans="1:10" ht="15" customHeight="1" x14ac:dyDescent="0.3">
      <c r="A81" s="3" t="s">
        <v>511</v>
      </c>
      <c r="B81" s="3"/>
      <c r="C81" s="3"/>
      <c r="D81" s="3"/>
      <c r="E81" s="3"/>
      <c r="F81" s="3"/>
      <c r="G81" s="3"/>
      <c r="H81" s="3"/>
      <c r="I81" s="3"/>
      <c r="J81" s="3"/>
    </row>
    <row r="82" spans="1:10" ht="15" customHeight="1" x14ac:dyDescent="0.3">
      <c r="A82" s="3" t="s">
        <v>512</v>
      </c>
      <c r="B82" s="3"/>
      <c r="C82" s="3"/>
      <c r="D82" s="3"/>
      <c r="E82" s="3"/>
      <c r="F82" s="3"/>
      <c r="G82" s="3"/>
      <c r="H82" s="3"/>
      <c r="I82" s="3"/>
      <c r="J82" s="3"/>
    </row>
    <row r="83" spans="1:10" ht="15" customHeight="1" x14ac:dyDescent="0.3">
      <c r="A83" s="3" t="s">
        <v>513</v>
      </c>
      <c r="B83" s="3"/>
      <c r="C83" s="3"/>
      <c r="D83" s="3"/>
      <c r="E83" s="3"/>
      <c r="F83" s="3"/>
      <c r="G83" s="3"/>
      <c r="H83" s="3"/>
      <c r="I83" s="3"/>
      <c r="J83" s="3"/>
    </row>
    <row r="84" spans="1:10" ht="15" customHeight="1" x14ac:dyDescent="0.3">
      <c r="A84" s="3" t="s">
        <v>514</v>
      </c>
      <c r="B84" s="3"/>
      <c r="C84" s="3"/>
      <c r="D84" s="3"/>
      <c r="E84" s="3"/>
      <c r="F84" s="3"/>
      <c r="G84" s="3"/>
      <c r="H84" s="3"/>
      <c r="I84" s="3"/>
      <c r="J84" s="3"/>
    </row>
  </sheetData>
  <mergeCells count="60">
    <mergeCell ref="A80:J80"/>
    <mergeCell ref="A81:J81"/>
    <mergeCell ref="A82:J82"/>
    <mergeCell ref="A83:J83"/>
    <mergeCell ref="A84:J84"/>
    <mergeCell ref="A73:J73"/>
    <mergeCell ref="A74:J74"/>
    <mergeCell ref="A76:J76"/>
    <mergeCell ref="A78:J78"/>
    <mergeCell ref="A79:J79"/>
    <mergeCell ref="A68:J68"/>
    <mergeCell ref="A69:J69"/>
    <mergeCell ref="A70:J70"/>
    <mergeCell ref="A71:J71"/>
    <mergeCell ref="A72:J72"/>
    <mergeCell ref="A61:J61"/>
    <mergeCell ref="A62:J62"/>
    <mergeCell ref="A63:J63"/>
    <mergeCell ref="A65:J65"/>
    <mergeCell ref="A67:J67"/>
    <mergeCell ref="A56:J56"/>
    <mergeCell ref="A57:J57"/>
    <mergeCell ref="A58:J58"/>
    <mergeCell ref="A59:J59"/>
    <mergeCell ref="A60:J60"/>
    <mergeCell ref="A47:J47"/>
    <mergeCell ref="A49:J49"/>
    <mergeCell ref="A51:J51"/>
    <mergeCell ref="A52:J52"/>
    <mergeCell ref="A54:J54"/>
    <mergeCell ref="A42:J42"/>
    <mergeCell ref="A43:J43"/>
    <mergeCell ref="A44:J44"/>
    <mergeCell ref="A45:J45"/>
    <mergeCell ref="A46:J46"/>
    <mergeCell ref="A35:J35"/>
    <mergeCell ref="A36:J36"/>
    <mergeCell ref="A38:J38"/>
    <mergeCell ref="A39:J39"/>
    <mergeCell ref="A41:J41"/>
    <mergeCell ref="A27:J27"/>
    <mergeCell ref="A29:J29"/>
    <mergeCell ref="A30:J30"/>
    <mergeCell ref="A32:J32"/>
    <mergeCell ref="A33:J33"/>
    <mergeCell ref="A19:J19"/>
    <mergeCell ref="A20:J20"/>
    <mergeCell ref="A23:J23"/>
    <mergeCell ref="A24:J24"/>
    <mergeCell ref="A26:J26"/>
    <mergeCell ref="A10:J10"/>
    <mergeCell ref="A11:J11"/>
    <mergeCell ref="A13:J13"/>
    <mergeCell ref="A15:J15"/>
    <mergeCell ref="A17:J17"/>
    <mergeCell ref="A3:J3"/>
    <mergeCell ref="A5:J5"/>
    <mergeCell ref="A7:J7"/>
    <mergeCell ref="A8:J8"/>
    <mergeCell ref="A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"/>
  <sheetViews>
    <sheetView zoomScaleNormal="100" workbookViewId="0">
      <pane ySplit="1" topLeftCell="A2" activePane="bottomLeft" state="frozen"/>
      <selection pane="bottomLeft" sqref="A1:E1"/>
    </sheetView>
  </sheetViews>
  <sheetFormatPr defaultColWidth="8.6640625" defaultRowHeight="14.4" x14ac:dyDescent="0.3"/>
  <cols>
    <col min="1" max="1" width="26" customWidth="1"/>
    <col min="2" max="2" width="30" customWidth="1"/>
    <col min="3" max="3" width="14" customWidth="1"/>
    <col min="4" max="4" width="16" customWidth="1"/>
    <col min="5" max="5" width="10" customWidth="1"/>
    <col min="7" max="14" width="15" customWidth="1"/>
  </cols>
  <sheetData>
    <row r="1" spans="1:14" ht="17.25" customHeight="1" x14ac:dyDescent="0.3">
      <c r="A1" s="6" t="s">
        <v>515</v>
      </c>
      <c r="B1" s="6"/>
      <c r="C1" s="6"/>
      <c r="D1" s="6"/>
      <c r="E1" s="6"/>
    </row>
    <row r="2" spans="1:14" ht="15" customHeight="1" x14ac:dyDescent="0.3">
      <c r="G2" s="14" t="s">
        <v>516</v>
      </c>
      <c r="J2" s="14" t="s">
        <v>517</v>
      </c>
      <c r="M2" s="14" t="s">
        <v>518</v>
      </c>
    </row>
    <row r="3" spans="1:14" ht="15" customHeight="1" x14ac:dyDescent="0.3">
      <c r="A3" s="7" t="s">
        <v>519</v>
      </c>
      <c r="C3" s="7" t="s">
        <v>520</v>
      </c>
      <c r="G3" s="15" t="s">
        <v>521</v>
      </c>
      <c r="H3" s="15" t="str">
        <f>IFERROR(INDEX(Heroes!$C$2:$C$134,MATCH($B$3,Heroes!$B$2:$B$134,0)),"")</f>
        <v/>
      </c>
      <c r="J3" s="15" t="s">
        <v>521</v>
      </c>
      <c r="K3" s="15" t="str">
        <f>IFERROR(INDEX(Heroes!$C$2:$C$134,MATCH($D$3,Heroes!$B$2:$B$134,0)),"")</f>
        <v/>
      </c>
      <c r="M3" s="15" t="s">
        <v>336</v>
      </c>
      <c r="N3" s="15">
        <f>IFERROR(INDEX('Data-Input'!$B$7:$B$14,MATCH("role_mult",'Data-Input'!$A$7:$A$14,0)),5)</f>
        <v>5</v>
      </c>
    </row>
    <row r="4" spans="1:14" ht="15" customHeight="1" x14ac:dyDescent="0.3">
      <c r="G4" s="15" t="s">
        <v>522</v>
      </c>
      <c r="H4" s="15" t="str">
        <f>IFERROR(INDEX(Heroes!$D$2:$D$134,MATCH($B$3,Heroes!$B$2:$B$134,0)),"")</f>
        <v/>
      </c>
      <c r="J4" s="15" t="s">
        <v>522</v>
      </c>
      <c r="K4" s="15" t="str">
        <f>IFERROR(INDEX(Heroes!$D$2:$D$134,MATCH($D$3,Heroes!$B$2:$B$134,0)),"")</f>
        <v/>
      </c>
      <c r="M4" s="15" t="s">
        <v>338</v>
      </c>
      <c r="N4" s="15">
        <f>IFERROR(INDEX('Data-Input'!$B$7:$B$14,MATCH("burst_mult",'Data-Input'!$A$7:$A$14,0)),0.1)</f>
        <v>0.1</v>
      </c>
    </row>
    <row r="5" spans="1:14" ht="15" customHeight="1" x14ac:dyDescent="0.3">
      <c r="A5" s="16" t="s">
        <v>523</v>
      </c>
      <c r="G5" s="15" t="s">
        <v>524</v>
      </c>
      <c r="H5" s="15" t="str">
        <f>IFERROR(INDEX(Heroes!$E$2:$E$134,MATCH($B$3,Heroes!$B$2:$B$134,0)),"")</f>
        <v/>
      </c>
      <c r="J5" s="15" t="s">
        <v>525</v>
      </c>
      <c r="K5" s="15" t="str">
        <f>IFERROR(INDEX(Heroes!$G$2:$G$134,MATCH($D$3,Heroes!$B$2:$B$134,0)),"")</f>
        <v/>
      </c>
      <c r="M5" s="15" t="s">
        <v>340</v>
      </c>
      <c r="N5" s="15">
        <f>IFERROR(INDEX('Data-Input'!$B$7:$B$14,MATCH("diff_mult",'Data-Input'!$A$7:$A$14,0)),0.3)</f>
        <v>0.3</v>
      </c>
    </row>
    <row r="6" spans="1:14" ht="15" customHeight="1" x14ac:dyDescent="0.3">
      <c r="B6" s="7" t="s">
        <v>526</v>
      </c>
      <c r="C6" s="7" t="s">
        <v>334</v>
      </c>
      <c r="G6" s="15" t="s">
        <v>527</v>
      </c>
      <c r="H6" s="15" t="str">
        <f>IFERROR(INDEX(Heroes!$F$2:$F$134,MATCH($B$3,Heroes!$B$2:$B$134,0)),"")</f>
        <v/>
      </c>
      <c r="J6" s="15" t="s">
        <v>528</v>
      </c>
      <c r="K6" s="15" t="str">
        <f>IFERROR(INDEX(Heroes!$H$2:$H$134,MATCH($D$3,Heroes!$B$2:$B$134,0)),"")</f>
        <v/>
      </c>
      <c r="M6" s="9" t="s">
        <v>342</v>
      </c>
      <c r="N6">
        <f>IFERROR(INDEX('Data-Input'!$B$7:$B$14,MATCH("style_mult",'Data-Input'!$A$7:$A$14,0)),5)</f>
        <v>5</v>
      </c>
    </row>
    <row r="7" spans="1:14" ht="15" customHeight="1" x14ac:dyDescent="0.3">
      <c r="B7" s="9" t="s">
        <v>529</v>
      </c>
      <c r="C7" s="17">
        <f>IF(OR($B$3="",$D$3=""),0,MAX(IFERROR(INDEX('Data-Input'!$B$19:$G$24,MATCH($H$3,'Data-Input'!$A$19:$A$24,0),MATCH($K$3,'Data-Input'!$B$18:$G$18,0)),0),IF($H$4&lt;&gt;"",IFERROR(INDEX('Data-Input'!$B$19:$G$24,MATCH($H$4,'Data-Input'!$A$19:$A$24,0),MATCH($K$3,'Data-Input'!$B$18:$G$18,0)),0),IFERROR(INDEX('Data-Input'!$B$19:$G$24,MATCH($H$3,'Data-Input'!$A$19:$A$24,0),MATCH($K$3,'Data-Input'!$B$18:$G$18,0)),0)))*$N$3)</f>
        <v>0</v>
      </c>
      <c r="G7" s="15" t="s">
        <v>528</v>
      </c>
      <c r="H7" s="15" t="str">
        <f>IFERROR(INDEX(Heroes!$H$2:$H$134,MATCH($B$3,Heroes!$B$2:$B$134,0)),"")</f>
        <v/>
      </c>
      <c r="J7" s="15" t="s">
        <v>530</v>
      </c>
      <c r="K7" s="15" t="str">
        <f>IFERROR(INDEX(Heroes!$I$2:$I$134,MATCH($D$3,Heroes!$B$2:$B$134,0)),"")</f>
        <v/>
      </c>
      <c r="M7" s="9" t="s">
        <v>344</v>
      </c>
      <c r="N7">
        <f>IFERROR(INDEX('Data-Input'!$B$7:$B$14,MATCH("spike_mult",'Data-Input'!$A$7:$A$14,0)),3)</f>
        <v>3</v>
      </c>
    </row>
    <row r="8" spans="1:14" ht="15" customHeight="1" x14ac:dyDescent="0.3">
      <c r="B8" s="9" t="s">
        <v>531</v>
      </c>
      <c r="C8" s="17">
        <f>IF(OR($B$3="",$D$3=""),0,(($H$5+$H$6)/2-$K$5)*$N$4)</f>
        <v>0</v>
      </c>
      <c r="G8" s="15" t="s">
        <v>530</v>
      </c>
      <c r="H8" s="15" t="str">
        <f>IFERROR(INDEX(Heroes!$I$2:$I$134,MATCH($B$3,Heroes!$B$2:$B$134,0)),"")</f>
        <v/>
      </c>
      <c r="J8" s="15" t="s">
        <v>532</v>
      </c>
      <c r="K8" s="15" t="str">
        <f>IFERROR(INDEX(Heroes!$J$2:$J$134,MATCH($D$3,Heroes!$B$2:$B$134,0)),"")</f>
        <v/>
      </c>
      <c r="M8" s="9" t="s">
        <v>346</v>
      </c>
      <c r="N8">
        <f>IFERROR(INDEX('Data-Input'!$B$7:$B$14,MATCH("dmgtype_same",'Data-Input'!$A$7:$A$14,0)),-2)</f>
        <v>-2</v>
      </c>
    </row>
    <row r="9" spans="1:14" ht="15" customHeight="1" x14ac:dyDescent="0.3">
      <c r="B9" s="9" t="s">
        <v>533</v>
      </c>
      <c r="C9" s="17">
        <f>IF(OR($B$3="",$D$3=""),0,IF(($H$7-$K$6)&gt;20,($H$7-$K$6)*$N$5,0))</f>
        <v>0</v>
      </c>
      <c r="G9" s="15" t="s">
        <v>532</v>
      </c>
      <c r="H9" s="15" t="str">
        <f>IFERROR(INDEX(Heroes!$J$2:$J$134,MATCH($B$3,Heroes!$B$2:$B$134,0)),"")</f>
        <v/>
      </c>
      <c r="J9" s="15" t="s">
        <v>534</v>
      </c>
      <c r="K9" s="15" t="str">
        <f>IFERROR(INDEX(Heroes!$K$2:$K$134,MATCH($D$3,Heroes!$B$2:$B$134,0)),"")</f>
        <v/>
      </c>
      <c r="M9" s="9" t="s">
        <v>348</v>
      </c>
      <c r="N9">
        <f>IFERROR(INDEX('Data-Input'!$B$7:$B$14,MATCH("dmgtype_diff",'Data-Input'!$A$7:$A$14,0)),3)</f>
        <v>3</v>
      </c>
    </row>
    <row r="10" spans="1:14" ht="15" customHeight="1" x14ac:dyDescent="0.3">
      <c r="B10" s="9" t="s">
        <v>535</v>
      </c>
      <c r="C10" s="17">
        <f>IF(OR($B$3="",$D$3=""),0,IF($H$10="Mixed",$N$10,IF($H$10=$K$9,$N$8,$N$9)))</f>
        <v>0</v>
      </c>
      <c r="G10" s="15" t="s">
        <v>534</v>
      </c>
      <c r="H10" s="15" t="str">
        <f>IFERROR(INDEX(Heroes!$K$2:$K$134,MATCH($B$3,Heroes!$B$2:$B$134,0)),"")</f>
        <v/>
      </c>
      <c r="J10" s="15" t="s">
        <v>536</v>
      </c>
      <c r="K10" s="15" t="str">
        <f>IFERROR(INDEX(Heroes!$Q$2:$Q$134,MATCH($D$3,Heroes!$B$2:$B$134,0)),"")</f>
        <v/>
      </c>
      <c r="M10" s="9" t="s">
        <v>350</v>
      </c>
      <c r="N10">
        <f>IFERROR(INDEX('Data-Input'!$B$7:$B$14,MATCH("dmgtype_mixed",'Data-Input'!$A$7:$A$14,0)),5)</f>
        <v>5</v>
      </c>
    </row>
    <row r="11" spans="1:14" ht="15" customHeight="1" x14ac:dyDescent="0.3">
      <c r="B11" s="9" t="s">
        <v>537</v>
      </c>
      <c r="C11" s="17">
        <f>IF(OR($B$3="",$D$3=""),0,($H$11-$K$10)*$N$7)</f>
        <v>0</v>
      </c>
      <c r="G11" s="15" t="s">
        <v>536</v>
      </c>
      <c r="H11" s="15" t="str">
        <f>IFERROR(INDEX(Heroes!$Q$2:$Q$134,MATCH($B$3,Heroes!$B$2:$B$134,0)),"")</f>
        <v/>
      </c>
    </row>
    <row r="12" spans="1:14" ht="15" customHeight="1" x14ac:dyDescent="0.3">
      <c r="B12" s="9" t="s">
        <v>538</v>
      </c>
      <c r="C12" s="17">
        <f>IF(OR($B$3="",$D$3=""),0,MAX(IF($H$8&lt;&gt;"",IFERROR(INDEX('Data-Input'!$B$164:$W$185,MATCH($H$8,'Data-Input'!$A$164:$A$185,0),MATCH($K$7,'Data-Input'!$B$163:$W$163,0)),0),0),IF(AND($H$8&lt;&gt;"",$K$8&lt;&gt;""),IFERROR(INDEX('Data-Input'!$B$164:$W$185,MATCH($H$8,'Data-Input'!$A$164:$A$185,0),MATCH($K$8,'Data-Input'!$B$163:$W$163,0)),0),0),IF($H$9&lt;&gt;"",IFERROR(INDEX('Data-Input'!$B$164:$W$185,MATCH($H$9,'Data-Input'!$A$164:$A$185,0),MATCH($K$7,'Data-Input'!$B$163:$W$163,0)),0),0),IF(AND($H$9&lt;&gt;"",$K$8&lt;&gt;""),IFERROR(INDEX('Data-Input'!$B$164:$W$185,MATCH($H$9,'Data-Input'!$A$164:$A$185,0),MATCH($K$8,'Data-Input'!$B$163:$W$163,0)),0),0))*$N$6)</f>
        <v>0</v>
      </c>
    </row>
    <row r="13" spans="1:14" ht="15" customHeight="1" x14ac:dyDescent="0.3">
      <c r="B13" s="9" t="s">
        <v>539</v>
      </c>
      <c r="C13">
        <f>IF(OR($B$3="",$D$3=""),0,SUMPRODUCT(('Data-Input'!$A$29:$A$128=$B$3)*('Data-Input'!$B$29:$B$128="Tag")*((( 'Data-Input'!$C$29:$C$128=$K$7)+('Data-Input'!$C$29:$C$128=$K$8))&gt;0)*('Data-Input'!$D$29:$D$128-'Data-Input'!$E$29:$E$128))+SUMPRODUCT(('Data-Input'!$A$29:$A$128=$B$3)*('Data-Input'!$B$29:$B$128="Hero")*('Data-Input'!$C$29:$C$128=$D$3)*('Data-Input'!$D$29:$D$128-'Data-Input'!$E$29:$E$128)))</f>
        <v>0</v>
      </c>
    </row>
    <row r="14" spans="1:14" ht="15" customHeight="1" x14ac:dyDescent="0.3">
      <c r="B14" s="18" t="s">
        <v>540</v>
      </c>
      <c r="C14" s="19">
        <f>SUM(C7:C13)</f>
        <v>0</v>
      </c>
    </row>
    <row r="15" spans="1:14" ht="15" customHeight="1" x14ac:dyDescent="0.3">
      <c r="B15" s="9" t="s">
        <v>541</v>
      </c>
      <c r="C15" s="9">
        <f>IFERROR(INDEX('Data-Input'!$C$190:$C$1189,MATCH($B$3&amp;"|"&amp;$D$3,'Data-Input'!$E$190:$E$1189,0)),"None")</f>
        <v>0</v>
      </c>
    </row>
    <row r="17" spans="1:3" ht="15.75" customHeight="1" x14ac:dyDescent="0.35">
      <c r="B17" s="20" t="s">
        <v>542</v>
      </c>
      <c r="C17" s="21" t="str">
        <f>IF(OR($B$3="",$D$3=""),"",IF(C15="None",C14,C15))</f>
        <v/>
      </c>
    </row>
    <row r="19" spans="1:3" ht="15" customHeight="1" x14ac:dyDescent="0.3">
      <c r="A19" s="15" t="s">
        <v>543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Heroes!$B$2:$B$134</xm:f>
          </x14:formula1>
          <x14:formula2>
            <xm:f>0</xm:f>
          </x14:formula2>
          <xm:sqref>B3 D3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15"/>
  <sheetViews>
    <sheetView tabSelected="1" zoomScaleNormal="100" workbookViewId="0"/>
  </sheetViews>
  <sheetFormatPr defaultColWidth="8.6640625" defaultRowHeight="14.4" x14ac:dyDescent="0.3"/>
  <cols>
    <col min="1" max="1" width="6" customWidth="1"/>
    <col min="2" max="2" width="24" customWidth="1"/>
    <col min="3" max="3" width="10" customWidth="1"/>
  </cols>
  <sheetData>
    <row r="1" spans="2:3" ht="15" customHeight="1" x14ac:dyDescent="0.3">
      <c r="B1" s="18" t="s">
        <v>544</v>
      </c>
    </row>
    <row r="2" spans="2:3" ht="15" customHeight="1" x14ac:dyDescent="0.3">
      <c r="B2" s="7" t="s">
        <v>545</v>
      </c>
      <c r="C2" s="7" t="s">
        <v>445</v>
      </c>
    </row>
    <row r="3" spans="2:3" ht="15" customHeight="1" x14ac:dyDescent="0.3">
      <c r="B3" t="str">
        <f>IFERROR(INDEX(LookupCalc!$A$2:$A$134,MATCH(LARGE(LookupCalc!$T$2:$T$134,ROW()-2),LookupCalc!$T$2:$T$134,0)),"")</f>
        <v>Lunox</v>
      </c>
      <c r="C3">
        <f>IFERROR(ROUND(LARGE(LookupCalc!$T$2:$T$134,ROW()-2),2),"")</f>
        <v>50.5</v>
      </c>
    </row>
    <row r="4" spans="2:3" ht="15" customHeight="1" x14ac:dyDescent="0.3">
      <c r="B4" t="str">
        <f>IFERROR(INDEX(LookupCalc!$A$2:$A$134,MATCH(LARGE(LookupCalc!$T$2:$T$134,ROW()-2),LookupCalc!$T$2:$T$134,0)),"")</f>
        <v>Alice</v>
      </c>
      <c r="C4">
        <f>IFERROR(ROUND(LARGE(LookupCalc!$T$2:$T$134,ROW()-2),2),"")</f>
        <v>45</v>
      </c>
    </row>
    <row r="5" spans="2:3" ht="15" customHeight="1" x14ac:dyDescent="0.3">
      <c r="B5" t="str">
        <f>IFERROR(INDEX(LookupCalc!$A$2:$A$134,MATCH(LARGE(LookupCalc!$T$2:$T$134,ROW()-2),LookupCalc!$T$2:$T$134,0)),"")</f>
        <v>Valentina</v>
      </c>
      <c r="C5">
        <f>IFERROR(ROUND(LARGE(LookupCalc!$T$2:$T$134,ROW()-2),2),"")</f>
        <v>44.5</v>
      </c>
    </row>
    <row r="6" spans="2:3" ht="15" customHeight="1" x14ac:dyDescent="0.3">
      <c r="B6" t="str">
        <f>IFERROR(INDEX(LookupCalc!$A$2:$A$134,MATCH(LARGE(LookupCalc!$T$2:$T$134,ROW()-2),LookupCalc!$T$2:$T$134,0)),"")</f>
        <v>Kimmy</v>
      </c>
      <c r="C6">
        <f>IFERROR(ROUND(LARGE(LookupCalc!$T$2:$T$134,ROW()-2),2),"")</f>
        <v>44.5</v>
      </c>
    </row>
    <row r="7" spans="2:3" ht="15" customHeight="1" x14ac:dyDescent="0.3">
      <c r="B7" t="str">
        <f>IFERROR(INDEX(LookupCalc!$A$2:$A$134,MATCH(LARGE(LookupCalc!$T$2:$T$134,ROW()-2),LookupCalc!$T$2:$T$134,0)),"")</f>
        <v>Kagura</v>
      </c>
      <c r="C7">
        <f>IFERROR(ROUND(LARGE(LookupCalc!$T$2:$T$134,ROW()-2),2),"")</f>
        <v>42.5</v>
      </c>
    </row>
    <row r="9" spans="2:3" ht="15" customHeight="1" x14ac:dyDescent="0.3">
      <c r="B9" s="18" t="str">
        <f>IF($A$1="","Top 5 — Same Lane","Top 5 — Same Lane ("&amp;IFERROR(INDEX(Heroes!$M$2:$M$134,MATCH($A$1,Heroes!$B$2:$B$134,0)),"?")&amp;")")</f>
        <v>Top 5 — Same Lane</v>
      </c>
    </row>
    <row r="10" spans="2:3" ht="15" customHeight="1" x14ac:dyDescent="0.3">
      <c r="B10" s="18" t="s">
        <v>545</v>
      </c>
      <c r="C10" s="18" t="s">
        <v>445</v>
      </c>
    </row>
    <row r="11" spans="2:3" ht="15" customHeight="1" x14ac:dyDescent="0.3">
      <c r="B11" t="str">
        <f>IFERROR(INDEX(LookupCalc!$A$2:$A$134,MATCH(LARGE(LookupCalc!$V$2:$V$134,ROW()-10),LookupCalc!$V$2:$V$134,0)),"")</f>
        <v>Miya</v>
      </c>
      <c r="C11">
        <f>IFERROR(ROUND(LARGE(LookupCalc!$V$2:$V$134,ROW()-10),2),"")</f>
        <v>-1000000000000000</v>
      </c>
    </row>
    <row r="12" spans="2:3" ht="15" customHeight="1" x14ac:dyDescent="0.3">
      <c r="B12" t="str">
        <f>IFERROR(INDEX(LookupCalc!$A$2:$A$134,MATCH(LARGE(LookupCalc!$V$2:$V$134,ROW()-10),LookupCalc!$V$2:$V$134,0)),"")</f>
        <v>Miya</v>
      </c>
      <c r="C12">
        <f>IFERROR(ROUND(LARGE(LookupCalc!$V$2:$V$134,ROW()-10),2),"")</f>
        <v>-1000000000000000</v>
      </c>
    </row>
    <row r="13" spans="2:3" ht="15" customHeight="1" x14ac:dyDescent="0.3">
      <c r="B13" t="str">
        <f>IFERROR(INDEX(LookupCalc!$A$2:$A$134,MATCH(LARGE(LookupCalc!$V$2:$V$134,ROW()-10),LookupCalc!$V$2:$V$134,0)),"")</f>
        <v>Miya</v>
      </c>
      <c r="C13">
        <f>IFERROR(ROUND(LARGE(LookupCalc!$V$2:$V$134,ROW()-10),2),"")</f>
        <v>-1000000000000000</v>
      </c>
    </row>
    <row r="14" spans="2:3" ht="15" customHeight="1" x14ac:dyDescent="0.3">
      <c r="B14" t="str">
        <f>IFERROR(INDEX(LookupCalc!$A$2:$A$134,MATCH(LARGE(LookupCalc!$V$2:$V$134,ROW()-10),LookupCalc!$V$2:$V$134,0)),"")</f>
        <v>Miya</v>
      </c>
      <c r="C14">
        <f>IFERROR(ROUND(LARGE(LookupCalc!$V$2:$V$134,ROW()-10),2),"")</f>
        <v>-1000000000000000</v>
      </c>
    </row>
    <row r="15" spans="2:3" ht="15" customHeight="1" x14ac:dyDescent="0.3">
      <c r="B15" t="str">
        <f>IFERROR(INDEX(LookupCalc!$A$2:$A$134,MATCH(LARGE(LookupCalc!$V$2:$V$134,ROW()-10),LookupCalc!$V$2:$V$134,0)),"")</f>
        <v>Miya</v>
      </c>
      <c r="C15">
        <f>IFERROR(ROUND(LARGE(LookupCalc!$V$2:$V$134,ROW()-10),2),"")</f>
        <v>-1000000000000000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hero" error="Select a hero from the list" xr:uid="{00000000-0002-0000-0400-000000000000}">
          <x14:formula1>
            <xm:f>Heroes!$B$2:$B$134</xm:f>
          </x14:formula1>
          <x14:formula2>
            <xm:f>0</xm:f>
          </x14:formula2>
          <xm:sqref>A1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34"/>
  <sheetViews>
    <sheetView zoomScaleNormal="100" workbookViewId="0"/>
  </sheetViews>
  <sheetFormatPr defaultColWidth="8.6640625" defaultRowHeight="14.4" x14ac:dyDescent="0.3"/>
  <sheetData>
    <row r="1" spans="1:26" ht="15" customHeight="1" x14ac:dyDescent="0.3">
      <c r="A1">
        <f>Lookup!$A$1</f>
        <v>0</v>
      </c>
      <c r="B1" t="str">
        <f>IFERROR(INDEX(Heroes!$C$2:$C$134,MATCH($A$1,Heroes!$B$2:$B$134,0)),"")</f>
        <v/>
      </c>
      <c r="C1">
        <f>IFERROR(INDEX(Heroes!$G$2:$G$134,MATCH($A$1,Heroes!$B$2:$B$134,0)),0)</f>
        <v>0</v>
      </c>
      <c r="D1">
        <f>IFERROR(INDEX(Heroes!$H$2:$H$134,MATCH($A$1,Heroes!$B$2:$B$134,0)),0)</f>
        <v>0</v>
      </c>
      <c r="E1" t="str">
        <f>IFERROR(INDEX(Heroes!$K$2:$K$134,MATCH($A$1,Heroes!$B$2:$B$134,0)),"")</f>
        <v/>
      </c>
      <c r="F1">
        <f>IFERROR(INDEX(Heroes!$Q$2:$Q$134,MATCH($A$1,Heroes!$B$2:$B$134,0)),0)</f>
        <v>0</v>
      </c>
      <c r="G1">
        <f>IFERROR(INDEX('Data-Input'!$B$7:$B$14,MATCH("role_mult",'Data-Input'!$A$7:$A$14,0)),5)</f>
        <v>5</v>
      </c>
      <c r="H1">
        <f>IFERROR(INDEX('Data-Input'!$B$7:$B$14,MATCH("burst_mult",'Data-Input'!$A$7:$A$14,0)),0.1)</f>
        <v>0.1</v>
      </c>
      <c r="I1">
        <f>IFERROR(INDEX('Data-Input'!$B$7:$B$14,MATCH("diff_mult",'Data-Input'!$A$7:$A$14,0)),0.3)</f>
        <v>0.3</v>
      </c>
      <c r="J1" t="str">
        <f>IFERROR(INDEX(Heroes!$M$2:$M$134,MATCH($A$1,Heroes!$B$2:$B$134,0)),"")</f>
        <v/>
      </c>
      <c r="K1" s="9" t="str">
        <f>IFERROR(INDEX(Heroes!$I$2:$I$134,MATCH($A$1,Heroes!$B$2:$B$134,0)),"")</f>
        <v/>
      </c>
      <c r="L1" s="9" t="str">
        <f>IFERROR(INDEX(Heroes!$J$2:$J$134,MATCH($A$1,Heroes!$B$2:$B$134,0)),"")</f>
        <v/>
      </c>
      <c r="M1" s="9">
        <f>IFERROR(INDEX('Data-Input'!$B$7:$B$14,MATCH("style_mult",'Data-Input'!$A$7:$A$14,0)),5)</f>
        <v>5</v>
      </c>
      <c r="N1" s="9">
        <f>IFERROR(INDEX('Data-Input'!$B$7:$B$14,MATCH("spike_mult",'Data-Input'!$A$7:$A$14,0)),3)</f>
        <v>3</v>
      </c>
      <c r="O1" s="9">
        <f>IFERROR(INDEX('Data-Input'!$B$7:$B$14,MATCH("dmgtype_same",'Data-Input'!$A$7:$A$14,0)),-2)</f>
        <v>-2</v>
      </c>
      <c r="P1" s="9">
        <f>IFERROR(INDEX('Data-Input'!$B$7:$B$14,MATCH("dmgtype_diff",'Data-Input'!$A$7:$A$14,0)),3)</f>
        <v>3</v>
      </c>
      <c r="Q1" s="9">
        <f>IFERROR(INDEX('Data-Input'!$B$7:$B$14,MATCH("dmgtype_mixed",'Data-Input'!$A$7:$A$14,0)),5)</f>
        <v>5</v>
      </c>
      <c r="U1" s="15" t="s">
        <v>546</v>
      </c>
      <c r="V1" s="15" t="s">
        <v>547</v>
      </c>
      <c r="W1" s="9" t="s">
        <v>548</v>
      </c>
      <c r="X1" s="9" t="s">
        <v>549</v>
      </c>
      <c r="Y1" s="9" t="s">
        <v>550</v>
      </c>
      <c r="Z1" s="9" t="s">
        <v>551</v>
      </c>
    </row>
    <row r="2" spans="1:26" ht="15" customHeight="1" x14ac:dyDescent="0.3">
      <c r="A2" t="str">
        <f>Heroes!$B2</f>
        <v>Miya</v>
      </c>
      <c r="B2" t="str">
        <f>Heroes!$C2</f>
        <v>Marksman</v>
      </c>
      <c r="C2">
        <f>Heroes!$D2</f>
        <v>0</v>
      </c>
      <c r="D2">
        <f>Heroes!$E2</f>
        <v>70</v>
      </c>
      <c r="E2">
        <f>Heroes!$F2</f>
        <v>40</v>
      </c>
      <c r="F2">
        <f>Heroes!$H2</f>
        <v>10</v>
      </c>
      <c r="G2" t="str">
        <f>Heroes!$K2</f>
        <v>Physical</v>
      </c>
      <c r="H2">
        <f>Heroes!$Q2</f>
        <v>5</v>
      </c>
      <c r="I2">
        <f>IFERROR(INDEX('Data-Input'!$B$19:$G$24,MATCH(B2,'Data-Input'!$A$19:$A$24,0),MATCH($B$1,'Data-Input'!$B$18:$G$18,0)),0)</f>
        <v>0</v>
      </c>
      <c r="J2">
        <f>IF(C2&lt;&gt;"",IFERROR(INDEX('Data-Input'!$B$19:$G$24,MATCH(C2,'Data-Input'!$A$19:$A$24,0),MATCH($B$1,'Data-Input'!$B$18:$G$18,0)),0),I2)</f>
        <v>0</v>
      </c>
      <c r="K2">
        <f t="shared" ref="K2:K33" si="0">MAX(I2,J2)</f>
        <v>0</v>
      </c>
      <c r="L2">
        <f t="shared" ref="L2:L33" si="1">((D2+E2)/2-$C$1)*$H$1</f>
        <v>5.5</v>
      </c>
      <c r="M2">
        <f t="shared" ref="M2:M33" si="2">F2-$D$1</f>
        <v>10</v>
      </c>
      <c r="N2">
        <f t="shared" ref="N2:N33" si="3">IF(M2&gt;20,M2*$I$1,0)</f>
        <v>0</v>
      </c>
      <c r="O2">
        <f t="shared" ref="O2:O33" si="4">IF(G2="Mixed",$Q$1,IF(G2=$E$1,$O$1,$P$1))</f>
        <v>3</v>
      </c>
      <c r="P2">
        <f t="shared" ref="P2:P33" si="5">(H2-$F$1)*$N$1</f>
        <v>15</v>
      </c>
      <c r="Q2">
        <f t="shared" ref="Q2:Q33" si="6">K2*$G$1+L2+N2+O2+P2+Y2+Z2</f>
        <v>23.5</v>
      </c>
      <c r="R2">
        <f>IFERROR(INDEX('Data-Input'!$C$190:$C$1189,MATCH(A2&amp;"|"&amp;$A$1,'Data-Input'!$E$190:$E$1189,0)),Q2)</f>
        <v>23.5</v>
      </c>
      <c r="S2">
        <f t="shared" ref="S2:S33" si="7">IF(OR($A$1="",A2=$A$1),-1000000000000000,R2)</f>
        <v>23.5</v>
      </c>
      <c r="T2">
        <f t="shared" ref="T2:T33" si="8">S2+ROW()*0.0000001</f>
        <v>23.500000199999999</v>
      </c>
      <c r="U2" t="str">
        <f>Heroes!$M2</f>
        <v>Gold Lane</v>
      </c>
      <c r="V2">
        <f t="shared" ref="V2:V33" si="9">IF(OR($A$1="",A2=$A$1,U2="",U2&lt;&gt;$J$1),-1000000000000000,R2)+ROW()*0.0000001</f>
        <v>-1000000000000000</v>
      </c>
      <c r="W2" t="str">
        <f>Heroes!$I2</f>
        <v>DPS</v>
      </c>
      <c r="X2" t="str">
        <f>Heroes!$J2</f>
        <v>AoE Damage</v>
      </c>
      <c r="Y2">
        <f>IF($A$1="",0,MAX(IF(W2&lt;&gt;"",IFERROR(INDEX('Data-Input'!$B$164:$W$185,MATCH(W2,'Data-Input'!$A$164:$A$185,0),MATCH($K$1,'Data-Input'!$B$163:$W$163,0)),0),0),IF(AND(W2&lt;&gt;"",$L$1&lt;&gt;""),IFERROR(INDEX('Data-Input'!$B$164:$W$185,MATCH(W2,'Data-Input'!$A$164:$A$185,0),MATCH($L$1,'Data-Input'!$B$163:$W$163,0)),0),0),IF(X2&lt;&gt;"",IFERROR(INDEX('Data-Input'!$B$164:$W$185,MATCH(X2,'Data-Input'!$A$164:$A$185,0),MATCH($K$1,'Data-Input'!$B$163:$W$163,0)),0),0),IF(AND(X2&lt;&gt;"",$L$1&lt;&gt;""),IFERROR(INDEX('Data-Input'!$B$164:$W$185,MATCH(X2,'Data-Input'!$A$164:$A$185,0),MATCH($L$1,'Data-Input'!$B$163:$W$163,0)),0),0))*$M$1)</f>
        <v>0</v>
      </c>
      <c r="Z2">
        <f>IF($A$1="",0,SUMPRODUCT(('Data-Input'!$A$29:$A$128=A2)*('Data-Input'!$B$29:$B$128="Tag")*((('Data-Input'!$C$29:$C$128=$K$1)+('Data-Input'!$C$29:$C$128=$L$1))&gt;0)*('Data-Input'!$D$29:$D$128-'Data-Input'!$E$29:$E$128))+SUMPRODUCT(('Data-Input'!$A$29:$A$128=A2)*('Data-Input'!$B$29:$B$128="Hero")*('Data-Input'!$C$29:$C$128=$A$1)*('Data-Input'!$D$29:$D$128-'Data-Input'!$E$29:$E$128)))</f>
        <v>0</v>
      </c>
    </row>
    <row r="3" spans="1:26" ht="15" customHeight="1" x14ac:dyDescent="0.3">
      <c r="A3" t="str">
        <f>Heroes!$B3</f>
        <v>Balmond</v>
      </c>
      <c r="B3" t="str">
        <f>Heroes!$C3</f>
        <v>Fighter</v>
      </c>
      <c r="C3">
        <f>Heroes!$D3</f>
        <v>0</v>
      </c>
      <c r="D3">
        <f>Heroes!$E3</f>
        <v>30</v>
      </c>
      <c r="E3">
        <f>Heroes!$F3</f>
        <v>20</v>
      </c>
      <c r="F3">
        <f>Heroes!$H3</f>
        <v>10</v>
      </c>
      <c r="G3" t="str">
        <f>Heroes!$K3</f>
        <v>Physical</v>
      </c>
      <c r="H3">
        <f>Heroes!$Q3</f>
        <v>3</v>
      </c>
      <c r="I3">
        <f>IFERROR(INDEX('Data-Input'!$B$19:$G$24,MATCH(B3,'Data-Input'!$A$19:$A$24,0),MATCH($B$1,'Data-Input'!$B$18:$G$18,0)),0)</f>
        <v>0</v>
      </c>
      <c r="J3">
        <f>IF(C3&lt;&gt;"",IFERROR(INDEX('Data-Input'!$B$19:$G$24,MATCH(C3,'Data-Input'!$A$19:$A$24,0),MATCH($B$1,'Data-Input'!$B$18:$G$18,0)),0),I3)</f>
        <v>0</v>
      </c>
      <c r="K3">
        <f t="shared" si="0"/>
        <v>0</v>
      </c>
      <c r="L3">
        <f t="shared" si="1"/>
        <v>2.5</v>
      </c>
      <c r="M3">
        <f t="shared" si="2"/>
        <v>10</v>
      </c>
      <c r="N3">
        <f t="shared" si="3"/>
        <v>0</v>
      </c>
      <c r="O3">
        <f t="shared" si="4"/>
        <v>3</v>
      </c>
      <c r="P3">
        <f t="shared" si="5"/>
        <v>9</v>
      </c>
      <c r="Q3">
        <f t="shared" si="6"/>
        <v>14.5</v>
      </c>
      <c r="R3">
        <f>IFERROR(INDEX('Data-Input'!$C$190:$C$1189,MATCH(A3&amp;"|"&amp;$A$1,'Data-Input'!$E$190:$E$1189,0)),Q3)</f>
        <v>14.5</v>
      </c>
      <c r="S3">
        <f t="shared" si="7"/>
        <v>14.5</v>
      </c>
      <c r="T3">
        <f t="shared" si="8"/>
        <v>14.5000003</v>
      </c>
      <c r="U3" t="str">
        <f>Heroes!$M3</f>
        <v>Jungle</v>
      </c>
      <c r="V3">
        <f t="shared" si="9"/>
        <v>-1000000000000000</v>
      </c>
      <c r="W3" t="str">
        <f>Heroes!$I3</f>
        <v>Sustain</v>
      </c>
      <c r="X3" t="str">
        <f>Heroes!$J3</f>
        <v>Execute</v>
      </c>
      <c r="Y3">
        <f>IF($A$1="",0,MAX(IF(W3&lt;&gt;"",IFERROR(INDEX('Data-Input'!$B$164:$W$185,MATCH(W3,'Data-Input'!$A$164:$A$185,0),MATCH($K$1,'Data-Input'!$B$163:$W$163,0)),0),0),IF(AND(W3&lt;&gt;"",$L$1&lt;&gt;""),IFERROR(INDEX('Data-Input'!$B$164:$W$185,MATCH(W3,'Data-Input'!$A$164:$A$185,0),MATCH($L$1,'Data-Input'!$B$163:$W$163,0)),0),0),IF(X3&lt;&gt;"",IFERROR(INDEX('Data-Input'!$B$164:$W$185,MATCH(X3,'Data-Input'!$A$164:$A$185,0),MATCH($K$1,'Data-Input'!$B$163:$W$163,0)),0),0),IF(AND(X3&lt;&gt;"",$L$1&lt;&gt;""),IFERROR(INDEX('Data-Input'!$B$164:$W$185,MATCH(X3,'Data-Input'!$A$164:$A$185,0),MATCH($L$1,'Data-Input'!$B$163:$W$163,0)),0),0))*$M$1)</f>
        <v>0</v>
      </c>
      <c r="Z3">
        <f>IF($A$1="",0,SUMPRODUCT(('Data-Input'!$A$29:$A$128=A3)*('Data-Input'!$B$29:$B$128="Tag")*((('Data-Input'!$C$29:$C$128=$K$1)+('Data-Input'!$C$29:$C$128=$L$1))&gt;0)*('Data-Input'!$D$29:$D$128-'Data-Input'!$E$29:$E$128))+SUMPRODUCT(('Data-Input'!$A$29:$A$128=A3)*('Data-Input'!$B$29:$B$128="Hero")*('Data-Input'!$C$29:$C$128=$A$1)*('Data-Input'!$D$29:$D$128-'Data-Input'!$E$29:$E$128)))</f>
        <v>0</v>
      </c>
    </row>
    <row r="4" spans="1:26" ht="15" customHeight="1" x14ac:dyDescent="0.3">
      <c r="A4" t="str">
        <f>Heroes!$B4</f>
        <v>Saber</v>
      </c>
      <c r="B4" t="str">
        <f>Heroes!$C4</f>
        <v>Assassin</v>
      </c>
      <c r="C4">
        <f>Heroes!$D4</f>
        <v>0</v>
      </c>
      <c r="D4">
        <f>Heroes!$E4</f>
        <v>60</v>
      </c>
      <c r="E4">
        <f>Heroes!$F4</f>
        <v>60</v>
      </c>
      <c r="F4">
        <f>Heroes!$H4</f>
        <v>10</v>
      </c>
      <c r="G4" t="str">
        <f>Heroes!$K4</f>
        <v>Physical</v>
      </c>
      <c r="H4">
        <f>Heroes!$Q4</f>
        <v>2</v>
      </c>
      <c r="I4">
        <f>IFERROR(INDEX('Data-Input'!$B$19:$G$24,MATCH(B4,'Data-Input'!$A$19:$A$24,0),MATCH($B$1,'Data-Input'!$B$18:$G$18,0)),0)</f>
        <v>0</v>
      </c>
      <c r="J4">
        <f>IF(C4&lt;&gt;"",IFERROR(INDEX('Data-Input'!$B$19:$G$24,MATCH(C4,'Data-Input'!$A$19:$A$24,0),MATCH($B$1,'Data-Input'!$B$18:$G$18,0)),0),I4)</f>
        <v>0</v>
      </c>
      <c r="K4">
        <f t="shared" si="0"/>
        <v>0</v>
      </c>
      <c r="L4">
        <f t="shared" si="1"/>
        <v>6</v>
      </c>
      <c r="M4">
        <f t="shared" si="2"/>
        <v>10</v>
      </c>
      <c r="N4">
        <f t="shared" si="3"/>
        <v>0</v>
      </c>
      <c r="O4">
        <f t="shared" si="4"/>
        <v>3</v>
      </c>
      <c r="P4">
        <f t="shared" si="5"/>
        <v>6</v>
      </c>
      <c r="Q4">
        <f t="shared" si="6"/>
        <v>15</v>
      </c>
      <c r="R4">
        <f>IFERROR(INDEX('Data-Input'!$C$190:$C$1189,MATCH(A4&amp;"|"&amp;$A$1,'Data-Input'!$E$190:$E$1189,0)),Q4)</f>
        <v>15</v>
      </c>
      <c r="S4">
        <f t="shared" si="7"/>
        <v>15</v>
      </c>
      <c r="T4">
        <f t="shared" si="8"/>
        <v>15.000000399999999</v>
      </c>
      <c r="U4" t="str">
        <f>Heroes!$M4</f>
        <v>Jungle</v>
      </c>
      <c r="V4">
        <f t="shared" si="9"/>
        <v>-1000000000000000</v>
      </c>
      <c r="W4" t="str">
        <f>Heroes!$I4</f>
        <v>Burst</v>
      </c>
      <c r="X4" t="str">
        <f>Heroes!$J4</f>
        <v>Targeted CC</v>
      </c>
      <c r="Y4">
        <f>IF($A$1="",0,MAX(IF(W4&lt;&gt;"",IFERROR(INDEX('Data-Input'!$B$164:$W$185,MATCH(W4,'Data-Input'!$A$164:$A$185,0),MATCH($K$1,'Data-Input'!$B$163:$W$163,0)),0),0),IF(AND(W4&lt;&gt;"",$L$1&lt;&gt;""),IFERROR(INDEX('Data-Input'!$B$164:$W$185,MATCH(W4,'Data-Input'!$A$164:$A$185,0),MATCH($L$1,'Data-Input'!$B$163:$W$163,0)),0),0),IF(X4&lt;&gt;"",IFERROR(INDEX('Data-Input'!$B$164:$W$185,MATCH(X4,'Data-Input'!$A$164:$A$185,0),MATCH($K$1,'Data-Input'!$B$163:$W$163,0)),0),0),IF(AND(X4&lt;&gt;"",$L$1&lt;&gt;""),IFERROR(INDEX('Data-Input'!$B$164:$W$185,MATCH(X4,'Data-Input'!$A$164:$A$185,0),MATCH($L$1,'Data-Input'!$B$163:$W$163,0)),0),0))*$M$1)</f>
        <v>0</v>
      </c>
      <c r="Z4">
        <f>IF($A$1="",0,SUMPRODUCT(('Data-Input'!$A$29:$A$128=A4)*('Data-Input'!$B$29:$B$128="Tag")*((('Data-Input'!$C$29:$C$128=$K$1)+('Data-Input'!$C$29:$C$128=$L$1))&gt;0)*('Data-Input'!$D$29:$D$128-'Data-Input'!$E$29:$E$128))+SUMPRODUCT(('Data-Input'!$A$29:$A$128=A4)*('Data-Input'!$B$29:$B$128="Hero")*('Data-Input'!$C$29:$C$128=$A$1)*('Data-Input'!$D$29:$D$128-'Data-Input'!$E$29:$E$128)))</f>
        <v>0</v>
      </c>
    </row>
    <row r="5" spans="1:26" ht="15" customHeight="1" x14ac:dyDescent="0.3">
      <c r="A5" t="str">
        <f>Heroes!$B5</f>
        <v>Alice</v>
      </c>
      <c r="B5" t="str">
        <f>Heroes!$C5</f>
        <v>Mage</v>
      </c>
      <c r="C5">
        <f>Heroes!$D5</f>
        <v>0</v>
      </c>
      <c r="D5">
        <f>Heroes!$E5</f>
        <v>50</v>
      </c>
      <c r="E5">
        <f>Heroes!$F5</f>
        <v>70</v>
      </c>
      <c r="F5">
        <f>Heroes!$H5</f>
        <v>70</v>
      </c>
      <c r="G5" t="str">
        <f>Heroes!$K5</f>
        <v>Magic</v>
      </c>
      <c r="H5">
        <f>Heroes!$Q5</f>
        <v>5</v>
      </c>
      <c r="I5">
        <f>IFERROR(INDEX('Data-Input'!$B$19:$G$24,MATCH(B5,'Data-Input'!$A$19:$A$24,0),MATCH($B$1,'Data-Input'!$B$18:$G$18,0)),0)</f>
        <v>0</v>
      </c>
      <c r="J5">
        <f>IF(C5&lt;&gt;"",IFERROR(INDEX('Data-Input'!$B$19:$G$24,MATCH(C5,'Data-Input'!$A$19:$A$24,0),MATCH($B$1,'Data-Input'!$B$18:$G$18,0)),0),I5)</f>
        <v>0</v>
      </c>
      <c r="K5">
        <f t="shared" si="0"/>
        <v>0</v>
      </c>
      <c r="L5">
        <f t="shared" si="1"/>
        <v>6</v>
      </c>
      <c r="M5">
        <f t="shared" si="2"/>
        <v>70</v>
      </c>
      <c r="N5">
        <f t="shared" si="3"/>
        <v>21</v>
      </c>
      <c r="O5">
        <f t="shared" si="4"/>
        <v>3</v>
      </c>
      <c r="P5">
        <f t="shared" si="5"/>
        <v>15</v>
      </c>
      <c r="Q5">
        <f t="shared" si="6"/>
        <v>45</v>
      </c>
      <c r="R5">
        <f>IFERROR(INDEX('Data-Input'!$C$190:$C$1189,MATCH(A5&amp;"|"&amp;$A$1,'Data-Input'!$E$190:$E$1189,0)),Q5)</f>
        <v>45</v>
      </c>
      <c r="S5">
        <f t="shared" si="7"/>
        <v>45</v>
      </c>
      <c r="T5">
        <f t="shared" si="8"/>
        <v>45.000000499999999</v>
      </c>
      <c r="U5" t="str">
        <f>Heroes!$M5</f>
        <v>EXP Lane</v>
      </c>
      <c r="V5">
        <f t="shared" si="9"/>
        <v>-1000000000000000</v>
      </c>
      <c r="W5" t="str">
        <f>Heroes!$I5</f>
        <v>Sustain</v>
      </c>
      <c r="X5" t="str">
        <f>Heroes!$J5</f>
        <v>AoE Damage</v>
      </c>
      <c r="Y5">
        <f>IF($A$1="",0,MAX(IF(W5&lt;&gt;"",IFERROR(INDEX('Data-Input'!$B$164:$W$185,MATCH(W5,'Data-Input'!$A$164:$A$185,0),MATCH($K$1,'Data-Input'!$B$163:$W$163,0)),0),0),IF(AND(W5&lt;&gt;"",$L$1&lt;&gt;""),IFERROR(INDEX('Data-Input'!$B$164:$W$185,MATCH(W5,'Data-Input'!$A$164:$A$185,0),MATCH($L$1,'Data-Input'!$B$163:$W$163,0)),0),0),IF(X5&lt;&gt;"",IFERROR(INDEX('Data-Input'!$B$164:$W$185,MATCH(X5,'Data-Input'!$A$164:$A$185,0),MATCH($K$1,'Data-Input'!$B$163:$W$163,0)),0),0),IF(AND(X5&lt;&gt;"",$L$1&lt;&gt;""),IFERROR(INDEX('Data-Input'!$B$164:$W$185,MATCH(X5,'Data-Input'!$A$164:$A$185,0),MATCH($L$1,'Data-Input'!$B$163:$W$163,0)),0),0))*$M$1)</f>
        <v>0</v>
      </c>
      <c r="Z5">
        <f>IF($A$1="",0,SUMPRODUCT(('Data-Input'!$A$29:$A$128=A5)*('Data-Input'!$B$29:$B$128="Tag")*((('Data-Input'!$C$29:$C$128=$K$1)+('Data-Input'!$C$29:$C$128=$L$1))&gt;0)*('Data-Input'!$D$29:$D$128-'Data-Input'!$E$29:$E$128))+SUMPRODUCT(('Data-Input'!$A$29:$A$128=A5)*('Data-Input'!$B$29:$B$128="Hero")*('Data-Input'!$C$29:$C$128=$A$1)*('Data-Input'!$D$29:$D$128-'Data-Input'!$E$29:$E$128)))</f>
        <v>0</v>
      </c>
    </row>
    <row r="6" spans="1:26" ht="15" customHeight="1" x14ac:dyDescent="0.3">
      <c r="A6" t="str">
        <f>Heroes!$B6</f>
        <v>Nana</v>
      </c>
      <c r="B6" t="str">
        <f>Heroes!$C6</f>
        <v>Mage</v>
      </c>
      <c r="C6">
        <f>Heroes!$D6</f>
        <v>0</v>
      </c>
      <c r="D6">
        <f>Heroes!$E6</f>
        <v>60</v>
      </c>
      <c r="E6">
        <f>Heroes!$F6</f>
        <v>100</v>
      </c>
      <c r="F6">
        <f>Heroes!$H6</f>
        <v>10</v>
      </c>
      <c r="G6" t="str">
        <f>Heroes!$K6</f>
        <v>Magic</v>
      </c>
      <c r="H6">
        <f>Heroes!$Q6</f>
        <v>3</v>
      </c>
      <c r="I6">
        <f>IFERROR(INDEX('Data-Input'!$B$19:$G$24,MATCH(B6,'Data-Input'!$A$19:$A$24,0),MATCH($B$1,'Data-Input'!$B$18:$G$18,0)),0)</f>
        <v>0</v>
      </c>
      <c r="J6">
        <f>IF(C6&lt;&gt;"",IFERROR(INDEX('Data-Input'!$B$19:$G$24,MATCH(C6,'Data-Input'!$A$19:$A$24,0),MATCH($B$1,'Data-Input'!$B$18:$G$18,0)),0),I6)</f>
        <v>0</v>
      </c>
      <c r="K6">
        <f t="shared" si="0"/>
        <v>0</v>
      </c>
      <c r="L6">
        <f t="shared" si="1"/>
        <v>8</v>
      </c>
      <c r="M6">
        <f t="shared" si="2"/>
        <v>10</v>
      </c>
      <c r="N6">
        <f t="shared" si="3"/>
        <v>0</v>
      </c>
      <c r="O6">
        <f t="shared" si="4"/>
        <v>3</v>
      </c>
      <c r="P6">
        <f t="shared" si="5"/>
        <v>9</v>
      </c>
      <c r="Q6">
        <f t="shared" si="6"/>
        <v>20</v>
      </c>
      <c r="R6">
        <f>IFERROR(INDEX('Data-Input'!$C$190:$C$1189,MATCH(A6&amp;"|"&amp;$A$1,'Data-Input'!$E$190:$E$1189,0)),Q6)</f>
        <v>20</v>
      </c>
      <c r="S6">
        <f t="shared" si="7"/>
        <v>20</v>
      </c>
      <c r="T6">
        <f t="shared" si="8"/>
        <v>20.0000006</v>
      </c>
      <c r="U6" t="str">
        <f>Heroes!$M6</f>
        <v>Mid Lane</v>
      </c>
      <c r="V6">
        <f t="shared" si="9"/>
        <v>-1000000000000000</v>
      </c>
      <c r="W6" t="str">
        <f>Heroes!$I6</f>
        <v>Poke</v>
      </c>
      <c r="X6" t="str">
        <f>Heroes!$J6</f>
        <v>Soft CC</v>
      </c>
      <c r="Y6">
        <f>IF($A$1="",0,MAX(IF(W6&lt;&gt;"",IFERROR(INDEX('Data-Input'!$B$164:$W$185,MATCH(W6,'Data-Input'!$A$164:$A$185,0),MATCH($K$1,'Data-Input'!$B$163:$W$163,0)),0),0),IF(AND(W6&lt;&gt;"",$L$1&lt;&gt;""),IFERROR(INDEX('Data-Input'!$B$164:$W$185,MATCH(W6,'Data-Input'!$A$164:$A$185,0),MATCH($L$1,'Data-Input'!$B$163:$W$163,0)),0),0),IF(X6&lt;&gt;"",IFERROR(INDEX('Data-Input'!$B$164:$W$185,MATCH(X6,'Data-Input'!$A$164:$A$185,0),MATCH($K$1,'Data-Input'!$B$163:$W$163,0)),0),0),IF(AND(X6&lt;&gt;"",$L$1&lt;&gt;""),IFERROR(INDEX('Data-Input'!$B$164:$W$185,MATCH(X6,'Data-Input'!$A$164:$A$185,0),MATCH($L$1,'Data-Input'!$B$163:$W$163,0)),0),0))*$M$1)</f>
        <v>0</v>
      </c>
      <c r="Z6">
        <f>IF($A$1="",0,SUMPRODUCT(('Data-Input'!$A$29:$A$128=A6)*('Data-Input'!$B$29:$B$128="Tag")*((('Data-Input'!$C$29:$C$128=$K$1)+('Data-Input'!$C$29:$C$128=$L$1))&gt;0)*('Data-Input'!$D$29:$D$128-'Data-Input'!$E$29:$E$128))+SUMPRODUCT(('Data-Input'!$A$29:$A$128=A6)*('Data-Input'!$B$29:$B$128="Hero")*('Data-Input'!$C$29:$C$128=$A$1)*('Data-Input'!$D$29:$D$128-'Data-Input'!$E$29:$E$128)))</f>
        <v>0</v>
      </c>
    </row>
    <row r="7" spans="1:26" ht="15" customHeight="1" x14ac:dyDescent="0.3">
      <c r="A7" t="str">
        <f>Heroes!$B7</f>
        <v>Tigreal</v>
      </c>
      <c r="B7" t="str">
        <f>Heroes!$C7</f>
        <v>Tank</v>
      </c>
      <c r="C7">
        <f>Heroes!$D7</f>
        <v>0</v>
      </c>
      <c r="D7">
        <f>Heroes!$E7</f>
        <v>10</v>
      </c>
      <c r="E7">
        <f>Heroes!$F7</f>
        <v>100</v>
      </c>
      <c r="F7">
        <f>Heroes!$H7</f>
        <v>10</v>
      </c>
      <c r="G7" t="str">
        <f>Heroes!$K7</f>
        <v>Physical</v>
      </c>
      <c r="H7">
        <f>Heroes!$Q7</f>
        <v>2</v>
      </c>
      <c r="I7">
        <f>IFERROR(INDEX('Data-Input'!$B$19:$G$24,MATCH(B7,'Data-Input'!$A$19:$A$24,0),MATCH($B$1,'Data-Input'!$B$18:$G$18,0)),0)</f>
        <v>0</v>
      </c>
      <c r="J7">
        <f>IF(C7&lt;&gt;"",IFERROR(INDEX('Data-Input'!$B$19:$G$24,MATCH(C7,'Data-Input'!$A$19:$A$24,0),MATCH($B$1,'Data-Input'!$B$18:$G$18,0)),0),I7)</f>
        <v>0</v>
      </c>
      <c r="K7">
        <f t="shared" si="0"/>
        <v>0</v>
      </c>
      <c r="L7">
        <f t="shared" si="1"/>
        <v>5.5</v>
      </c>
      <c r="M7">
        <f t="shared" si="2"/>
        <v>10</v>
      </c>
      <c r="N7">
        <f t="shared" si="3"/>
        <v>0</v>
      </c>
      <c r="O7">
        <f t="shared" si="4"/>
        <v>3</v>
      </c>
      <c r="P7">
        <f t="shared" si="5"/>
        <v>6</v>
      </c>
      <c r="Q7">
        <f t="shared" si="6"/>
        <v>14.5</v>
      </c>
      <c r="R7">
        <f>IFERROR(INDEX('Data-Input'!$C$190:$C$1189,MATCH(A7&amp;"|"&amp;$A$1,'Data-Input'!$E$190:$E$1189,0)),Q7)</f>
        <v>14.5</v>
      </c>
      <c r="S7">
        <f t="shared" si="7"/>
        <v>14.5</v>
      </c>
      <c r="T7">
        <f t="shared" si="8"/>
        <v>14.500000699999999</v>
      </c>
      <c r="U7" t="str">
        <f>Heroes!$M7</f>
        <v>Roaming</v>
      </c>
      <c r="V7">
        <f t="shared" si="9"/>
        <v>-1000000000000000</v>
      </c>
      <c r="W7" t="str">
        <f>Heroes!$I7</f>
        <v>AoE CC</v>
      </c>
      <c r="X7" t="str">
        <f>Heroes!$J7</f>
        <v>Hard CC</v>
      </c>
      <c r="Y7">
        <f>IF($A$1="",0,MAX(IF(W7&lt;&gt;"",IFERROR(INDEX('Data-Input'!$B$164:$W$185,MATCH(W7,'Data-Input'!$A$164:$A$185,0),MATCH($K$1,'Data-Input'!$B$163:$W$163,0)),0),0),IF(AND(W7&lt;&gt;"",$L$1&lt;&gt;""),IFERROR(INDEX('Data-Input'!$B$164:$W$185,MATCH(W7,'Data-Input'!$A$164:$A$185,0),MATCH($L$1,'Data-Input'!$B$163:$W$163,0)),0),0),IF(X7&lt;&gt;"",IFERROR(INDEX('Data-Input'!$B$164:$W$185,MATCH(X7,'Data-Input'!$A$164:$A$185,0),MATCH($K$1,'Data-Input'!$B$163:$W$163,0)),0),0),IF(AND(X7&lt;&gt;"",$L$1&lt;&gt;""),IFERROR(INDEX('Data-Input'!$B$164:$W$185,MATCH(X7,'Data-Input'!$A$164:$A$185,0),MATCH($L$1,'Data-Input'!$B$163:$W$163,0)),0),0))*$M$1)</f>
        <v>0</v>
      </c>
      <c r="Z7">
        <f>IF($A$1="",0,SUMPRODUCT(('Data-Input'!$A$29:$A$128=A7)*('Data-Input'!$B$29:$B$128="Tag")*((('Data-Input'!$C$29:$C$128=$K$1)+('Data-Input'!$C$29:$C$128=$L$1))&gt;0)*('Data-Input'!$D$29:$D$128-'Data-Input'!$E$29:$E$128))+SUMPRODUCT(('Data-Input'!$A$29:$A$128=A7)*('Data-Input'!$B$29:$B$128="Hero")*('Data-Input'!$C$29:$C$128=$A$1)*('Data-Input'!$D$29:$D$128-'Data-Input'!$E$29:$E$128)))</f>
        <v>0</v>
      </c>
    </row>
    <row r="8" spans="1:26" ht="15" customHeight="1" x14ac:dyDescent="0.3">
      <c r="A8" t="str">
        <f>Heroes!$B8</f>
        <v>Alucard</v>
      </c>
      <c r="B8" t="str">
        <f>Heroes!$C8</f>
        <v>Fighter</v>
      </c>
      <c r="C8" t="str">
        <f>Heroes!$D8</f>
        <v>Assassin</v>
      </c>
      <c r="D8">
        <f>Heroes!$E8</f>
        <v>50</v>
      </c>
      <c r="E8">
        <f>Heroes!$F8</f>
        <v>10</v>
      </c>
      <c r="F8">
        <f>Heroes!$H8</f>
        <v>40</v>
      </c>
      <c r="G8" t="str">
        <f>Heroes!$K8</f>
        <v>Physical</v>
      </c>
      <c r="H8">
        <f>Heroes!$Q8</f>
        <v>3</v>
      </c>
      <c r="I8">
        <f>IFERROR(INDEX('Data-Input'!$B$19:$G$24,MATCH(B8,'Data-Input'!$A$19:$A$24,0),MATCH($B$1,'Data-Input'!$B$18:$G$18,0)),0)</f>
        <v>0</v>
      </c>
      <c r="J8">
        <f>IF(C8&lt;&gt;"",IFERROR(INDEX('Data-Input'!$B$19:$G$24,MATCH(C8,'Data-Input'!$A$19:$A$24,0),MATCH($B$1,'Data-Input'!$B$18:$G$18,0)),0),I8)</f>
        <v>0</v>
      </c>
      <c r="K8">
        <f t="shared" si="0"/>
        <v>0</v>
      </c>
      <c r="L8">
        <f t="shared" si="1"/>
        <v>3</v>
      </c>
      <c r="M8">
        <f t="shared" si="2"/>
        <v>40</v>
      </c>
      <c r="N8">
        <f t="shared" si="3"/>
        <v>12</v>
      </c>
      <c r="O8">
        <f t="shared" si="4"/>
        <v>3</v>
      </c>
      <c r="P8">
        <f t="shared" si="5"/>
        <v>9</v>
      </c>
      <c r="Q8">
        <f t="shared" si="6"/>
        <v>27</v>
      </c>
      <c r="R8">
        <f>IFERROR(INDEX('Data-Input'!$C$190:$C$1189,MATCH(A8&amp;"|"&amp;$A$1,'Data-Input'!$E$190:$E$1189,0)),Q8)</f>
        <v>27</v>
      </c>
      <c r="S8">
        <f t="shared" si="7"/>
        <v>27</v>
      </c>
      <c r="T8">
        <f t="shared" si="8"/>
        <v>27.000000799999999</v>
      </c>
      <c r="U8" t="str">
        <f>Heroes!$M8</f>
        <v>Jungle</v>
      </c>
      <c r="V8">
        <f t="shared" si="9"/>
        <v>-1000000000000000</v>
      </c>
      <c r="W8" t="str">
        <f>Heroes!$I8</f>
        <v>Sustain</v>
      </c>
      <c r="X8" t="str">
        <f>Heroes!$J8</f>
        <v>DPS</v>
      </c>
      <c r="Y8">
        <f>IF($A$1="",0,MAX(IF(W8&lt;&gt;"",IFERROR(INDEX('Data-Input'!$B$164:$W$185,MATCH(W8,'Data-Input'!$A$164:$A$185,0),MATCH($K$1,'Data-Input'!$B$163:$W$163,0)),0),0),IF(AND(W8&lt;&gt;"",$L$1&lt;&gt;""),IFERROR(INDEX('Data-Input'!$B$164:$W$185,MATCH(W8,'Data-Input'!$A$164:$A$185,0),MATCH($L$1,'Data-Input'!$B$163:$W$163,0)),0),0),IF(X8&lt;&gt;"",IFERROR(INDEX('Data-Input'!$B$164:$W$185,MATCH(X8,'Data-Input'!$A$164:$A$185,0),MATCH($K$1,'Data-Input'!$B$163:$W$163,0)),0),0),IF(AND(X8&lt;&gt;"",$L$1&lt;&gt;""),IFERROR(INDEX('Data-Input'!$B$164:$W$185,MATCH(X8,'Data-Input'!$A$164:$A$185,0),MATCH($L$1,'Data-Input'!$B$163:$W$163,0)),0),0))*$M$1)</f>
        <v>0</v>
      </c>
      <c r="Z8">
        <f>IF($A$1="",0,SUMPRODUCT(('Data-Input'!$A$29:$A$128=A8)*('Data-Input'!$B$29:$B$128="Tag")*((('Data-Input'!$C$29:$C$128=$K$1)+('Data-Input'!$C$29:$C$128=$L$1))&gt;0)*('Data-Input'!$D$29:$D$128-'Data-Input'!$E$29:$E$128))+SUMPRODUCT(('Data-Input'!$A$29:$A$128=A8)*('Data-Input'!$B$29:$B$128="Hero")*('Data-Input'!$C$29:$C$128=$A$1)*('Data-Input'!$D$29:$D$128-'Data-Input'!$E$29:$E$128)))</f>
        <v>0</v>
      </c>
    </row>
    <row r="9" spans="1:26" ht="15" customHeight="1" x14ac:dyDescent="0.3">
      <c r="A9" t="str">
        <f>Heroes!$B9</f>
        <v>Karina</v>
      </c>
      <c r="B9" t="str">
        <f>Heroes!$C9</f>
        <v>Assassin</v>
      </c>
      <c r="C9">
        <f>Heroes!$D9</f>
        <v>0</v>
      </c>
      <c r="D9">
        <f>Heroes!$E9</f>
        <v>70</v>
      </c>
      <c r="E9">
        <f>Heroes!$F9</f>
        <v>10</v>
      </c>
      <c r="F9">
        <f>Heroes!$H9</f>
        <v>40</v>
      </c>
      <c r="G9" t="str">
        <f>Heroes!$K9</f>
        <v>Magic</v>
      </c>
      <c r="H9">
        <f>Heroes!$Q9</f>
        <v>2</v>
      </c>
      <c r="I9">
        <f>IFERROR(INDEX('Data-Input'!$B$19:$G$24,MATCH(B9,'Data-Input'!$A$19:$A$24,0),MATCH($B$1,'Data-Input'!$B$18:$G$18,0)),0)</f>
        <v>0</v>
      </c>
      <c r="J9">
        <f>IF(C9&lt;&gt;"",IFERROR(INDEX('Data-Input'!$B$19:$G$24,MATCH(C9,'Data-Input'!$A$19:$A$24,0),MATCH($B$1,'Data-Input'!$B$18:$G$18,0)),0),I9)</f>
        <v>0</v>
      </c>
      <c r="K9">
        <f t="shared" si="0"/>
        <v>0</v>
      </c>
      <c r="L9">
        <f t="shared" si="1"/>
        <v>4</v>
      </c>
      <c r="M9">
        <f t="shared" si="2"/>
        <v>40</v>
      </c>
      <c r="N9">
        <f t="shared" si="3"/>
        <v>12</v>
      </c>
      <c r="O9">
        <f t="shared" si="4"/>
        <v>3</v>
      </c>
      <c r="P9">
        <f t="shared" si="5"/>
        <v>6</v>
      </c>
      <c r="Q9">
        <f t="shared" si="6"/>
        <v>25</v>
      </c>
      <c r="R9">
        <f>IFERROR(INDEX('Data-Input'!$C$190:$C$1189,MATCH(A9&amp;"|"&amp;$A$1,'Data-Input'!$E$190:$E$1189,0)),Q9)</f>
        <v>25</v>
      </c>
      <c r="S9">
        <f t="shared" si="7"/>
        <v>25</v>
      </c>
      <c r="T9">
        <f t="shared" si="8"/>
        <v>25.0000009</v>
      </c>
      <c r="U9" t="str">
        <f>Heroes!$M9</f>
        <v>Jungle</v>
      </c>
      <c r="V9">
        <f t="shared" si="9"/>
        <v>-1000000000000000</v>
      </c>
      <c r="W9" t="str">
        <f>Heroes!$I9</f>
        <v>Burst</v>
      </c>
      <c r="X9" t="str">
        <f>Heroes!$J9</f>
        <v>Execute</v>
      </c>
      <c r="Y9">
        <f>IF($A$1="",0,MAX(IF(W9&lt;&gt;"",IFERROR(INDEX('Data-Input'!$B$164:$W$185,MATCH(W9,'Data-Input'!$A$164:$A$185,0),MATCH($K$1,'Data-Input'!$B$163:$W$163,0)),0),0),IF(AND(W9&lt;&gt;"",$L$1&lt;&gt;""),IFERROR(INDEX('Data-Input'!$B$164:$W$185,MATCH(W9,'Data-Input'!$A$164:$A$185,0),MATCH($L$1,'Data-Input'!$B$163:$W$163,0)),0),0),IF(X9&lt;&gt;"",IFERROR(INDEX('Data-Input'!$B$164:$W$185,MATCH(X9,'Data-Input'!$A$164:$A$185,0),MATCH($K$1,'Data-Input'!$B$163:$W$163,0)),0),0),IF(AND(X9&lt;&gt;"",$L$1&lt;&gt;""),IFERROR(INDEX('Data-Input'!$B$164:$W$185,MATCH(X9,'Data-Input'!$A$164:$A$185,0),MATCH($L$1,'Data-Input'!$B$163:$W$163,0)),0),0))*$M$1)</f>
        <v>0</v>
      </c>
      <c r="Z9">
        <f>IF($A$1="",0,SUMPRODUCT(('Data-Input'!$A$29:$A$128=A9)*('Data-Input'!$B$29:$B$128="Tag")*((('Data-Input'!$C$29:$C$128=$K$1)+('Data-Input'!$C$29:$C$128=$L$1))&gt;0)*('Data-Input'!$D$29:$D$128-'Data-Input'!$E$29:$E$128))+SUMPRODUCT(('Data-Input'!$A$29:$A$128=A9)*('Data-Input'!$B$29:$B$128="Hero")*('Data-Input'!$C$29:$C$128=$A$1)*('Data-Input'!$D$29:$D$128-'Data-Input'!$E$29:$E$128)))</f>
        <v>0</v>
      </c>
    </row>
    <row r="10" spans="1:26" ht="15" customHeight="1" x14ac:dyDescent="0.3">
      <c r="A10" t="str">
        <f>Heroes!$B10</f>
        <v>Akai</v>
      </c>
      <c r="B10" t="str">
        <f>Heroes!$C10</f>
        <v>Tank</v>
      </c>
      <c r="C10">
        <f>Heroes!$D10</f>
        <v>0</v>
      </c>
      <c r="D10">
        <f>Heroes!$E10</f>
        <v>30</v>
      </c>
      <c r="E10">
        <f>Heroes!$F10</f>
        <v>90</v>
      </c>
      <c r="F10">
        <f>Heroes!$H10</f>
        <v>30</v>
      </c>
      <c r="G10" t="str">
        <f>Heroes!$K10</f>
        <v>Physical</v>
      </c>
      <c r="H10">
        <f>Heroes!$Q10</f>
        <v>2</v>
      </c>
      <c r="I10">
        <f>IFERROR(INDEX('Data-Input'!$B$19:$G$24,MATCH(B10,'Data-Input'!$A$19:$A$24,0),MATCH($B$1,'Data-Input'!$B$18:$G$18,0)),0)</f>
        <v>0</v>
      </c>
      <c r="J10">
        <f>IF(C10&lt;&gt;"",IFERROR(INDEX('Data-Input'!$B$19:$G$24,MATCH(C10,'Data-Input'!$A$19:$A$24,0),MATCH($B$1,'Data-Input'!$B$18:$G$18,0)),0),I10)</f>
        <v>0</v>
      </c>
      <c r="K10">
        <f t="shared" si="0"/>
        <v>0</v>
      </c>
      <c r="L10">
        <f t="shared" si="1"/>
        <v>6</v>
      </c>
      <c r="M10">
        <f t="shared" si="2"/>
        <v>30</v>
      </c>
      <c r="N10">
        <f t="shared" si="3"/>
        <v>9</v>
      </c>
      <c r="O10">
        <f t="shared" si="4"/>
        <v>3</v>
      </c>
      <c r="P10">
        <f t="shared" si="5"/>
        <v>6</v>
      </c>
      <c r="Q10">
        <f t="shared" si="6"/>
        <v>24</v>
      </c>
      <c r="R10">
        <f>IFERROR(INDEX('Data-Input'!$C$190:$C$1189,MATCH(A10&amp;"|"&amp;$A$1,'Data-Input'!$E$190:$E$1189,0)),Q10)</f>
        <v>24</v>
      </c>
      <c r="S10">
        <f t="shared" si="7"/>
        <v>24</v>
      </c>
      <c r="T10">
        <f t="shared" si="8"/>
        <v>24.000001000000001</v>
      </c>
      <c r="U10" t="str">
        <f>Heroes!$M10</f>
        <v>Roaming</v>
      </c>
      <c r="V10">
        <f t="shared" si="9"/>
        <v>-1000000000000000</v>
      </c>
      <c r="W10" t="str">
        <f>Heroes!$I10</f>
        <v>Hard CC</v>
      </c>
      <c r="X10" t="str">
        <f>Heroes!$J10</f>
        <v>Shield</v>
      </c>
      <c r="Y10">
        <f>IF($A$1="",0,MAX(IF(W10&lt;&gt;"",IFERROR(INDEX('Data-Input'!$B$164:$W$185,MATCH(W10,'Data-Input'!$A$164:$A$185,0),MATCH($K$1,'Data-Input'!$B$163:$W$163,0)),0),0),IF(AND(W10&lt;&gt;"",$L$1&lt;&gt;""),IFERROR(INDEX('Data-Input'!$B$164:$W$185,MATCH(W10,'Data-Input'!$A$164:$A$185,0),MATCH($L$1,'Data-Input'!$B$163:$W$163,0)),0),0),IF(X10&lt;&gt;"",IFERROR(INDEX('Data-Input'!$B$164:$W$185,MATCH(X10,'Data-Input'!$A$164:$A$185,0),MATCH($K$1,'Data-Input'!$B$163:$W$163,0)),0),0),IF(AND(X10&lt;&gt;"",$L$1&lt;&gt;""),IFERROR(INDEX('Data-Input'!$B$164:$W$185,MATCH(X10,'Data-Input'!$A$164:$A$185,0),MATCH($L$1,'Data-Input'!$B$163:$W$163,0)),0),0))*$M$1)</f>
        <v>0</v>
      </c>
      <c r="Z10">
        <f>IF($A$1="",0,SUMPRODUCT(('Data-Input'!$A$29:$A$128=A10)*('Data-Input'!$B$29:$B$128="Tag")*((('Data-Input'!$C$29:$C$128=$K$1)+('Data-Input'!$C$29:$C$128=$L$1))&gt;0)*('Data-Input'!$D$29:$D$128-'Data-Input'!$E$29:$E$128))+SUMPRODUCT(('Data-Input'!$A$29:$A$128=A10)*('Data-Input'!$B$29:$B$128="Hero")*('Data-Input'!$C$29:$C$128=$A$1)*('Data-Input'!$D$29:$D$128-'Data-Input'!$E$29:$E$128)))</f>
        <v>0</v>
      </c>
    </row>
    <row r="11" spans="1:26" ht="15" customHeight="1" x14ac:dyDescent="0.3">
      <c r="A11" t="str">
        <f>Heroes!$B11</f>
        <v>Franco</v>
      </c>
      <c r="B11" t="str">
        <f>Heroes!$C11</f>
        <v>Tank</v>
      </c>
      <c r="C11">
        <f>Heroes!$D11</f>
        <v>0</v>
      </c>
      <c r="D11">
        <f>Heroes!$E11</f>
        <v>10</v>
      </c>
      <c r="E11">
        <f>Heroes!$F11</f>
        <v>100</v>
      </c>
      <c r="F11">
        <f>Heroes!$H11</f>
        <v>20</v>
      </c>
      <c r="G11" t="str">
        <f>Heroes!$K11</f>
        <v>Physical</v>
      </c>
      <c r="H11">
        <f>Heroes!$Q11</f>
        <v>2</v>
      </c>
      <c r="I11">
        <f>IFERROR(INDEX('Data-Input'!$B$19:$G$24,MATCH(B11,'Data-Input'!$A$19:$A$24,0),MATCH($B$1,'Data-Input'!$B$18:$G$18,0)),0)</f>
        <v>0</v>
      </c>
      <c r="J11">
        <f>IF(C11&lt;&gt;"",IFERROR(INDEX('Data-Input'!$B$19:$G$24,MATCH(C11,'Data-Input'!$A$19:$A$24,0),MATCH($B$1,'Data-Input'!$B$18:$G$18,0)),0),I11)</f>
        <v>0</v>
      </c>
      <c r="K11">
        <f t="shared" si="0"/>
        <v>0</v>
      </c>
      <c r="L11">
        <f t="shared" si="1"/>
        <v>5.5</v>
      </c>
      <c r="M11">
        <f t="shared" si="2"/>
        <v>20</v>
      </c>
      <c r="N11">
        <f t="shared" si="3"/>
        <v>0</v>
      </c>
      <c r="O11">
        <f t="shared" si="4"/>
        <v>3</v>
      </c>
      <c r="P11">
        <f t="shared" si="5"/>
        <v>6</v>
      </c>
      <c r="Q11">
        <f t="shared" si="6"/>
        <v>14.5</v>
      </c>
      <c r="R11">
        <f>IFERROR(INDEX('Data-Input'!$C$190:$C$1189,MATCH(A11&amp;"|"&amp;$A$1,'Data-Input'!$E$190:$E$1189,0)),Q11)</f>
        <v>14.5</v>
      </c>
      <c r="S11">
        <f t="shared" si="7"/>
        <v>14.5</v>
      </c>
      <c r="T11">
        <f t="shared" si="8"/>
        <v>14.5000011</v>
      </c>
      <c r="U11" t="str">
        <f>Heroes!$M11</f>
        <v>Roaming</v>
      </c>
      <c r="V11">
        <f t="shared" si="9"/>
        <v>-1000000000000000</v>
      </c>
      <c r="W11" t="str">
        <f>Heroes!$I11</f>
        <v>Targeted CC</v>
      </c>
      <c r="X11" t="str">
        <f>Heroes!$J11</f>
        <v>Hard CC</v>
      </c>
      <c r="Y11">
        <f>IF($A$1="",0,MAX(IF(W11&lt;&gt;"",IFERROR(INDEX('Data-Input'!$B$164:$W$185,MATCH(W11,'Data-Input'!$A$164:$A$185,0),MATCH($K$1,'Data-Input'!$B$163:$W$163,0)),0),0),IF(AND(W11&lt;&gt;"",$L$1&lt;&gt;""),IFERROR(INDEX('Data-Input'!$B$164:$W$185,MATCH(W11,'Data-Input'!$A$164:$A$185,0),MATCH($L$1,'Data-Input'!$B$163:$W$163,0)),0),0),IF(X11&lt;&gt;"",IFERROR(INDEX('Data-Input'!$B$164:$W$185,MATCH(X11,'Data-Input'!$A$164:$A$185,0),MATCH($K$1,'Data-Input'!$B$163:$W$163,0)),0),0),IF(AND(X11&lt;&gt;"",$L$1&lt;&gt;""),IFERROR(INDEX('Data-Input'!$B$164:$W$185,MATCH(X11,'Data-Input'!$A$164:$A$185,0),MATCH($L$1,'Data-Input'!$B$163:$W$163,0)),0),0))*$M$1)</f>
        <v>0</v>
      </c>
      <c r="Z11">
        <f>IF($A$1="",0,SUMPRODUCT(('Data-Input'!$A$29:$A$128=A11)*('Data-Input'!$B$29:$B$128="Tag")*((('Data-Input'!$C$29:$C$128=$K$1)+('Data-Input'!$C$29:$C$128=$L$1))&gt;0)*('Data-Input'!$D$29:$D$128-'Data-Input'!$E$29:$E$128))+SUMPRODUCT(('Data-Input'!$A$29:$A$128=A11)*('Data-Input'!$B$29:$B$128="Hero")*('Data-Input'!$C$29:$C$128=$A$1)*('Data-Input'!$D$29:$D$128-'Data-Input'!$E$29:$E$128)))</f>
        <v>0</v>
      </c>
    </row>
    <row r="12" spans="1:26" ht="15" customHeight="1" x14ac:dyDescent="0.3">
      <c r="A12" t="str">
        <f>Heroes!$B12</f>
        <v>Bane</v>
      </c>
      <c r="B12" t="str">
        <f>Heroes!$C12</f>
        <v>Fighter</v>
      </c>
      <c r="C12" t="str">
        <f>Heroes!$D12</f>
        <v>Mage</v>
      </c>
      <c r="D12">
        <f>Heroes!$E12</f>
        <v>60</v>
      </c>
      <c r="E12">
        <f>Heroes!$F12</f>
        <v>40</v>
      </c>
      <c r="F12">
        <f>Heroes!$H12</f>
        <v>30</v>
      </c>
      <c r="G12" t="str">
        <f>Heroes!$K12</f>
        <v>Mixed</v>
      </c>
      <c r="H12">
        <f>Heroes!$Q12</f>
        <v>3</v>
      </c>
      <c r="I12">
        <f>IFERROR(INDEX('Data-Input'!$B$19:$G$24,MATCH(B12,'Data-Input'!$A$19:$A$24,0),MATCH($B$1,'Data-Input'!$B$18:$G$18,0)),0)</f>
        <v>0</v>
      </c>
      <c r="J12">
        <f>IF(C12&lt;&gt;"",IFERROR(INDEX('Data-Input'!$B$19:$G$24,MATCH(C12,'Data-Input'!$A$19:$A$24,0),MATCH($B$1,'Data-Input'!$B$18:$G$18,0)),0),I12)</f>
        <v>0</v>
      </c>
      <c r="K12">
        <f t="shared" si="0"/>
        <v>0</v>
      </c>
      <c r="L12">
        <f t="shared" si="1"/>
        <v>5</v>
      </c>
      <c r="M12">
        <f t="shared" si="2"/>
        <v>30</v>
      </c>
      <c r="N12">
        <f t="shared" si="3"/>
        <v>9</v>
      </c>
      <c r="O12">
        <f t="shared" si="4"/>
        <v>5</v>
      </c>
      <c r="P12">
        <f t="shared" si="5"/>
        <v>9</v>
      </c>
      <c r="Q12">
        <f t="shared" si="6"/>
        <v>28</v>
      </c>
      <c r="R12">
        <f>IFERROR(INDEX('Data-Input'!$C$190:$C$1189,MATCH(A12&amp;"|"&amp;$A$1,'Data-Input'!$E$190:$E$1189,0)),Q12)</f>
        <v>28</v>
      </c>
      <c r="S12">
        <f t="shared" si="7"/>
        <v>28</v>
      </c>
      <c r="T12">
        <f t="shared" si="8"/>
        <v>28.0000012</v>
      </c>
      <c r="U12" t="str">
        <f>Heroes!$M12</f>
        <v>Jungle</v>
      </c>
      <c r="V12">
        <f t="shared" si="9"/>
        <v>-1000000000000000</v>
      </c>
      <c r="W12" t="str">
        <f>Heroes!$I12</f>
        <v>Poke</v>
      </c>
      <c r="X12" t="str">
        <f>Heroes!$J12</f>
        <v>AoE Damage</v>
      </c>
      <c r="Y12">
        <f>IF($A$1="",0,MAX(IF(W12&lt;&gt;"",IFERROR(INDEX('Data-Input'!$B$164:$W$185,MATCH(W12,'Data-Input'!$A$164:$A$185,0),MATCH($K$1,'Data-Input'!$B$163:$W$163,0)),0),0),IF(AND(W12&lt;&gt;"",$L$1&lt;&gt;""),IFERROR(INDEX('Data-Input'!$B$164:$W$185,MATCH(W12,'Data-Input'!$A$164:$A$185,0),MATCH($L$1,'Data-Input'!$B$163:$W$163,0)),0),0),IF(X12&lt;&gt;"",IFERROR(INDEX('Data-Input'!$B$164:$W$185,MATCH(X12,'Data-Input'!$A$164:$A$185,0),MATCH($K$1,'Data-Input'!$B$163:$W$163,0)),0),0),IF(AND(X12&lt;&gt;"",$L$1&lt;&gt;""),IFERROR(INDEX('Data-Input'!$B$164:$W$185,MATCH(X12,'Data-Input'!$A$164:$A$185,0),MATCH($L$1,'Data-Input'!$B$163:$W$163,0)),0),0))*$M$1)</f>
        <v>0</v>
      </c>
      <c r="Z12">
        <f>IF($A$1="",0,SUMPRODUCT(('Data-Input'!$A$29:$A$128=A12)*('Data-Input'!$B$29:$B$128="Tag")*((('Data-Input'!$C$29:$C$128=$K$1)+('Data-Input'!$C$29:$C$128=$L$1))&gt;0)*('Data-Input'!$D$29:$D$128-'Data-Input'!$E$29:$E$128))+SUMPRODUCT(('Data-Input'!$A$29:$A$128=A12)*('Data-Input'!$B$29:$B$128="Hero")*('Data-Input'!$C$29:$C$128=$A$1)*('Data-Input'!$D$29:$D$128-'Data-Input'!$E$29:$E$128)))</f>
        <v>0</v>
      </c>
    </row>
    <row r="13" spans="1:26" ht="15" customHeight="1" x14ac:dyDescent="0.3">
      <c r="A13" t="str">
        <f>Heroes!$B13</f>
        <v>Bruno</v>
      </c>
      <c r="B13" t="str">
        <f>Heroes!$C13</f>
        <v>Marksman</v>
      </c>
      <c r="C13">
        <f>Heroes!$D13</f>
        <v>0</v>
      </c>
      <c r="D13">
        <f>Heroes!$E13</f>
        <v>60</v>
      </c>
      <c r="E13">
        <f>Heroes!$F13</f>
        <v>20</v>
      </c>
      <c r="F13">
        <f>Heroes!$H13</f>
        <v>50</v>
      </c>
      <c r="G13" t="str">
        <f>Heroes!$K13</f>
        <v>Physical</v>
      </c>
      <c r="H13">
        <f>Heroes!$Q13</f>
        <v>5</v>
      </c>
      <c r="I13">
        <f>IFERROR(INDEX('Data-Input'!$B$19:$G$24,MATCH(B13,'Data-Input'!$A$19:$A$24,0),MATCH($B$1,'Data-Input'!$B$18:$G$18,0)),0)</f>
        <v>0</v>
      </c>
      <c r="J13">
        <f>IF(C13&lt;&gt;"",IFERROR(INDEX('Data-Input'!$B$19:$G$24,MATCH(C13,'Data-Input'!$A$19:$A$24,0),MATCH($B$1,'Data-Input'!$B$18:$G$18,0)),0),I13)</f>
        <v>0</v>
      </c>
      <c r="K13">
        <f t="shared" si="0"/>
        <v>0</v>
      </c>
      <c r="L13">
        <f t="shared" si="1"/>
        <v>4</v>
      </c>
      <c r="M13">
        <f t="shared" si="2"/>
        <v>50</v>
      </c>
      <c r="N13">
        <f t="shared" si="3"/>
        <v>15</v>
      </c>
      <c r="O13">
        <f t="shared" si="4"/>
        <v>3</v>
      </c>
      <c r="P13">
        <f t="shared" si="5"/>
        <v>15</v>
      </c>
      <c r="Q13">
        <f t="shared" si="6"/>
        <v>37</v>
      </c>
      <c r="R13">
        <f>IFERROR(INDEX('Data-Input'!$C$190:$C$1189,MATCH(A13&amp;"|"&amp;$A$1,'Data-Input'!$E$190:$E$1189,0)),Q13)</f>
        <v>37</v>
      </c>
      <c r="S13">
        <f t="shared" si="7"/>
        <v>37</v>
      </c>
      <c r="T13">
        <f t="shared" si="8"/>
        <v>37.000001300000001</v>
      </c>
      <c r="U13" t="str">
        <f>Heroes!$M13</f>
        <v>Gold Lane</v>
      </c>
      <c r="V13">
        <f t="shared" si="9"/>
        <v>-1000000000000000</v>
      </c>
      <c r="W13" t="str">
        <f>Heroes!$I13</f>
        <v>DPS</v>
      </c>
      <c r="X13" t="str">
        <f>Heroes!$J13</f>
        <v>Burst</v>
      </c>
      <c r="Y13">
        <f>IF($A$1="",0,MAX(IF(W13&lt;&gt;"",IFERROR(INDEX('Data-Input'!$B$164:$W$185,MATCH(W13,'Data-Input'!$A$164:$A$185,0),MATCH($K$1,'Data-Input'!$B$163:$W$163,0)),0),0),IF(AND(W13&lt;&gt;"",$L$1&lt;&gt;""),IFERROR(INDEX('Data-Input'!$B$164:$W$185,MATCH(W13,'Data-Input'!$A$164:$A$185,0),MATCH($L$1,'Data-Input'!$B$163:$W$163,0)),0),0),IF(X13&lt;&gt;"",IFERROR(INDEX('Data-Input'!$B$164:$W$185,MATCH(X13,'Data-Input'!$A$164:$A$185,0),MATCH($K$1,'Data-Input'!$B$163:$W$163,0)),0),0),IF(AND(X13&lt;&gt;"",$L$1&lt;&gt;""),IFERROR(INDEX('Data-Input'!$B$164:$W$185,MATCH(X13,'Data-Input'!$A$164:$A$185,0),MATCH($L$1,'Data-Input'!$B$163:$W$163,0)),0),0))*$M$1)</f>
        <v>0</v>
      </c>
      <c r="Z13">
        <f>IF($A$1="",0,SUMPRODUCT(('Data-Input'!$A$29:$A$128=A13)*('Data-Input'!$B$29:$B$128="Tag")*((('Data-Input'!$C$29:$C$128=$K$1)+('Data-Input'!$C$29:$C$128=$L$1))&gt;0)*('Data-Input'!$D$29:$D$128-'Data-Input'!$E$29:$E$128))+SUMPRODUCT(('Data-Input'!$A$29:$A$128=A13)*('Data-Input'!$B$29:$B$128="Hero")*('Data-Input'!$C$29:$C$128=$A$1)*('Data-Input'!$D$29:$D$128-'Data-Input'!$E$29:$E$128)))</f>
        <v>0</v>
      </c>
    </row>
    <row r="14" spans="1:26" ht="15" customHeight="1" x14ac:dyDescent="0.3">
      <c r="A14" t="str">
        <f>Heroes!$B14</f>
        <v>Clint</v>
      </c>
      <c r="B14" t="str">
        <f>Heroes!$C14</f>
        <v>Marksman</v>
      </c>
      <c r="C14">
        <f>Heroes!$D14</f>
        <v>0</v>
      </c>
      <c r="D14">
        <f>Heroes!$E14</f>
        <v>70</v>
      </c>
      <c r="E14">
        <f>Heroes!$F14</f>
        <v>40</v>
      </c>
      <c r="F14">
        <f>Heroes!$H14</f>
        <v>70</v>
      </c>
      <c r="G14" t="str">
        <f>Heroes!$K14</f>
        <v>Physical</v>
      </c>
      <c r="H14">
        <f>Heroes!$Q14</f>
        <v>4</v>
      </c>
      <c r="I14">
        <f>IFERROR(INDEX('Data-Input'!$B$19:$G$24,MATCH(B14,'Data-Input'!$A$19:$A$24,0),MATCH($B$1,'Data-Input'!$B$18:$G$18,0)),0)</f>
        <v>0</v>
      </c>
      <c r="J14">
        <f>IF(C14&lt;&gt;"",IFERROR(INDEX('Data-Input'!$B$19:$G$24,MATCH(C14,'Data-Input'!$A$19:$A$24,0),MATCH($B$1,'Data-Input'!$B$18:$G$18,0)),0),I14)</f>
        <v>0</v>
      </c>
      <c r="K14">
        <f t="shared" si="0"/>
        <v>0</v>
      </c>
      <c r="L14">
        <f t="shared" si="1"/>
        <v>5.5</v>
      </c>
      <c r="M14">
        <f t="shared" si="2"/>
        <v>70</v>
      </c>
      <c r="N14">
        <f t="shared" si="3"/>
        <v>21</v>
      </c>
      <c r="O14">
        <f t="shared" si="4"/>
        <v>3</v>
      </c>
      <c r="P14">
        <f t="shared" si="5"/>
        <v>12</v>
      </c>
      <c r="Q14">
        <f t="shared" si="6"/>
        <v>41.5</v>
      </c>
      <c r="R14">
        <f>IFERROR(INDEX('Data-Input'!$C$190:$C$1189,MATCH(A14&amp;"|"&amp;$A$1,'Data-Input'!$E$190:$E$1189,0)),Q14)</f>
        <v>41.5</v>
      </c>
      <c r="S14">
        <f t="shared" si="7"/>
        <v>41.5</v>
      </c>
      <c r="T14">
        <f t="shared" si="8"/>
        <v>41.500001400000002</v>
      </c>
      <c r="U14" t="str">
        <f>Heroes!$M14</f>
        <v>Gold Lane</v>
      </c>
      <c r="V14">
        <f t="shared" si="9"/>
        <v>-1000000000000000</v>
      </c>
      <c r="W14" t="str">
        <f>Heroes!$I14</f>
        <v>Burst</v>
      </c>
      <c r="X14" t="str">
        <f>Heroes!$J14</f>
        <v>Poke</v>
      </c>
      <c r="Y14">
        <f>IF($A$1="",0,MAX(IF(W14&lt;&gt;"",IFERROR(INDEX('Data-Input'!$B$164:$W$185,MATCH(W14,'Data-Input'!$A$164:$A$185,0),MATCH($K$1,'Data-Input'!$B$163:$W$163,0)),0),0),IF(AND(W14&lt;&gt;"",$L$1&lt;&gt;""),IFERROR(INDEX('Data-Input'!$B$164:$W$185,MATCH(W14,'Data-Input'!$A$164:$A$185,0),MATCH($L$1,'Data-Input'!$B$163:$W$163,0)),0),0),IF(X14&lt;&gt;"",IFERROR(INDEX('Data-Input'!$B$164:$W$185,MATCH(X14,'Data-Input'!$A$164:$A$185,0),MATCH($K$1,'Data-Input'!$B$163:$W$163,0)),0),0),IF(AND(X14&lt;&gt;"",$L$1&lt;&gt;""),IFERROR(INDEX('Data-Input'!$B$164:$W$185,MATCH(X14,'Data-Input'!$A$164:$A$185,0),MATCH($L$1,'Data-Input'!$B$163:$W$163,0)),0),0))*$M$1)</f>
        <v>0</v>
      </c>
      <c r="Z14">
        <f>IF($A$1="",0,SUMPRODUCT(('Data-Input'!$A$29:$A$128=A14)*('Data-Input'!$B$29:$B$128="Tag")*((('Data-Input'!$C$29:$C$128=$K$1)+('Data-Input'!$C$29:$C$128=$L$1))&gt;0)*('Data-Input'!$D$29:$D$128-'Data-Input'!$E$29:$E$128))+SUMPRODUCT(('Data-Input'!$A$29:$A$128=A14)*('Data-Input'!$B$29:$B$128="Hero")*('Data-Input'!$C$29:$C$128=$A$1)*('Data-Input'!$D$29:$D$128-'Data-Input'!$E$29:$E$128)))</f>
        <v>0</v>
      </c>
    </row>
    <row r="15" spans="1:26" ht="15" customHeight="1" x14ac:dyDescent="0.3">
      <c r="A15" t="str">
        <f>Heroes!$B15</f>
        <v>Rafaela</v>
      </c>
      <c r="B15" t="str">
        <f>Heroes!$C15</f>
        <v>Support</v>
      </c>
      <c r="C15">
        <f>Heroes!$D15</f>
        <v>0</v>
      </c>
      <c r="D15">
        <f>Heroes!$E15</f>
        <v>20</v>
      </c>
      <c r="E15">
        <f>Heroes!$F15</f>
        <v>70</v>
      </c>
      <c r="F15">
        <f>Heroes!$H15</f>
        <v>20</v>
      </c>
      <c r="G15" t="str">
        <f>Heroes!$K15</f>
        <v>Magic</v>
      </c>
      <c r="H15">
        <f>Heroes!$Q15</f>
        <v>2</v>
      </c>
      <c r="I15">
        <f>IFERROR(INDEX('Data-Input'!$B$19:$G$24,MATCH(B15,'Data-Input'!$A$19:$A$24,0),MATCH($B$1,'Data-Input'!$B$18:$G$18,0)),0)</f>
        <v>0</v>
      </c>
      <c r="J15">
        <f>IF(C15&lt;&gt;"",IFERROR(INDEX('Data-Input'!$B$19:$G$24,MATCH(C15,'Data-Input'!$A$19:$A$24,0),MATCH($B$1,'Data-Input'!$B$18:$G$18,0)),0),I15)</f>
        <v>0</v>
      </c>
      <c r="K15">
        <f t="shared" si="0"/>
        <v>0</v>
      </c>
      <c r="L15">
        <f t="shared" si="1"/>
        <v>4.5</v>
      </c>
      <c r="M15">
        <f t="shared" si="2"/>
        <v>20</v>
      </c>
      <c r="N15">
        <f t="shared" si="3"/>
        <v>0</v>
      </c>
      <c r="O15">
        <f t="shared" si="4"/>
        <v>3</v>
      </c>
      <c r="P15">
        <f t="shared" si="5"/>
        <v>6</v>
      </c>
      <c r="Q15">
        <f t="shared" si="6"/>
        <v>13.5</v>
      </c>
      <c r="R15">
        <f>IFERROR(INDEX('Data-Input'!$C$190:$C$1189,MATCH(A15&amp;"|"&amp;$A$1,'Data-Input'!$E$190:$E$1189,0)),Q15)</f>
        <v>13.5</v>
      </c>
      <c r="S15">
        <f t="shared" si="7"/>
        <v>13.5</v>
      </c>
      <c r="T15">
        <f t="shared" si="8"/>
        <v>13.5000015</v>
      </c>
      <c r="U15" t="str">
        <f>Heroes!$M15</f>
        <v>Roaming</v>
      </c>
      <c r="V15">
        <f t="shared" si="9"/>
        <v>-1000000000000000</v>
      </c>
      <c r="W15" t="str">
        <f>Heroes!$I15</f>
        <v>Healing</v>
      </c>
      <c r="X15" t="str">
        <f>Heroes!$J15</f>
        <v>Soft CC</v>
      </c>
      <c r="Y15">
        <f>IF($A$1="",0,MAX(IF(W15&lt;&gt;"",IFERROR(INDEX('Data-Input'!$B$164:$W$185,MATCH(W15,'Data-Input'!$A$164:$A$185,0),MATCH($K$1,'Data-Input'!$B$163:$W$163,0)),0),0),IF(AND(W15&lt;&gt;"",$L$1&lt;&gt;""),IFERROR(INDEX('Data-Input'!$B$164:$W$185,MATCH(W15,'Data-Input'!$A$164:$A$185,0),MATCH($L$1,'Data-Input'!$B$163:$W$163,0)),0),0),IF(X15&lt;&gt;"",IFERROR(INDEX('Data-Input'!$B$164:$W$185,MATCH(X15,'Data-Input'!$A$164:$A$185,0),MATCH($K$1,'Data-Input'!$B$163:$W$163,0)),0),0),IF(AND(X15&lt;&gt;"",$L$1&lt;&gt;""),IFERROR(INDEX('Data-Input'!$B$164:$W$185,MATCH(X15,'Data-Input'!$A$164:$A$185,0),MATCH($L$1,'Data-Input'!$B$163:$W$163,0)),0),0))*$M$1)</f>
        <v>0</v>
      </c>
      <c r="Z15">
        <f>IF($A$1="",0,SUMPRODUCT(('Data-Input'!$A$29:$A$128=A15)*('Data-Input'!$B$29:$B$128="Tag")*((('Data-Input'!$C$29:$C$128=$K$1)+('Data-Input'!$C$29:$C$128=$L$1))&gt;0)*('Data-Input'!$D$29:$D$128-'Data-Input'!$E$29:$E$128))+SUMPRODUCT(('Data-Input'!$A$29:$A$128=A15)*('Data-Input'!$B$29:$B$128="Hero")*('Data-Input'!$C$29:$C$128=$A$1)*('Data-Input'!$D$29:$D$128-'Data-Input'!$E$29:$E$128)))</f>
        <v>0</v>
      </c>
    </row>
    <row r="16" spans="1:26" ht="15" customHeight="1" x14ac:dyDescent="0.3">
      <c r="A16" t="str">
        <f>Heroes!$B16</f>
        <v>Eudora</v>
      </c>
      <c r="B16" t="str">
        <f>Heroes!$C16</f>
        <v>Mage</v>
      </c>
      <c r="C16">
        <f>Heroes!$D16</f>
        <v>0</v>
      </c>
      <c r="D16">
        <f>Heroes!$E16</f>
        <v>80</v>
      </c>
      <c r="E16">
        <f>Heroes!$F16</f>
        <v>80</v>
      </c>
      <c r="F16">
        <f>Heroes!$H16</f>
        <v>10</v>
      </c>
      <c r="G16" t="str">
        <f>Heroes!$K16</f>
        <v>Magic</v>
      </c>
      <c r="H16">
        <f>Heroes!$Q16</f>
        <v>3</v>
      </c>
      <c r="I16">
        <f>IFERROR(INDEX('Data-Input'!$B$19:$G$24,MATCH(B16,'Data-Input'!$A$19:$A$24,0),MATCH($B$1,'Data-Input'!$B$18:$G$18,0)),0)</f>
        <v>0</v>
      </c>
      <c r="J16">
        <f>IF(C16&lt;&gt;"",IFERROR(INDEX('Data-Input'!$B$19:$G$24,MATCH(C16,'Data-Input'!$A$19:$A$24,0),MATCH($B$1,'Data-Input'!$B$18:$G$18,0)),0),I16)</f>
        <v>0</v>
      </c>
      <c r="K16">
        <f t="shared" si="0"/>
        <v>0</v>
      </c>
      <c r="L16">
        <f t="shared" si="1"/>
        <v>8</v>
      </c>
      <c r="M16">
        <f t="shared" si="2"/>
        <v>10</v>
      </c>
      <c r="N16">
        <f t="shared" si="3"/>
        <v>0</v>
      </c>
      <c r="O16">
        <f t="shared" si="4"/>
        <v>3</v>
      </c>
      <c r="P16">
        <f t="shared" si="5"/>
        <v>9</v>
      </c>
      <c r="Q16">
        <f t="shared" si="6"/>
        <v>20</v>
      </c>
      <c r="R16">
        <f>IFERROR(INDEX('Data-Input'!$C$190:$C$1189,MATCH(A16&amp;"|"&amp;$A$1,'Data-Input'!$E$190:$E$1189,0)),Q16)</f>
        <v>20</v>
      </c>
      <c r="S16">
        <f t="shared" si="7"/>
        <v>20</v>
      </c>
      <c r="T16">
        <f t="shared" si="8"/>
        <v>20.000001600000001</v>
      </c>
      <c r="U16" t="str">
        <f>Heroes!$M16</f>
        <v>Mid Lane</v>
      </c>
      <c r="V16">
        <f t="shared" si="9"/>
        <v>-1000000000000000</v>
      </c>
      <c r="W16" t="str">
        <f>Heroes!$I16</f>
        <v>Burst</v>
      </c>
      <c r="X16" t="str">
        <f>Heroes!$J16</f>
        <v>Targeted CC</v>
      </c>
      <c r="Y16">
        <f>IF($A$1="",0,MAX(IF(W16&lt;&gt;"",IFERROR(INDEX('Data-Input'!$B$164:$W$185,MATCH(W16,'Data-Input'!$A$164:$A$185,0),MATCH($K$1,'Data-Input'!$B$163:$W$163,0)),0),0),IF(AND(W16&lt;&gt;"",$L$1&lt;&gt;""),IFERROR(INDEX('Data-Input'!$B$164:$W$185,MATCH(W16,'Data-Input'!$A$164:$A$185,0),MATCH($L$1,'Data-Input'!$B$163:$W$163,0)),0),0),IF(X16&lt;&gt;"",IFERROR(INDEX('Data-Input'!$B$164:$W$185,MATCH(X16,'Data-Input'!$A$164:$A$185,0),MATCH($K$1,'Data-Input'!$B$163:$W$163,0)),0),0),IF(AND(X16&lt;&gt;"",$L$1&lt;&gt;""),IFERROR(INDEX('Data-Input'!$B$164:$W$185,MATCH(X16,'Data-Input'!$A$164:$A$185,0),MATCH($L$1,'Data-Input'!$B$163:$W$163,0)),0),0))*$M$1)</f>
        <v>0</v>
      </c>
      <c r="Z16">
        <f>IF($A$1="",0,SUMPRODUCT(('Data-Input'!$A$29:$A$128=A16)*('Data-Input'!$B$29:$B$128="Tag")*((('Data-Input'!$C$29:$C$128=$K$1)+('Data-Input'!$C$29:$C$128=$L$1))&gt;0)*('Data-Input'!$D$29:$D$128-'Data-Input'!$E$29:$E$128))+SUMPRODUCT(('Data-Input'!$A$29:$A$128=A16)*('Data-Input'!$B$29:$B$128="Hero")*('Data-Input'!$C$29:$C$128=$A$1)*('Data-Input'!$D$29:$D$128-'Data-Input'!$E$29:$E$128)))</f>
        <v>0</v>
      </c>
    </row>
    <row r="17" spans="1:26" ht="15" customHeight="1" x14ac:dyDescent="0.3">
      <c r="A17" t="str">
        <f>Heroes!$B17</f>
        <v>Zilong</v>
      </c>
      <c r="B17" t="str">
        <f>Heroes!$C17</f>
        <v>Fighter</v>
      </c>
      <c r="C17" t="str">
        <f>Heroes!$D17</f>
        <v>Assassin</v>
      </c>
      <c r="D17">
        <f>Heroes!$E17</f>
        <v>50</v>
      </c>
      <c r="E17">
        <f>Heroes!$F17</f>
        <v>60</v>
      </c>
      <c r="F17">
        <f>Heroes!$H17</f>
        <v>10</v>
      </c>
      <c r="G17" t="str">
        <f>Heroes!$K17</f>
        <v>Physical</v>
      </c>
      <c r="H17">
        <f>Heroes!$Q17</f>
        <v>3</v>
      </c>
      <c r="I17">
        <f>IFERROR(INDEX('Data-Input'!$B$19:$G$24,MATCH(B17,'Data-Input'!$A$19:$A$24,0),MATCH($B$1,'Data-Input'!$B$18:$G$18,0)),0)</f>
        <v>0</v>
      </c>
      <c r="J17">
        <f>IF(C17&lt;&gt;"",IFERROR(INDEX('Data-Input'!$B$19:$G$24,MATCH(C17,'Data-Input'!$A$19:$A$24,0),MATCH($B$1,'Data-Input'!$B$18:$G$18,0)),0),I17)</f>
        <v>0</v>
      </c>
      <c r="K17">
        <f t="shared" si="0"/>
        <v>0</v>
      </c>
      <c r="L17">
        <f t="shared" si="1"/>
        <v>5.5</v>
      </c>
      <c r="M17">
        <f t="shared" si="2"/>
        <v>10</v>
      </c>
      <c r="N17">
        <f t="shared" si="3"/>
        <v>0</v>
      </c>
      <c r="O17">
        <f t="shared" si="4"/>
        <v>3</v>
      </c>
      <c r="P17">
        <f t="shared" si="5"/>
        <v>9</v>
      </c>
      <c r="Q17">
        <f t="shared" si="6"/>
        <v>17.5</v>
      </c>
      <c r="R17">
        <f>IFERROR(INDEX('Data-Input'!$C$190:$C$1189,MATCH(A17&amp;"|"&amp;$A$1,'Data-Input'!$E$190:$E$1189,0)),Q17)</f>
        <v>17.5</v>
      </c>
      <c r="S17">
        <f t="shared" si="7"/>
        <v>17.5</v>
      </c>
      <c r="T17">
        <f t="shared" si="8"/>
        <v>17.500001699999999</v>
      </c>
      <c r="U17" t="str">
        <f>Heroes!$M17</f>
        <v>EXP Lane</v>
      </c>
      <c r="V17">
        <f t="shared" si="9"/>
        <v>-1000000000000000</v>
      </c>
      <c r="W17" t="str">
        <f>Heroes!$I17</f>
        <v>Burst</v>
      </c>
      <c r="X17" t="str">
        <f>Heroes!$J17</f>
        <v>Mobility</v>
      </c>
      <c r="Y17">
        <f>IF($A$1="",0,MAX(IF(W17&lt;&gt;"",IFERROR(INDEX('Data-Input'!$B$164:$W$185,MATCH(W17,'Data-Input'!$A$164:$A$185,0),MATCH($K$1,'Data-Input'!$B$163:$W$163,0)),0),0),IF(AND(W17&lt;&gt;"",$L$1&lt;&gt;""),IFERROR(INDEX('Data-Input'!$B$164:$W$185,MATCH(W17,'Data-Input'!$A$164:$A$185,0),MATCH($L$1,'Data-Input'!$B$163:$W$163,0)),0),0),IF(X17&lt;&gt;"",IFERROR(INDEX('Data-Input'!$B$164:$W$185,MATCH(X17,'Data-Input'!$A$164:$A$185,0),MATCH($K$1,'Data-Input'!$B$163:$W$163,0)),0),0),IF(AND(X17&lt;&gt;"",$L$1&lt;&gt;""),IFERROR(INDEX('Data-Input'!$B$164:$W$185,MATCH(X17,'Data-Input'!$A$164:$A$185,0),MATCH($L$1,'Data-Input'!$B$163:$W$163,0)),0),0))*$M$1)</f>
        <v>0</v>
      </c>
      <c r="Z17">
        <f>IF($A$1="",0,SUMPRODUCT(('Data-Input'!$A$29:$A$128=A17)*('Data-Input'!$B$29:$B$128="Tag")*((('Data-Input'!$C$29:$C$128=$K$1)+('Data-Input'!$C$29:$C$128=$L$1))&gt;0)*('Data-Input'!$D$29:$D$128-'Data-Input'!$E$29:$E$128))+SUMPRODUCT(('Data-Input'!$A$29:$A$128=A17)*('Data-Input'!$B$29:$B$128="Hero")*('Data-Input'!$C$29:$C$128=$A$1)*('Data-Input'!$D$29:$D$128-'Data-Input'!$E$29:$E$128)))</f>
        <v>0</v>
      </c>
    </row>
    <row r="18" spans="1:26" ht="15" customHeight="1" x14ac:dyDescent="0.3">
      <c r="A18" t="str">
        <f>Heroes!$B18</f>
        <v>Fanny</v>
      </c>
      <c r="B18" t="str">
        <f>Heroes!$C18</f>
        <v>Assassin</v>
      </c>
      <c r="C18">
        <f>Heroes!$D18</f>
        <v>0</v>
      </c>
      <c r="D18">
        <f>Heroes!$E18</f>
        <v>70</v>
      </c>
      <c r="E18">
        <f>Heroes!$F18</f>
        <v>10</v>
      </c>
      <c r="F18">
        <f>Heroes!$H18</f>
        <v>100</v>
      </c>
      <c r="G18" t="str">
        <f>Heroes!$K18</f>
        <v>Physical</v>
      </c>
      <c r="H18">
        <f>Heroes!$Q18</f>
        <v>1</v>
      </c>
      <c r="I18">
        <f>IFERROR(INDEX('Data-Input'!$B$19:$G$24,MATCH(B18,'Data-Input'!$A$19:$A$24,0),MATCH($B$1,'Data-Input'!$B$18:$G$18,0)),0)</f>
        <v>0</v>
      </c>
      <c r="J18">
        <f>IF(C18&lt;&gt;"",IFERROR(INDEX('Data-Input'!$B$19:$G$24,MATCH(C18,'Data-Input'!$A$19:$A$24,0),MATCH($B$1,'Data-Input'!$B$18:$G$18,0)),0),I18)</f>
        <v>0</v>
      </c>
      <c r="K18">
        <f t="shared" si="0"/>
        <v>0</v>
      </c>
      <c r="L18">
        <f t="shared" si="1"/>
        <v>4</v>
      </c>
      <c r="M18">
        <f t="shared" si="2"/>
        <v>100</v>
      </c>
      <c r="N18">
        <f t="shared" si="3"/>
        <v>30</v>
      </c>
      <c r="O18">
        <f t="shared" si="4"/>
        <v>3</v>
      </c>
      <c r="P18">
        <f t="shared" si="5"/>
        <v>3</v>
      </c>
      <c r="Q18">
        <f t="shared" si="6"/>
        <v>40</v>
      </c>
      <c r="R18">
        <f>IFERROR(INDEX('Data-Input'!$C$190:$C$1189,MATCH(A18&amp;"|"&amp;$A$1,'Data-Input'!$E$190:$E$1189,0)),Q18)</f>
        <v>40</v>
      </c>
      <c r="S18">
        <f t="shared" si="7"/>
        <v>40</v>
      </c>
      <c r="T18">
        <f t="shared" si="8"/>
        <v>40.0000018</v>
      </c>
      <c r="U18" t="str">
        <f>Heroes!$M18</f>
        <v>Jungle</v>
      </c>
      <c r="V18">
        <f t="shared" si="9"/>
        <v>-1000000000000000</v>
      </c>
      <c r="W18" t="str">
        <f>Heroes!$I18</f>
        <v>High Mobility</v>
      </c>
      <c r="X18" t="str">
        <f>Heroes!$J18</f>
        <v>Burst</v>
      </c>
      <c r="Y18">
        <f>IF($A$1="",0,MAX(IF(W18&lt;&gt;"",IFERROR(INDEX('Data-Input'!$B$164:$W$185,MATCH(W18,'Data-Input'!$A$164:$A$185,0),MATCH($K$1,'Data-Input'!$B$163:$W$163,0)),0),0),IF(AND(W18&lt;&gt;"",$L$1&lt;&gt;""),IFERROR(INDEX('Data-Input'!$B$164:$W$185,MATCH(W18,'Data-Input'!$A$164:$A$185,0),MATCH($L$1,'Data-Input'!$B$163:$W$163,0)),0),0),IF(X18&lt;&gt;"",IFERROR(INDEX('Data-Input'!$B$164:$W$185,MATCH(X18,'Data-Input'!$A$164:$A$185,0),MATCH($K$1,'Data-Input'!$B$163:$W$163,0)),0),0),IF(AND(X18&lt;&gt;"",$L$1&lt;&gt;""),IFERROR(INDEX('Data-Input'!$B$164:$W$185,MATCH(X18,'Data-Input'!$A$164:$A$185,0),MATCH($L$1,'Data-Input'!$B$163:$W$163,0)),0),0))*$M$1)</f>
        <v>0</v>
      </c>
      <c r="Z18">
        <f>IF($A$1="",0,SUMPRODUCT(('Data-Input'!$A$29:$A$128=A18)*('Data-Input'!$B$29:$B$128="Tag")*((('Data-Input'!$C$29:$C$128=$K$1)+('Data-Input'!$C$29:$C$128=$L$1))&gt;0)*('Data-Input'!$D$29:$D$128-'Data-Input'!$E$29:$E$128))+SUMPRODUCT(('Data-Input'!$A$29:$A$128=A18)*('Data-Input'!$B$29:$B$128="Hero")*('Data-Input'!$C$29:$C$128=$A$1)*('Data-Input'!$D$29:$D$128-'Data-Input'!$E$29:$E$128)))</f>
        <v>0</v>
      </c>
    </row>
    <row r="19" spans="1:26" ht="15" customHeight="1" x14ac:dyDescent="0.3">
      <c r="A19" t="str">
        <f>Heroes!$B19</f>
        <v>Layla</v>
      </c>
      <c r="B19" t="str">
        <f>Heroes!$C19</f>
        <v>Marksman</v>
      </c>
      <c r="C19">
        <f>Heroes!$D19</f>
        <v>0</v>
      </c>
      <c r="D19">
        <f>Heroes!$E19</f>
        <v>80</v>
      </c>
      <c r="E19">
        <f>Heroes!$F19</f>
        <v>10</v>
      </c>
      <c r="F19">
        <f>Heroes!$H19</f>
        <v>10</v>
      </c>
      <c r="G19" t="str">
        <f>Heroes!$K19</f>
        <v>Physical</v>
      </c>
      <c r="H19">
        <f>Heroes!$Q19</f>
        <v>5</v>
      </c>
      <c r="I19">
        <f>IFERROR(INDEX('Data-Input'!$B$19:$G$24,MATCH(B19,'Data-Input'!$A$19:$A$24,0),MATCH($B$1,'Data-Input'!$B$18:$G$18,0)),0)</f>
        <v>0</v>
      </c>
      <c r="J19">
        <f>IF(C19&lt;&gt;"",IFERROR(INDEX('Data-Input'!$B$19:$G$24,MATCH(C19,'Data-Input'!$A$19:$A$24,0),MATCH($B$1,'Data-Input'!$B$18:$G$18,0)),0),I19)</f>
        <v>0</v>
      </c>
      <c r="K19">
        <f t="shared" si="0"/>
        <v>0</v>
      </c>
      <c r="L19">
        <f t="shared" si="1"/>
        <v>4.5</v>
      </c>
      <c r="M19">
        <f t="shared" si="2"/>
        <v>10</v>
      </c>
      <c r="N19">
        <f t="shared" si="3"/>
        <v>0</v>
      </c>
      <c r="O19">
        <f t="shared" si="4"/>
        <v>3</v>
      </c>
      <c r="P19">
        <f t="shared" si="5"/>
        <v>15</v>
      </c>
      <c r="Q19">
        <f t="shared" si="6"/>
        <v>22.5</v>
      </c>
      <c r="R19">
        <f>IFERROR(INDEX('Data-Input'!$C$190:$C$1189,MATCH(A19&amp;"|"&amp;$A$1,'Data-Input'!$E$190:$E$1189,0)),Q19)</f>
        <v>22.5</v>
      </c>
      <c r="S19">
        <f t="shared" si="7"/>
        <v>22.5</v>
      </c>
      <c r="T19">
        <f t="shared" si="8"/>
        <v>22.500001900000001</v>
      </c>
      <c r="U19" t="str">
        <f>Heroes!$M19</f>
        <v>Gold Lane</v>
      </c>
      <c r="V19">
        <f t="shared" si="9"/>
        <v>-1000000000000000</v>
      </c>
      <c r="W19" t="str">
        <f>Heroes!$I19</f>
        <v>DPS</v>
      </c>
      <c r="X19" t="str">
        <f>Heroes!$J19</f>
        <v>Poke</v>
      </c>
      <c r="Y19">
        <f>IF($A$1="",0,MAX(IF(W19&lt;&gt;"",IFERROR(INDEX('Data-Input'!$B$164:$W$185,MATCH(W19,'Data-Input'!$A$164:$A$185,0),MATCH($K$1,'Data-Input'!$B$163:$W$163,0)),0),0),IF(AND(W19&lt;&gt;"",$L$1&lt;&gt;""),IFERROR(INDEX('Data-Input'!$B$164:$W$185,MATCH(W19,'Data-Input'!$A$164:$A$185,0),MATCH($L$1,'Data-Input'!$B$163:$W$163,0)),0),0),IF(X19&lt;&gt;"",IFERROR(INDEX('Data-Input'!$B$164:$W$185,MATCH(X19,'Data-Input'!$A$164:$A$185,0),MATCH($K$1,'Data-Input'!$B$163:$W$163,0)),0),0),IF(AND(X19&lt;&gt;"",$L$1&lt;&gt;""),IFERROR(INDEX('Data-Input'!$B$164:$W$185,MATCH(X19,'Data-Input'!$A$164:$A$185,0),MATCH($L$1,'Data-Input'!$B$163:$W$163,0)),0),0))*$M$1)</f>
        <v>0</v>
      </c>
      <c r="Z19">
        <f>IF($A$1="",0,SUMPRODUCT(('Data-Input'!$A$29:$A$128=A19)*('Data-Input'!$B$29:$B$128="Tag")*((('Data-Input'!$C$29:$C$128=$K$1)+('Data-Input'!$C$29:$C$128=$L$1))&gt;0)*('Data-Input'!$D$29:$D$128-'Data-Input'!$E$29:$E$128))+SUMPRODUCT(('Data-Input'!$A$29:$A$128=A19)*('Data-Input'!$B$29:$B$128="Hero")*('Data-Input'!$C$29:$C$128=$A$1)*('Data-Input'!$D$29:$D$128-'Data-Input'!$E$29:$E$128)))</f>
        <v>0</v>
      </c>
    </row>
    <row r="20" spans="1:26" ht="15" customHeight="1" x14ac:dyDescent="0.3">
      <c r="A20" t="str">
        <f>Heroes!$B20</f>
        <v>Minotaur</v>
      </c>
      <c r="B20" t="str">
        <f>Heroes!$C20</f>
        <v>Tank</v>
      </c>
      <c r="C20" t="str">
        <f>Heroes!$D20</f>
        <v>Support</v>
      </c>
      <c r="D20">
        <f>Heroes!$E20</f>
        <v>10</v>
      </c>
      <c r="E20">
        <f>Heroes!$F20</f>
        <v>80</v>
      </c>
      <c r="F20">
        <f>Heroes!$H20</f>
        <v>40</v>
      </c>
      <c r="G20" t="str">
        <f>Heroes!$K20</f>
        <v>Physical</v>
      </c>
      <c r="H20">
        <f>Heroes!$Q20</f>
        <v>3</v>
      </c>
      <c r="I20">
        <f>IFERROR(INDEX('Data-Input'!$B$19:$G$24,MATCH(B20,'Data-Input'!$A$19:$A$24,0),MATCH($B$1,'Data-Input'!$B$18:$G$18,0)),0)</f>
        <v>0</v>
      </c>
      <c r="J20">
        <f>IF(C20&lt;&gt;"",IFERROR(INDEX('Data-Input'!$B$19:$G$24,MATCH(C20,'Data-Input'!$A$19:$A$24,0),MATCH($B$1,'Data-Input'!$B$18:$G$18,0)),0),I20)</f>
        <v>0</v>
      </c>
      <c r="K20">
        <f t="shared" si="0"/>
        <v>0</v>
      </c>
      <c r="L20">
        <f t="shared" si="1"/>
        <v>4.5</v>
      </c>
      <c r="M20">
        <f t="shared" si="2"/>
        <v>40</v>
      </c>
      <c r="N20">
        <f t="shared" si="3"/>
        <v>12</v>
      </c>
      <c r="O20">
        <f t="shared" si="4"/>
        <v>3</v>
      </c>
      <c r="P20">
        <f t="shared" si="5"/>
        <v>9</v>
      </c>
      <c r="Q20">
        <f t="shared" si="6"/>
        <v>28.5</v>
      </c>
      <c r="R20">
        <f>IFERROR(INDEX('Data-Input'!$C$190:$C$1189,MATCH(A20&amp;"|"&amp;$A$1,'Data-Input'!$E$190:$E$1189,0)),Q20)</f>
        <v>28.5</v>
      </c>
      <c r="S20">
        <f t="shared" si="7"/>
        <v>28.5</v>
      </c>
      <c r="T20">
        <f t="shared" si="8"/>
        <v>28.500001999999999</v>
      </c>
      <c r="U20" t="str">
        <f>Heroes!$M20</f>
        <v>Roaming</v>
      </c>
      <c r="V20">
        <f t="shared" si="9"/>
        <v>-1000000000000000</v>
      </c>
      <c r="W20" t="str">
        <f>Heroes!$I20</f>
        <v>AoE CC</v>
      </c>
      <c r="X20" t="str">
        <f>Heroes!$J20</f>
        <v>Healing</v>
      </c>
      <c r="Y20">
        <f>IF($A$1="",0,MAX(IF(W20&lt;&gt;"",IFERROR(INDEX('Data-Input'!$B$164:$W$185,MATCH(W20,'Data-Input'!$A$164:$A$185,0),MATCH($K$1,'Data-Input'!$B$163:$W$163,0)),0),0),IF(AND(W20&lt;&gt;"",$L$1&lt;&gt;""),IFERROR(INDEX('Data-Input'!$B$164:$W$185,MATCH(W20,'Data-Input'!$A$164:$A$185,0),MATCH($L$1,'Data-Input'!$B$163:$W$163,0)),0),0),IF(X20&lt;&gt;"",IFERROR(INDEX('Data-Input'!$B$164:$W$185,MATCH(X20,'Data-Input'!$A$164:$A$185,0),MATCH($K$1,'Data-Input'!$B$163:$W$163,0)),0),0),IF(AND(X20&lt;&gt;"",$L$1&lt;&gt;""),IFERROR(INDEX('Data-Input'!$B$164:$W$185,MATCH(X20,'Data-Input'!$A$164:$A$185,0),MATCH($L$1,'Data-Input'!$B$163:$W$163,0)),0),0))*$M$1)</f>
        <v>0</v>
      </c>
      <c r="Z20">
        <f>IF($A$1="",0,SUMPRODUCT(('Data-Input'!$A$29:$A$128=A20)*('Data-Input'!$B$29:$B$128="Tag")*((('Data-Input'!$C$29:$C$128=$K$1)+('Data-Input'!$C$29:$C$128=$L$1))&gt;0)*('Data-Input'!$D$29:$D$128-'Data-Input'!$E$29:$E$128))+SUMPRODUCT(('Data-Input'!$A$29:$A$128=A20)*('Data-Input'!$B$29:$B$128="Hero")*('Data-Input'!$C$29:$C$128=$A$1)*('Data-Input'!$D$29:$D$128-'Data-Input'!$E$29:$E$128)))</f>
        <v>0</v>
      </c>
    </row>
    <row r="21" spans="1:26" ht="15" customHeight="1" x14ac:dyDescent="0.3">
      <c r="A21" t="str">
        <f>Heroes!$B21</f>
        <v>Lolita</v>
      </c>
      <c r="B21" t="str">
        <f>Heroes!$C21</f>
        <v>Support</v>
      </c>
      <c r="C21" t="str">
        <f>Heroes!$D21</f>
        <v>Tank</v>
      </c>
      <c r="D21">
        <f>Heroes!$E21</f>
        <v>10</v>
      </c>
      <c r="E21">
        <f>Heroes!$F21</f>
        <v>90</v>
      </c>
      <c r="F21">
        <f>Heroes!$H21</f>
        <v>40</v>
      </c>
      <c r="G21" t="str">
        <f>Heroes!$K21</f>
        <v>Physical</v>
      </c>
      <c r="H21">
        <f>Heroes!$Q21</f>
        <v>3</v>
      </c>
      <c r="I21">
        <f>IFERROR(INDEX('Data-Input'!$B$19:$G$24,MATCH(B21,'Data-Input'!$A$19:$A$24,0),MATCH($B$1,'Data-Input'!$B$18:$G$18,0)),0)</f>
        <v>0</v>
      </c>
      <c r="J21">
        <f>IF(C21&lt;&gt;"",IFERROR(INDEX('Data-Input'!$B$19:$G$24,MATCH(C21,'Data-Input'!$A$19:$A$24,0),MATCH($B$1,'Data-Input'!$B$18:$G$18,0)),0),I21)</f>
        <v>0</v>
      </c>
      <c r="K21">
        <f t="shared" si="0"/>
        <v>0</v>
      </c>
      <c r="L21">
        <f t="shared" si="1"/>
        <v>5</v>
      </c>
      <c r="M21">
        <f t="shared" si="2"/>
        <v>40</v>
      </c>
      <c r="N21">
        <f t="shared" si="3"/>
        <v>12</v>
      </c>
      <c r="O21">
        <f t="shared" si="4"/>
        <v>3</v>
      </c>
      <c r="P21">
        <f t="shared" si="5"/>
        <v>9</v>
      </c>
      <c r="Q21">
        <f t="shared" si="6"/>
        <v>29</v>
      </c>
      <c r="R21">
        <f>IFERROR(INDEX('Data-Input'!$C$190:$C$1189,MATCH(A21&amp;"|"&amp;$A$1,'Data-Input'!$E$190:$E$1189,0)),Q21)</f>
        <v>29</v>
      </c>
      <c r="S21">
        <f t="shared" si="7"/>
        <v>29</v>
      </c>
      <c r="T21">
        <f t="shared" si="8"/>
        <v>29.0000021</v>
      </c>
      <c r="U21" t="str">
        <f>Heroes!$M21</f>
        <v>Roaming</v>
      </c>
      <c r="V21">
        <f t="shared" si="9"/>
        <v>-1000000000000000</v>
      </c>
      <c r="W21" t="str">
        <f>Heroes!$I21</f>
        <v>Shield</v>
      </c>
      <c r="X21" t="str">
        <f>Heroes!$J21</f>
        <v>AoE CC</v>
      </c>
      <c r="Y21">
        <f>IF($A$1="",0,MAX(IF(W21&lt;&gt;"",IFERROR(INDEX('Data-Input'!$B$164:$W$185,MATCH(W21,'Data-Input'!$A$164:$A$185,0),MATCH($K$1,'Data-Input'!$B$163:$W$163,0)),0),0),IF(AND(W21&lt;&gt;"",$L$1&lt;&gt;""),IFERROR(INDEX('Data-Input'!$B$164:$W$185,MATCH(W21,'Data-Input'!$A$164:$A$185,0),MATCH($L$1,'Data-Input'!$B$163:$W$163,0)),0),0),IF(X21&lt;&gt;"",IFERROR(INDEX('Data-Input'!$B$164:$W$185,MATCH(X21,'Data-Input'!$A$164:$A$185,0),MATCH($K$1,'Data-Input'!$B$163:$W$163,0)),0),0),IF(AND(X21&lt;&gt;"",$L$1&lt;&gt;""),IFERROR(INDEX('Data-Input'!$B$164:$W$185,MATCH(X21,'Data-Input'!$A$164:$A$185,0),MATCH($L$1,'Data-Input'!$B$163:$W$163,0)),0),0))*$M$1)</f>
        <v>0</v>
      </c>
      <c r="Z21">
        <f>IF($A$1="",0,SUMPRODUCT(('Data-Input'!$A$29:$A$128=A21)*('Data-Input'!$B$29:$B$128="Tag")*((('Data-Input'!$C$29:$C$128=$K$1)+('Data-Input'!$C$29:$C$128=$L$1))&gt;0)*('Data-Input'!$D$29:$D$128-'Data-Input'!$E$29:$E$128))+SUMPRODUCT(('Data-Input'!$A$29:$A$128=A21)*('Data-Input'!$B$29:$B$128="Hero")*('Data-Input'!$C$29:$C$128=$A$1)*('Data-Input'!$D$29:$D$128-'Data-Input'!$E$29:$E$128)))</f>
        <v>0</v>
      </c>
    </row>
    <row r="22" spans="1:26" ht="15" customHeight="1" x14ac:dyDescent="0.3">
      <c r="A22" t="str">
        <f>Heroes!$B22</f>
        <v>Hayabusa</v>
      </c>
      <c r="B22" t="str">
        <f>Heroes!$C22</f>
        <v>Assassin</v>
      </c>
      <c r="C22">
        <f>Heroes!$D22</f>
        <v>0</v>
      </c>
      <c r="D22">
        <f>Heroes!$E22</f>
        <v>50</v>
      </c>
      <c r="E22">
        <f>Heroes!$F22</f>
        <v>10</v>
      </c>
      <c r="F22">
        <f>Heroes!$H22</f>
        <v>50</v>
      </c>
      <c r="G22" t="str">
        <f>Heroes!$K22</f>
        <v>Physical</v>
      </c>
      <c r="H22">
        <f>Heroes!$Q22</f>
        <v>2</v>
      </c>
      <c r="I22">
        <f>IFERROR(INDEX('Data-Input'!$B$19:$G$24,MATCH(B22,'Data-Input'!$A$19:$A$24,0),MATCH($B$1,'Data-Input'!$B$18:$G$18,0)),0)</f>
        <v>0</v>
      </c>
      <c r="J22">
        <f>IF(C22&lt;&gt;"",IFERROR(INDEX('Data-Input'!$B$19:$G$24,MATCH(C22,'Data-Input'!$A$19:$A$24,0),MATCH($B$1,'Data-Input'!$B$18:$G$18,0)),0),I22)</f>
        <v>0</v>
      </c>
      <c r="K22">
        <f t="shared" si="0"/>
        <v>0</v>
      </c>
      <c r="L22">
        <f t="shared" si="1"/>
        <v>3</v>
      </c>
      <c r="M22">
        <f t="shared" si="2"/>
        <v>50</v>
      </c>
      <c r="N22">
        <f t="shared" si="3"/>
        <v>15</v>
      </c>
      <c r="O22">
        <f t="shared" si="4"/>
        <v>3</v>
      </c>
      <c r="P22">
        <f t="shared" si="5"/>
        <v>6</v>
      </c>
      <c r="Q22">
        <f t="shared" si="6"/>
        <v>27</v>
      </c>
      <c r="R22">
        <f>IFERROR(INDEX('Data-Input'!$C$190:$C$1189,MATCH(A22&amp;"|"&amp;$A$1,'Data-Input'!$E$190:$E$1189,0)),Q22)</f>
        <v>27</v>
      </c>
      <c r="S22">
        <f t="shared" si="7"/>
        <v>27</v>
      </c>
      <c r="T22">
        <f t="shared" si="8"/>
        <v>27.000002200000001</v>
      </c>
      <c r="U22" t="str">
        <f>Heroes!$M22</f>
        <v>Jungle</v>
      </c>
      <c r="V22">
        <f t="shared" si="9"/>
        <v>-1000000000000000</v>
      </c>
      <c r="W22" t="str">
        <f>Heroes!$I22</f>
        <v>Burst</v>
      </c>
      <c r="X22" t="str">
        <f>Heroes!$J22</f>
        <v>I-Frame</v>
      </c>
      <c r="Y22">
        <f>IF($A$1="",0,MAX(IF(W22&lt;&gt;"",IFERROR(INDEX('Data-Input'!$B$164:$W$185,MATCH(W22,'Data-Input'!$A$164:$A$185,0),MATCH($K$1,'Data-Input'!$B$163:$W$163,0)),0),0),IF(AND(W22&lt;&gt;"",$L$1&lt;&gt;""),IFERROR(INDEX('Data-Input'!$B$164:$W$185,MATCH(W22,'Data-Input'!$A$164:$A$185,0),MATCH($L$1,'Data-Input'!$B$163:$W$163,0)),0),0),IF(X22&lt;&gt;"",IFERROR(INDEX('Data-Input'!$B$164:$W$185,MATCH(X22,'Data-Input'!$A$164:$A$185,0),MATCH($K$1,'Data-Input'!$B$163:$W$163,0)),0),0),IF(AND(X22&lt;&gt;"",$L$1&lt;&gt;""),IFERROR(INDEX('Data-Input'!$B$164:$W$185,MATCH(X22,'Data-Input'!$A$164:$A$185,0),MATCH($L$1,'Data-Input'!$B$163:$W$163,0)),0),0))*$M$1)</f>
        <v>0</v>
      </c>
      <c r="Z22">
        <f>IF($A$1="",0,SUMPRODUCT(('Data-Input'!$A$29:$A$128=A22)*('Data-Input'!$B$29:$B$128="Tag")*((('Data-Input'!$C$29:$C$128=$K$1)+('Data-Input'!$C$29:$C$128=$L$1))&gt;0)*('Data-Input'!$D$29:$D$128-'Data-Input'!$E$29:$E$128))+SUMPRODUCT(('Data-Input'!$A$29:$A$128=A22)*('Data-Input'!$B$29:$B$128="Hero")*('Data-Input'!$C$29:$C$128=$A$1)*('Data-Input'!$D$29:$D$128-'Data-Input'!$E$29:$E$128)))</f>
        <v>0</v>
      </c>
    </row>
    <row r="23" spans="1:26" ht="15" customHeight="1" x14ac:dyDescent="0.3">
      <c r="A23" t="str">
        <f>Heroes!$B23</f>
        <v>Freya</v>
      </c>
      <c r="B23" t="str">
        <f>Heroes!$C23</f>
        <v>Fighter</v>
      </c>
      <c r="C23">
        <f>Heroes!$D23</f>
        <v>0</v>
      </c>
      <c r="D23">
        <f>Heroes!$E23</f>
        <v>50</v>
      </c>
      <c r="E23">
        <f>Heroes!$F23</f>
        <v>50</v>
      </c>
      <c r="F23">
        <f>Heroes!$H23</f>
        <v>50</v>
      </c>
      <c r="G23" t="str">
        <f>Heroes!$K23</f>
        <v>Physical</v>
      </c>
      <c r="H23">
        <f>Heroes!$Q23</f>
        <v>3</v>
      </c>
      <c r="I23">
        <f>IFERROR(INDEX('Data-Input'!$B$19:$G$24,MATCH(B23,'Data-Input'!$A$19:$A$24,0),MATCH($B$1,'Data-Input'!$B$18:$G$18,0)),0)</f>
        <v>0</v>
      </c>
      <c r="J23">
        <f>IF(C23&lt;&gt;"",IFERROR(INDEX('Data-Input'!$B$19:$G$24,MATCH(C23,'Data-Input'!$A$19:$A$24,0),MATCH($B$1,'Data-Input'!$B$18:$G$18,0)),0),I23)</f>
        <v>0</v>
      </c>
      <c r="K23">
        <f t="shared" si="0"/>
        <v>0</v>
      </c>
      <c r="L23">
        <f t="shared" si="1"/>
        <v>5</v>
      </c>
      <c r="M23">
        <f t="shared" si="2"/>
        <v>50</v>
      </c>
      <c r="N23">
        <f t="shared" si="3"/>
        <v>15</v>
      </c>
      <c r="O23">
        <f t="shared" si="4"/>
        <v>3</v>
      </c>
      <c r="P23">
        <f t="shared" si="5"/>
        <v>9</v>
      </c>
      <c r="Q23">
        <f t="shared" si="6"/>
        <v>32</v>
      </c>
      <c r="R23">
        <f>IFERROR(INDEX('Data-Input'!$C$190:$C$1189,MATCH(A23&amp;"|"&amp;$A$1,'Data-Input'!$E$190:$E$1189,0)),Q23)</f>
        <v>32</v>
      </c>
      <c r="S23">
        <f t="shared" si="7"/>
        <v>32</v>
      </c>
      <c r="T23">
        <f t="shared" si="8"/>
        <v>32.000002299999998</v>
      </c>
      <c r="U23" t="str">
        <f>Heroes!$M23</f>
        <v>EXP Lane</v>
      </c>
      <c r="V23">
        <f t="shared" si="9"/>
        <v>-1000000000000000</v>
      </c>
      <c r="W23" t="str">
        <f>Heroes!$I23</f>
        <v>Shield</v>
      </c>
      <c r="X23" t="str">
        <f>Heroes!$J23</f>
        <v>DPS</v>
      </c>
      <c r="Y23">
        <f>IF($A$1="",0,MAX(IF(W23&lt;&gt;"",IFERROR(INDEX('Data-Input'!$B$164:$W$185,MATCH(W23,'Data-Input'!$A$164:$A$185,0),MATCH($K$1,'Data-Input'!$B$163:$W$163,0)),0),0),IF(AND(W23&lt;&gt;"",$L$1&lt;&gt;""),IFERROR(INDEX('Data-Input'!$B$164:$W$185,MATCH(W23,'Data-Input'!$A$164:$A$185,0),MATCH($L$1,'Data-Input'!$B$163:$W$163,0)),0),0),IF(X23&lt;&gt;"",IFERROR(INDEX('Data-Input'!$B$164:$W$185,MATCH(X23,'Data-Input'!$A$164:$A$185,0),MATCH($K$1,'Data-Input'!$B$163:$W$163,0)),0),0),IF(AND(X23&lt;&gt;"",$L$1&lt;&gt;""),IFERROR(INDEX('Data-Input'!$B$164:$W$185,MATCH(X23,'Data-Input'!$A$164:$A$185,0),MATCH($L$1,'Data-Input'!$B$163:$W$163,0)),0),0))*$M$1)</f>
        <v>0</v>
      </c>
      <c r="Z23">
        <f>IF($A$1="",0,SUMPRODUCT(('Data-Input'!$A$29:$A$128=A23)*('Data-Input'!$B$29:$B$128="Tag")*((('Data-Input'!$C$29:$C$128=$K$1)+('Data-Input'!$C$29:$C$128=$L$1))&gt;0)*('Data-Input'!$D$29:$D$128-'Data-Input'!$E$29:$E$128))+SUMPRODUCT(('Data-Input'!$A$29:$A$128=A23)*('Data-Input'!$B$29:$B$128="Hero")*('Data-Input'!$C$29:$C$128=$A$1)*('Data-Input'!$D$29:$D$128-'Data-Input'!$E$29:$E$128)))</f>
        <v>0</v>
      </c>
    </row>
    <row r="24" spans="1:26" ht="15" customHeight="1" x14ac:dyDescent="0.3">
      <c r="A24" t="str">
        <f>Heroes!$B24</f>
        <v>Gord</v>
      </c>
      <c r="B24" t="str">
        <f>Heroes!$C24</f>
        <v>Mage</v>
      </c>
      <c r="C24">
        <f>Heroes!$D24</f>
        <v>0</v>
      </c>
      <c r="D24">
        <f>Heroes!$E24</f>
        <v>70</v>
      </c>
      <c r="E24">
        <f>Heroes!$F24</f>
        <v>80</v>
      </c>
      <c r="F24">
        <f>Heroes!$H24</f>
        <v>20</v>
      </c>
      <c r="G24" t="str">
        <f>Heroes!$K24</f>
        <v>Magic</v>
      </c>
      <c r="H24">
        <f>Heroes!$Q24</f>
        <v>3</v>
      </c>
      <c r="I24">
        <f>IFERROR(INDEX('Data-Input'!$B$19:$G$24,MATCH(B24,'Data-Input'!$A$19:$A$24,0),MATCH($B$1,'Data-Input'!$B$18:$G$18,0)),0)</f>
        <v>0</v>
      </c>
      <c r="J24">
        <f>IF(C24&lt;&gt;"",IFERROR(INDEX('Data-Input'!$B$19:$G$24,MATCH(C24,'Data-Input'!$A$19:$A$24,0),MATCH($B$1,'Data-Input'!$B$18:$G$18,0)),0),I24)</f>
        <v>0</v>
      </c>
      <c r="K24">
        <f t="shared" si="0"/>
        <v>0</v>
      </c>
      <c r="L24">
        <f t="shared" si="1"/>
        <v>7.5</v>
      </c>
      <c r="M24">
        <f t="shared" si="2"/>
        <v>20</v>
      </c>
      <c r="N24">
        <f t="shared" si="3"/>
        <v>0</v>
      </c>
      <c r="O24">
        <f t="shared" si="4"/>
        <v>3</v>
      </c>
      <c r="P24">
        <f t="shared" si="5"/>
        <v>9</v>
      </c>
      <c r="Q24">
        <f t="shared" si="6"/>
        <v>19.5</v>
      </c>
      <c r="R24">
        <f>IFERROR(INDEX('Data-Input'!$C$190:$C$1189,MATCH(A24&amp;"|"&amp;$A$1,'Data-Input'!$E$190:$E$1189,0)),Q24)</f>
        <v>19.5</v>
      </c>
      <c r="S24">
        <f t="shared" si="7"/>
        <v>19.5</v>
      </c>
      <c r="T24">
        <f t="shared" si="8"/>
        <v>19.5000024</v>
      </c>
      <c r="U24" t="str">
        <f>Heroes!$M24</f>
        <v>Mid Lane</v>
      </c>
      <c r="V24">
        <f t="shared" si="9"/>
        <v>-1000000000000000</v>
      </c>
      <c r="W24" t="str">
        <f>Heroes!$I24</f>
        <v>AoE Damage</v>
      </c>
      <c r="X24" t="str">
        <f>Heroes!$J24</f>
        <v>Poke</v>
      </c>
      <c r="Y24">
        <f>IF($A$1="",0,MAX(IF(W24&lt;&gt;"",IFERROR(INDEX('Data-Input'!$B$164:$W$185,MATCH(W24,'Data-Input'!$A$164:$A$185,0),MATCH($K$1,'Data-Input'!$B$163:$W$163,0)),0),0),IF(AND(W24&lt;&gt;"",$L$1&lt;&gt;""),IFERROR(INDEX('Data-Input'!$B$164:$W$185,MATCH(W24,'Data-Input'!$A$164:$A$185,0),MATCH($L$1,'Data-Input'!$B$163:$W$163,0)),0),0),IF(X24&lt;&gt;"",IFERROR(INDEX('Data-Input'!$B$164:$W$185,MATCH(X24,'Data-Input'!$A$164:$A$185,0),MATCH($K$1,'Data-Input'!$B$163:$W$163,0)),0),0),IF(AND(X24&lt;&gt;"",$L$1&lt;&gt;""),IFERROR(INDEX('Data-Input'!$B$164:$W$185,MATCH(X24,'Data-Input'!$A$164:$A$185,0),MATCH($L$1,'Data-Input'!$B$163:$W$163,0)),0),0))*$M$1)</f>
        <v>0</v>
      </c>
      <c r="Z24">
        <f>IF($A$1="",0,SUMPRODUCT(('Data-Input'!$A$29:$A$128=A24)*('Data-Input'!$B$29:$B$128="Tag")*((('Data-Input'!$C$29:$C$128=$K$1)+('Data-Input'!$C$29:$C$128=$L$1))&gt;0)*('Data-Input'!$D$29:$D$128-'Data-Input'!$E$29:$E$128))+SUMPRODUCT(('Data-Input'!$A$29:$A$128=A24)*('Data-Input'!$B$29:$B$128="Hero")*('Data-Input'!$C$29:$C$128=$A$1)*('Data-Input'!$D$29:$D$128-'Data-Input'!$E$29:$E$128)))</f>
        <v>0</v>
      </c>
    </row>
    <row r="25" spans="1:26" ht="15" customHeight="1" x14ac:dyDescent="0.3">
      <c r="A25" t="str">
        <f>Heroes!$B25</f>
        <v>Natalia</v>
      </c>
      <c r="B25" t="str">
        <f>Heroes!$C25</f>
        <v>Assassin</v>
      </c>
      <c r="C25">
        <f>Heroes!$D25</f>
        <v>0</v>
      </c>
      <c r="D25">
        <f>Heroes!$E25</f>
        <v>60</v>
      </c>
      <c r="E25">
        <f>Heroes!$F25</f>
        <v>60</v>
      </c>
      <c r="F25">
        <f>Heroes!$H25</f>
        <v>90</v>
      </c>
      <c r="G25" t="str">
        <f>Heroes!$K25</f>
        <v>Physical</v>
      </c>
      <c r="H25">
        <f>Heroes!$Q25</f>
        <v>2</v>
      </c>
      <c r="I25">
        <f>IFERROR(INDEX('Data-Input'!$B$19:$G$24,MATCH(B25,'Data-Input'!$A$19:$A$24,0),MATCH($B$1,'Data-Input'!$B$18:$G$18,0)),0)</f>
        <v>0</v>
      </c>
      <c r="J25">
        <f>IF(C25&lt;&gt;"",IFERROR(INDEX('Data-Input'!$B$19:$G$24,MATCH(C25,'Data-Input'!$A$19:$A$24,0),MATCH($B$1,'Data-Input'!$B$18:$G$18,0)),0),I25)</f>
        <v>0</v>
      </c>
      <c r="K25">
        <f t="shared" si="0"/>
        <v>0</v>
      </c>
      <c r="L25">
        <f t="shared" si="1"/>
        <v>6</v>
      </c>
      <c r="M25">
        <f t="shared" si="2"/>
        <v>90</v>
      </c>
      <c r="N25">
        <f t="shared" si="3"/>
        <v>27</v>
      </c>
      <c r="O25">
        <f t="shared" si="4"/>
        <v>3</v>
      </c>
      <c r="P25">
        <f t="shared" si="5"/>
        <v>6</v>
      </c>
      <c r="Q25">
        <f t="shared" si="6"/>
        <v>42</v>
      </c>
      <c r="R25">
        <f>IFERROR(INDEX('Data-Input'!$C$190:$C$1189,MATCH(A25&amp;"|"&amp;$A$1,'Data-Input'!$E$190:$E$1189,0)),Q25)</f>
        <v>42</v>
      </c>
      <c r="S25">
        <f t="shared" si="7"/>
        <v>42</v>
      </c>
      <c r="T25">
        <f t="shared" si="8"/>
        <v>42.000002500000001</v>
      </c>
      <c r="U25" t="str">
        <f>Heroes!$M25</f>
        <v>Jungle</v>
      </c>
      <c r="V25">
        <f t="shared" si="9"/>
        <v>-1000000000000000</v>
      </c>
      <c r="W25" t="str">
        <f>Heroes!$I25</f>
        <v>Burst</v>
      </c>
      <c r="X25" t="str">
        <f>Heroes!$J25</f>
        <v>Vision</v>
      </c>
      <c r="Y25">
        <f>IF($A$1="",0,MAX(IF(W25&lt;&gt;"",IFERROR(INDEX('Data-Input'!$B$164:$W$185,MATCH(W25,'Data-Input'!$A$164:$A$185,0),MATCH($K$1,'Data-Input'!$B$163:$W$163,0)),0),0),IF(AND(W25&lt;&gt;"",$L$1&lt;&gt;""),IFERROR(INDEX('Data-Input'!$B$164:$W$185,MATCH(W25,'Data-Input'!$A$164:$A$185,0),MATCH($L$1,'Data-Input'!$B$163:$W$163,0)),0),0),IF(X25&lt;&gt;"",IFERROR(INDEX('Data-Input'!$B$164:$W$185,MATCH(X25,'Data-Input'!$A$164:$A$185,0),MATCH($K$1,'Data-Input'!$B$163:$W$163,0)),0),0),IF(AND(X25&lt;&gt;"",$L$1&lt;&gt;""),IFERROR(INDEX('Data-Input'!$B$164:$W$185,MATCH(X25,'Data-Input'!$A$164:$A$185,0),MATCH($L$1,'Data-Input'!$B$163:$W$163,0)),0),0))*$M$1)</f>
        <v>0</v>
      </c>
      <c r="Z25">
        <f>IF($A$1="",0,SUMPRODUCT(('Data-Input'!$A$29:$A$128=A25)*('Data-Input'!$B$29:$B$128="Tag")*((('Data-Input'!$C$29:$C$128=$K$1)+('Data-Input'!$C$29:$C$128=$L$1))&gt;0)*('Data-Input'!$D$29:$D$128-'Data-Input'!$E$29:$E$128))+SUMPRODUCT(('Data-Input'!$A$29:$A$128=A25)*('Data-Input'!$B$29:$B$128="Hero")*('Data-Input'!$C$29:$C$128=$A$1)*('Data-Input'!$D$29:$D$128-'Data-Input'!$E$29:$E$128)))</f>
        <v>0</v>
      </c>
    </row>
    <row r="26" spans="1:26" ht="15" customHeight="1" x14ac:dyDescent="0.3">
      <c r="A26" t="str">
        <f>Heroes!$B26</f>
        <v>Kagura</v>
      </c>
      <c r="B26" t="str">
        <f>Heroes!$C26</f>
        <v>Mage</v>
      </c>
      <c r="C26">
        <f>Heroes!$D26</f>
        <v>0</v>
      </c>
      <c r="D26">
        <f>Heroes!$E26</f>
        <v>90</v>
      </c>
      <c r="E26">
        <f>Heroes!$F26</f>
        <v>40</v>
      </c>
      <c r="F26">
        <f>Heroes!$H26</f>
        <v>80</v>
      </c>
      <c r="G26" t="str">
        <f>Heroes!$K26</f>
        <v>Magic</v>
      </c>
      <c r="H26">
        <f>Heroes!$Q26</f>
        <v>3</v>
      </c>
      <c r="I26">
        <f>IFERROR(INDEX('Data-Input'!$B$19:$G$24,MATCH(B26,'Data-Input'!$A$19:$A$24,0),MATCH($B$1,'Data-Input'!$B$18:$G$18,0)),0)</f>
        <v>0</v>
      </c>
      <c r="J26">
        <f>IF(C26&lt;&gt;"",IFERROR(INDEX('Data-Input'!$B$19:$G$24,MATCH(C26,'Data-Input'!$A$19:$A$24,0),MATCH($B$1,'Data-Input'!$B$18:$G$18,0)),0),I26)</f>
        <v>0</v>
      </c>
      <c r="K26">
        <f t="shared" si="0"/>
        <v>0</v>
      </c>
      <c r="L26">
        <f t="shared" si="1"/>
        <v>6.5</v>
      </c>
      <c r="M26">
        <f t="shared" si="2"/>
        <v>80</v>
      </c>
      <c r="N26">
        <f t="shared" si="3"/>
        <v>24</v>
      </c>
      <c r="O26">
        <f t="shared" si="4"/>
        <v>3</v>
      </c>
      <c r="P26">
        <f t="shared" si="5"/>
        <v>9</v>
      </c>
      <c r="Q26">
        <f t="shared" si="6"/>
        <v>42.5</v>
      </c>
      <c r="R26">
        <f>IFERROR(INDEX('Data-Input'!$C$190:$C$1189,MATCH(A26&amp;"|"&amp;$A$1,'Data-Input'!$E$190:$E$1189,0)),Q26)</f>
        <v>42.5</v>
      </c>
      <c r="S26">
        <f t="shared" si="7"/>
        <v>42.5</v>
      </c>
      <c r="T26">
        <f t="shared" si="8"/>
        <v>42.500002600000002</v>
      </c>
      <c r="U26" t="str">
        <f>Heroes!$M26</f>
        <v>Mid Lane</v>
      </c>
      <c r="V26">
        <f t="shared" si="9"/>
        <v>-1000000000000000</v>
      </c>
      <c r="W26" t="str">
        <f>Heroes!$I26</f>
        <v>Poke</v>
      </c>
      <c r="X26" t="str">
        <f>Heroes!$J26</f>
        <v>Burst</v>
      </c>
      <c r="Y26">
        <f>IF($A$1="",0,MAX(IF(W26&lt;&gt;"",IFERROR(INDEX('Data-Input'!$B$164:$W$185,MATCH(W26,'Data-Input'!$A$164:$A$185,0),MATCH($K$1,'Data-Input'!$B$163:$W$163,0)),0),0),IF(AND(W26&lt;&gt;"",$L$1&lt;&gt;""),IFERROR(INDEX('Data-Input'!$B$164:$W$185,MATCH(W26,'Data-Input'!$A$164:$A$185,0),MATCH($L$1,'Data-Input'!$B$163:$W$163,0)),0),0),IF(X26&lt;&gt;"",IFERROR(INDEX('Data-Input'!$B$164:$W$185,MATCH(X26,'Data-Input'!$A$164:$A$185,0),MATCH($K$1,'Data-Input'!$B$163:$W$163,0)),0),0),IF(AND(X26&lt;&gt;"",$L$1&lt;&gt;""),IFERROR(INDEX('Data-Input'!$B$164:$W$185,MATCH(X26,'Data-Input'!$A$164:$A$185,0),MATCH($L$1,'Data-Input'!$B$163:$W$163,0)),0),0))*$M$1)</f>
        <v>0</v>
      </c>
      <c r="Z26">
        <f>IF($A$1="",0,SUMPRODUCT(('Data-Input'!$A$29:$A$128=A26)*('Data-Input'!$B$29:$B$128="Tag")*((('Data-Input'!$C$29:$C$128=$K$1)+('Data-Input'!$C$29:$C$128=$L$1))&gt;0)*('Data-Input'!$D$29:$D$128-'Data-Input'!$E$29:$E$128))+SUMPRODUCT(('Data-Input'!$A$29:$A$128=A26)*('Data-Input'!$B$29:$B$128="Hero")*('Data-Input'!$C$29:$C$128=$A$1)*('Data-Input'!$D$29:$D$128-'Data-Input'!$E$29:$E$128)))</f>
        <v>0</v>
      </c>
    </row>
    <row r="27" spans="1:26" ht="15" customHeight="1" x14ac:dyDescent="0.3">
      <c r="A27" t="str">
        <f>Heroes!$B27</f>
        <v>Chou</v>
      </c>
      <c r="B27" t="str">
        <f>Heroes!$C27</f>
        <v>Fighter</v>
      </c>
      <c r="C27">
        <f>Heroes!$D27</f>
        <v>0</v>
      </c>
      <c r="D27">
        <f>Heroes!$E27</f>
        <v>30</v>
      </c>
      <c r="E27">
        <f>Heroes!$F27</f>
        <v>80</v>
      </c>
      <c r="F27">
        <f>Heroes!$H27</f>
        <v>70</v>
      </c>
      <c r="G27" t="str">
        <f>Heroes!$K27</f>
        <v>Physical</v>
      </c>
      <c r="H27">
        <f>Heroes!$Q27</f>
        <v>1</v>
      </c>
      <c r="I27">
        <f>IFERROR(INDEX('Data-Input'!$B$19:$G$24,MATCH(B27,'Data-Input'!$A$19:$A$24,0),MATCH($B$1,'Data-Input'!$B$18:$G$18,0)),0)</f>
        <v>0</v>
      </c>
      <c r="J27">
        <f>IF(C27&lt;&gt;"",IFERROR(INDEX('Data-Input'!$B$19:$G$24,MATCH(C27,'Data-Input'!$A$19:$A$24,0),MATCH($B$1,'Data-Input'!$B$18:$G$18,0)),0),I27)</f>
        <v>0</v>
      </c>
      <c r="K27">
        <f t="shared" si="0"/>
        <v>0</v>
      </c>
      <c r="L27">
        <f t="shared" si="1"/>
        <v>5.5</v>
      </c>
      <c r="M27">
        <f t="shared" si="2"/>
        <v>70</v>
      </c>
      <c r="N27">
        <f t="shared" si="3"/>
        <v>21</v>
      </c>
      <c r="O27">
        <f t="shared" si="4"/>
        <v>3</v>
      </c>
      <c r="P27">
        <f t="shared" si="5"/>
        <v>3</v>
      </c>
      <c r="Q27">
        <f t="shared" si="6"/>
        <v>32.5</v>
      </c>
      <c r="R27">
        <f>IFERROR(INDEX('Data-Input'!$C$190:$C$1189,MATCH(A27&amp;"|"&amp;$A$1,'Data-Input'!$E$190:$E$1189,0)),Q27)</f>
        <v>32.5</v>
      </c>
      <c r="S27">
        <f t="shared" si="7"/>
        <v>32.5</v>
      </c>
      <c r="T27">
        <f t="shared" si="8"/>
        <v>32.500002700000003</v>
      </c>
      <c r="U27" t="str">
        <f>Heroes!$M27</f>
        <v>EXP Lane</v>
      </c>
      <c r="V27">
        <f t="shared" si="9"/>
        <v>-1000000000000000</v>
      </c>
      <c r="W27" t="str">
        <f>Heroes!$I27</f>
        <v>Hard CC</v>
      </c>
      <c r="X27" t="str">
        <f>Heroes!$J27</f>
        <v>Dash/Blink</v>
      </c>
      <c r="Y27">
        <f>IF($A$1="",0,MAX(IF(W27&lt;&gt;"",IFERROR(INDEX('Data-Input'!$B$164:$W$185,MATCH(W27,'Data-Input'!$A$164:$A$185,0),MATCH($K$1,'Data-Input'!$B$163:$W$163,0)),0),0),IF(AND(W27&lt;&gt;"",$L$1&lt;&gt;""),IFERROR(INDEX('Data-Input'!$B$164:$W$185,MATCH(W27,'Data-Input'!$A$164:$A$185,0),MATCH($L$1,'Data-Input'!$B$163:$W$163,0)),0),0),IF(X27&lt;&gt;"",IFERROR(INDEX('Data-Input'!$B$164:$W$185,MATCH(X27,'Data-Input'!$A$164:$A$185,0),MATCH($K$1,'Data-Input'!$B$163:$W$163,0)),0),0),IF(AND(X27&lt;&gt;"",$L$1&lt;&gt;""),IFERROR(INDEX('Data-Input'!$B$164:$W$185,MATCH(X27,'Data-Input'!$A$164:$A$185,0),MATCH($L$1,'Data-Input'!$B$163:$W$163,0)),0),0))*$M$1)</f>
        <v>0</v>
      </c>
      <c r="Z27">
        <f>IF($A$1="",0,SUMPRODUCT(('Data-Input'!$A$29:$A$128=A27)*('Data-Input'!$B$29:$B$128="Tag")*((('Data-Input'!$C$29:$C$128=$K$1)+('Data-Input'!$C$29:$C$128=$L$1))&gt;0)*('Data-Input'!$D$29:$D$128-'Data-Input'!$E$29:$E$128))+SUMPRODUCT(('Data-Input'!$A$29:$A$128=A27)*('Data-Input'!$B$29:$B$128="Hero")*('Data-Input'!$C$29:$C$128=$A$1)*('Data-Input'!$D$29:$D$128-'Data-Input'!$E$29:$E$128)))</f>
        <v>0</v>
      </c>
    </row>
    <row r="28" spans="1:26" ht="15" customHeight="1" x14ac:dyDescent="0.3">
      <c r="A28" t="str">
        <f>Heroes!$B28</f>
        <v>Sun</v>
      </c>
      <c r="B28" t="str">
        <f>Heroes!$C28</f>
        <v>Fighter</v>
      </c>
      <c r="C28">
        <f>Heroes!$D28</f>
        <v>0</v>
      </c>
      <c r="D28">
        <f>Heroes!$E28</f>
        <v>50</v>
      </c>
      <c r="E28">
        <f>Heroes!$F28</f>
        <v>10</v>
      </c>
      <c r="F28">
        <f>Heroes!$H28</f>
        <v>30</v>
      </c>
      <c r="G28" t="str">
        <f>Heroes!$K28</f>
        <v>Physical</v>
      </c>
      <c r="H28">
        <f>Heroes!$Q28</f>
        <v>2</v>
      </c>
      <c r="I28">
        <f>IFERROR(INDEX('Data-Input'!$B$19:$G$24,MATCH(B28,'Data-Input'!$A$19:$A$24,0),MATCH($B$1,'Data-Input'!$B$18:$G$18,0)),0)</f>
        <v>0</v>
      </c>
      <c r="J28">
        <f>IF(C28&lt;&gt;"",IFERROR(INDEX('Data-Input'!$B$19:$G$24,MATCH(C28,'Data-Input'!$A$19:$A$24,0),MATCH($B$1,'Data-Input'!$B$18:$G$18,0)),0),I28)</f>
        <v>0</v>
      </c>
      <c r="K28">
        <f t="shared" si="0"/>
        <v>0</v>
      </c>
      <c r="L28">
        <f t="shared" si="1"/>
        <v>3</v>
      </c>
      <c r="M28">
        <f t="shared" si="2"/>
        <v>30</v>
      </c>
      <c r="N28">
        <f t="shared" si="3"/>
        <v>9</v>
      </c>
      <c r="O28">
        <f t="shared" si="4"/>
        <v>3</v>
      </c>
      <c r="P28">
        <f t="shared" si="5"/>
        <v>6</v>
      </c>
      <c r="Q28">
        <f t="shared" si="6"/>
        <v>21</v>
      </c>
      <c r="R28">
        <f>IFERROR(INDEX('Data-Input'!$C$190:$C$1189,MATCH(A28&amp;"|"&amp;$A$1,'Data-Input'!$E$190:$E$1189,0)),Q28)</f>
        <v>21</v>
      </c>
      <c r="S28">
        <f t="shared" si="7"/>
        <v>21</v>
      </c>
      <c r="T28">
        <f t="shared" si="8"/>
        <v>21.000002800000001</v>
      </c>
      <c r="U28" t="str">
        <f>Heroes!$M28</f>
        <v>EXP Lane</v>
      </c>
      <c r="V28">
        <f t="shared" si="9"/>
        <v>-1000000000000000</v>
      </c>
      <c r="W28" t="str">
        <f>Heroes!$I28</f>
        <v>Summoner</v>
      </c>
      <c r="X28" t="str">
        <f>Heroes!$J28</f>
        <v>DPS</v>
      </c>
      <c r="Y28">
        <f>IF($A$1="",0,MAX(IF(W28&lt;&gt;"",IFERROR(INDEX('Data-Input'!$B$164:$W$185,MATCH(W28,'Data-Input'!$A$164:$A$185,0),MATCH($K$1,'Data-Input'!$B$163:$W$163,0)),0),0),IF(AND(W28&lt;&gt;"",$L$1&lt;&gt;""),IFERROR(INDEX('Data-Input'!$B$164:$W$185,MATCH(W28,'Data-Input'!$A$164:$A$185,0),MATCH($L$1,'Data-Input'!$B$163:$W$163,0)),0),0),IF(X28&lt;&gt;"",IFERROR(INDEX('Data-Input'!$B$164:$W$185,MATCH(X28,'Data-Input'!$A$164:$A$185,0),MATCH($K$1,'Data-Input'!$B$163:$W$163,0)),0),0),IF(AND(X28&lt;&gt;"",$L$1&lt;&gt;""),IFERROR(INDEX('Data-Input'!$B$164:$W$185,MATCH(X28,'Data-Input'!$A$164:$A$185,0),MATCH($L$1,'Data-Input'!$B$163:$W$163,0)),0),0))*$M$1)</f>
        <v>0</v>
      </c>
      <c r="Z28">
        <f>IF($A$1="",0,SUMPRODUCT(('Data-Input'!$A$29:$A$128=A28)*('Data-Input'!$B$29:$B$128="Tag")*((('Data-Input'!$C$29:$C$128=$K$1)+('Data-Input'!$C$29:$C$128=$L$1))&gt;0)*('Data-Input'!$D$29:$D$128-'Data-Input'!$E$29:$E$128))+SUMPRODUCT(('Data-Input'!$A$29:$A$128=A28)*('Data-Input'!$B$29:$B$128="Hero")*('Data-Input'!$C$29:$C$128=$A$1)*('Data-Input'!$D$29:$D$128-'Data-Input'!$E$29:$E$128)))</f>
        <v>0</v>
      </c>
    </row>
    <row r="29" spans="1:26" ht="15" customHeight="1" x14ac:dyDescent="0.3">
      <c r="A29" t="str">
        <f>Heroes!$B29</f>
        <v>Alpha</v>
      </c>
      <c r="B29" t="str">
        <f>Heroes!$C29</f>
        <v>Fighter</v>
      </c>
      <c r="C29">
        <f>Heroes!$D29</f>
        <v>0</v>
      </c>
      <c r="D29">
        <f>Heroes!$E29</f>
        <v>40</v>
      </c>
      <c r="E29">
        <f>Heroes!$F29</f>
        <v>70</v>
      </c>
      <c r="F29">
        <f>Heroes!$H29</f>
        <v>10</v>
      </c>
      <c r="G29" t="str">
        <f>Heroes!$K29</f>
        <v>Physical</v>
      </c>
      <c r="H29">
        <f>Heroes!$Q29</f>
        <v>3</v>
      </c>
      <c r="I29">
        <f>IFERROR(INDEX('Data-Input'!$B$19:$G$24,MATCH(B29,'Data-Input'!$A$19:$A$24,0),MATCH($B$1,'Data-Input'!$B$18:$G$18,0)),0)</f>
        <v>0</v>
      </c>
      <c r="J29">
        <f>IF(C29&lt;&gt;"",IFERROR(INDEX('Data-Input'!$B$19:$G$24,MATCH(C29,'Data-Input'!$A$19:$A$24,0),MATCH($B$1,'Data-Input'!$B$18:$G$18,0)),0),I29)</f>
        <v>0</v>
      </c>
      <c r="K29">
        <f t="shared" si="0"/>
        <v>0</v>
      </c>
      <c r="L29">
        <f t="shared" si="1"/>
        <v>5.5</v>
      </c>
      <c r="M29">
        <f t="shared" si="2"/>
        <v>10</v>
      </c>
      <c r="N29">
        <f t="shared" si="3"/>
        <v>0</v>
      </c>
      <c r="O29">
        <f t="shared" si="4"/>
        <v>3</v>
      </c>
      <c r="P29">
        <f t="shared" si="5"/>
        <v>9</v>
      </c>
      <c r="Q29">
        <f t="shared" si="6"/>
        <v>17.5</v>
      </c>
      <c r="R29">
        <f>IFERROR(INDEX('Data-Input'!$C$190:$C$1189,MATCH(A29&amp;"|"&amp;$A$1,'Data-Input'!$E$190:$E$1189,0)),Q29)</f>
        <v>17.5</v>
      </c>
      <c r="S29">
        <f t="shared" si="7"/>
        <v>17.5</v>
      </c>
      <c r="T29">
        <f t="shared" si="8"/>
        <v>17.500002899999998</v>
      </c>
      <c r="U29" t="str">
        <f>Heroes!$M29</f>
        <v>Jungle</v>
      </c>
      <c r="V29">
        <f t="shared" si="9"/>
        <v>-1000000000000000</v>
      </c>
      <c r="W29" t="str">
        <f>Heroes!$I29</f>
        <v>Sustain</v>
      </c>
      <c r="X29" t="str">
        <f>Heroes!$J29</f>
        <v>True Damage</v>
      </c>
      <c r="Y29">
        <f>IF($A$1="",0,MAX(IF(W29&lt;&gt;"",IFERROR(INDEX('Data-Input'!$B$164:$W$185,MATCH(W29,'Data-Input'!$A$164:$A$185,0),MATCH($K$1,'Data-Input'!$B$163:$W$163,0)),0),0),IF(AND(W29&lt;&gt;"",$L$1&lt;&gt;""),IFERROR(INDEX('Data-Input'!$B$164:$W$185,MATCH(W29,'Data-Input'!$A$164:$A$185,0),MATCH($L$1,'Data-Input'!$B$163:$W$163,0)),0),0),IF(X29&lt;&gt;"",IFERROR(INDEX('Data-Input'!$B$164:$W$185,MATCH(X29,'Data-Input'!$A$164:$A$185,0),MATCH($K$1,'Data-Input'!$B$163:$W$163,0)),0),0),IF(AND(X29&lt;&gt;"",$L$1&lt;&gt;""),IFERROR(INDEX('Data-Input'!$B$164:$W$185,MATCH(X29,'Data-Input'!$A$164:$A$185,0),MATCH($L$1,'Data-Input'!$B$163:$W$163,0)),0),0))*$M$1)</f>
        <v>0</v>
      </c>
      <c r="Z29">
        <f>IF($A$1="",0,SUMPRODUCT(('Data-Input'!$A$29:$A$128=A29)*('Data-Input'!$B$29:$B$128="Tag")*((('Data-Input'!$C$29:$C$128=$K$1)+('Data-Input'!$C$29:$C$128=$L$1))&gt;0)*('Data-Input'!$D$29:$D$128-'Data-Input'!$E$29:$E$128))+SUMPRODUCT(('Data-Input'!$A$29:$A$128=A29)*('Data-Input'!$B$29:$B$128="Hero")*('Data-Input'!$C$29:$C$128=$A$1)*('Data-Input'!$D$29:$D$128-'Data-Input'!$E$29:$E$128)))</f>
        <v>0</v>
      </c>
    </row>
    <row r="30" spans="1:26" ht="15" customHeight="1" x14ac:dyDescent="0.3">
      <c r="A30" t="str">
        <f>Heroes!$B30</f>
        <v>Ruby</v>
      </c>
      <c r="B30" t="str">
        <f>Heroes!$C30</f>
        <v>Fighter</v>
      </c>
      <c r="C30">
        <f>Heroes!$D30</f>
        <v>0</v>
      </c>
      <c r="D30">
        <f>Heroes!$E30</f>
        <v>20</v>
      </c>
      <c r="E30">
        <f>Heroes!$F30</f>
        <v>90</v>
      </c>
      <c r="F30">
        <f>Heroes!$H30</f>
        <v>40</v>
      </c>
      <c r="G30" t="str">
        <f>Heroes!$K30</f>
        <v>Physical</v>
      </c>
      <c r="H30">
        <f>Heroes!$Q30</f>
        <v>4</v>
      </c>
      <c r="I30">
        <f>IFERROR(INDEX('Data-Input'!$B$19:$G$24,MATCH(B30,'Data-Input'!$A$19:$A$24,0),MATCH($B$1,'Data-Input'!$B$18:$G$18,0)),0)</f>
        <v>0</v>
      </c>
      <c r="J30">
        <f>IF(C30&lt;&gt;"",IFERROR(INDEX('Data-Input'!$B$19:$G$24,MATCH(C30,'Data-Input'!$A$19:$A$24,0),MATCH($B$1,'Data-Input'!$B$18:$G$18,0)),0),I30)</f>
        <v>0</v>
      </c>
      <c r="K30">
        <f t="shared" si="0"/>
        <v>0</v>
      </c>
      <c r="L30">
        <f t="shared" si="1"/>
        <v>5.5</v>
      </c>
      <c r="M30">
        <f t="shared" si="2"/>
        <v>40</v>
      </c>
      <c r="N30">
        <f t="shared" si="3"/>
        <v>12</v>
      </c>
      <c r="O30">
        <f t="shared" si="4"/>
        <v>3</v>
      </c>
      <c r="P30">
        <f t="shared" si="5"/>
        <v>12</v>
      </c>
      <c r="Q30">
        <f t="shared" si="6"/>
        <v>32.5</v>
      </c>
      <c r="R30">
        <f>IFERROR(INDEX('Data-Input'!$C$190:$C$1189,MATCH(A30&amp;"|"&amp;$A$1,'Data-Input'!$E$190:$E$1189,0)),Q30)</f>
        <v>32.5</v>
      </c>
      <c r="S30">
        <f t="shared" si="7"/>
        <v>32.5</v>
      </c>
      <c r="T30">
        <f t="shared" si="8"/>
        <v>32.500003</v>
      </c>
      <c r="U30" t="str">
        <f>Heroes!$M30</f>
        <v>EXP Lane</v>
      </c>
      <c r="V30">
        <f t="shared" si="9"/>
        <v>-1000000000000000</v>
      </c>
      <c r="W30" t="str">
        <f>Heroes!$I30</f>
        <v>Sustain</v>
      </c>
      <c r="X30" t="str">
        <f>Heroes!$J30</f>
        <v>AoE CC</v>
      </c>
      <c r="Y30">
        <f>IF($A$1="",0,MAX(IF(W30&lt;&gt;"",IFERROR(INDEX('Data-Input'!$B$164:$W$185,MATCH(W30,'Data-Input'!$A$164:$A$185,0),MATCH($K$1,'Data-Input'!$B$163:$W$163,0)),0),0),IF(AND(W30&lt;&gt;"",$L$1&lt;&gt;""),IFERROR(INDEX('Data-Input'!$B$164:$W$185,MATCH(W30,'Data-Input'!$A$164:$A$185,0),MATCH($L$1,'Data-Input'!$B$163:$W$163,0)),0),0),IF(X30&lt;&gt;"",IFERROR(INDEX('Data-Input'!$B$164:$W$185,MATCH(X30,'Data-Input'!$A$164:$A$185,0),MATCH($K$1,'Data-Input'!$B$163:$W$163,0)),0),0),IF(AND(X30&lt;&gt;"",$L$1&lt;&gt;""),IFERROR(INDEX('Data-Input'!$B$164:$W$185,MATCH(X30,'Data-Input'!$A$164:$A$185,0),MATCH($L$1,'Data-Input'!$B$163:$W$163,0)),0),0))*$M$1)</f>
        <v>0</v>
      </c>
      <c r="Z30">
        <f>IF($A$1="",0,SUMPRODUCT(('Data-Input'!$A$29:$A$128=A30)*('Data-Input'!$B$29:$B$128="Tag")*((('Data-Input'!$C$29:$C$128=$K$1)+('Data-Input'!$C$29:$C$128=$L$1))&gt;0)*('Data-Input'!$D$29:$D$128-'Data-Input'!$E$29:$E$128))+SUMPRODUCT(('Data-Input'!$A$29:$A$128=A30)*('Data-Input'!$B$29:$B$128="Hero")*('Data-Input'!$C$29:$C$128=$A$1)*('Data-Input'!$D$29:$D$128-'Data-Input'!$E$29:$E$128)))</f>
        <v>0</v>
      </c>
    </row>
    <row r="31" spans="1:26" ht="15" customHeight="1" x14ac:dyDescent="0.3">
      <c r="A31" t="str">
        <f>Heroes!$B31</f>
        <v>Yi Sun-shin</v>
      </c>
      <c r="B31" t="str">
        <f>Heroes!$C31</f>
        <v>Assassin</v>
      </c>
      <c r="C31" t="str">
        <f>Heroes!$D31</f>
        <v>Marksman</v>
      </c>
      <c r="D31">
        <f>Heroes!$E31</f>
        <v>90</v>
      </c>
      <c r="E31">
        <f>Heroes!$F31</f>
        <v>20</v>
      </c>
      <c r="F31">
        <f>Heroes!$H31</f>
        <v>70</v>
      </c>
      <c r="G31" t="str">
        <f>Heroes!$K31</f>
        <v>Physical</v>
      </c>
      <c r="H31">
        <f>Heroes!$Q31</f>
        <v>4</v>
      </c>
      <c r="I31">
        <f>IFERROR(INDEX('Data-Input'!$B$19:$G$24,MATCH(B31,'Data-Input'!$A$19:$A$24,0),MATCH($B$1,'Data-Input'!$B$18:$G$18,0)),0)</f>
        <v>0</v>
      </c>
      <c r="J31">
        <f>IF(C31&lt;&gt;"",IFERROR(INDEX('Data-Input'!$B$19:$G$24,MATCH(C31,'Data-Input'!$A$19:$A$24,0),MATCH($B$1,'Data-Input'!$B$18:$G$18,0)),0),I31)</f>
        <v>0</v>
      </c>
      <c r="K31">
        <f t="shared" si="0"/>
        <v>0</v>
      </c>
      <c r="L31">
        <f t="shared" si="1"/>
        <v>5.5</v>
      </c>
      <c r="M31">
        <f t="shared" si="2"/>
        <v>70</v>
      </c>
      <c r="N31">
        <f t="shared" si="3"/>
        <v>21</v>
      </c>
      <c r="O31">
        <f t="shared" si="4"/>
        <v>3</v>
      </c>
      <c r="P31">
        <f t="shared" si="5"/>
        <v>12</v>
      </c>
      <c r="Q31">
        <f t="shared" si="6"/>
        <v>41.5</v>
      </c>
      <c r="R31">
        <f>IFERROR(INDEX('Data-Input'!$C$190:$C$1189,MATCH(A31&amp;"|"&amp;$A$1,'Data-Input'!$E$190:$E$1189,0)),Q31)</f>
        <v>41.5</v>
      </c>
      <c r="S31">
        <f t="shared" si="7"/>
        <v>41.5</v>
      </c>
      <c r="T31">
        <f t="shared" si="8"/>
        <v>41.500003100000001</v>
      </c>
      <c r="U31" t="str">
        <f>Heroes!$M31</f>
        <v>Jungle</v>
      </c>
      <c r="V31">
        <f t="shared" si="9"/>
        <v>-1000000000000000</v>
      </c>
      <c r="W31" t="str">
        <f>Heroes!$I31</f>
        <v>Vision</v>
      </c>
      <c r="X31" t="str">
        <f>Heroes!$J31</f>
        <v>DPS</v>
      </c>
      <c r="Y31">
        <f>IF($A$1="",0,MAX(IF(W31&lt;&gt;"",IFERROR(INDEX('Data-Input'!$B$164:$W$185,MATCH(W31,'Data-Input'!$A$164:$A$185,0),MATCH($K$1,'Data-Input'!$B$163:$W$163,0)),0),0),IF(AND(W31&lt;&gt;"",$L$1&lt;&gt;""),IFERROR(INDEX('Data-Input'!$B$164:$W$185,MATCH(W31,'Data-Input'!$A$164:$A$185,0),MATCH($L$1,'Data-Input'!$B$163:$W$163,0)),0),0),IF(X31&lt;&gt;"",IFERROR(INDEX('Data-Input'!$B$164:$W$185,MATCH(X31,'Data-Input'!$A$164:$A$185,0),MATCH($K$1,'Data-Input'!$B$163:$W$163,0)),0),0),IF(AND(X31&lt;&gt;"",$L$1&lt;&gt;""),IFERROR(INDEX('Data-Input'!$B$164:$W$185,MATCH(X31,'Data-Input'!$A$164:$A$185,0),MATCH($L$1,'Data-Input'!$B$163:$W$163,0)),0),0))*$M$1)</f>
        <v>0</v>
      </c>
      <c r="Z31">
        <f>IF($A$1="",0,SUMPRODUCT(('Data-Input'!$A$29:$A$128=A31)*('Data-Input'!$B$29:$B$128="Tag")*((('Data-Input'!$C$29:$C$128=$K$1)+('Data-Input'!$C$29:$C$128=$L$1))&gt;0)*('Data-Input'!$D$29:$D$128-'Data-Input'!$E$29:$E$128))+SUMPRODUCT(('Data-Input'!$A$29:$A$128=A31)*('Data-Input'!$B$29:$B$128="Hero")*('Data-Input'!$C$29:$C$128=$A$1)*('Data-Input'!$D$29:$D$128-'Data-Input'!$E$29:$E$128)))</f>
        <v>0</v>
      </c>
    </row>
    <row r="32" spans="1:26" ht="15" customHeight="1" x14ac:dyDescent="0.3">
      <c r="A32" t="str">
        <f>Heroes!$B32</f>
        <v>Moskov</v>
      </c>
      <c r="B32" t="str">
        <f>Heroes!$C32</f>
        <v>Marksman</v>
      </c>
      <c r="C32">
        <f>Heroes!$D32</f>
        <v>0</v>
      </c>
      <c r="D32">
        <f>Heroes!$E32</f>
        <v>60</v>
      </c>
      <c r="E32">
        <f>Heroes!$F32</f>
        <v>60</v>
      </c>
      <c r="F32">
        <f>Heroes!$H32</f>
        <v>50</v>
      </c>
      <c r="G32" t="str">
        <f>Heroes!$K32</f>
        <v>Physical</v>
      </c>
      <c r="H32">
        <f>Heroes!$Q32</f>
        <v>5</v>
      </c>
      <c r="I32">
        <f>IFERROR(INDEX('Data-Input'!$B$19:$G$24,MATCH(B32,'Data-Input'!$A$19:$A$24,0),MATCH($B$1,'Data-Input'!$B$18:$G$18,0)),0)</f>
        <v>0</v>
      </c>
      <c r="J32">
        <f>IF(C32&lt;&gt;"",IFERROR(INDEX('Data-Input'!$B$19:$G$24,MATCH(C32,'Data-Input'!$A$19:$A$24,0),MATCH($B$1,'Data-Input'!$B$18:$G$18,0)),0),I32)</f>
        <v>0</v>
      </c>
      <c r="K32">
        <f t="shared" si="0"/>
        <v>0</v>
      </c>
      <c r="L32">
        <f t="shared" si="1"/>
        <v>6</v>
      </c>
      <c r="M32">
        <f t="shared" si="2"/>
        <v>50</v>
      </c>
      <c r="N32">
        <f t="shared" si="3"/>
        <v>15</v>
      </c>
      <c r="O32">
        <f t="shared" si="4"/>
        <v>3</v>
      </c>
      <c r="P32">
        <f t="shared" si="5"/>
        <v>15</v>
      </c>
      <c r="Q32">
        <f t="shared" si="6"/>
        <v>39</v>
      </c>
      <c r="R32">
        <f>IFERROR(INDEX('Data-Input'!$C$190:$C$1189,MATCH(A32&amp;"|"&amp;$A$1,'Data-Input'!$E$190:$E$1189,0)),Q32)</f>
        <v>39</v>
      </c>
      <c r="S32">
        <f t="shared" si="7"/>
        <v>39</v>
      </c>
      <c r="T32">
        <f t="shared" si="8"/>
        <v>39.000003200000002</v>
      </c>
      <c r="U32" t="str">
        <f>Heroes!$M32</f>
        <v>Gold Lane</v>
      </c>
      <c r="V32">
        <f t="shared" si="9"/>
        <v>-1000000000000000</v>
      </c>
      <c r="W32" t="str">
        <f>Heroes!$I32</f>
        <v>DPS</v>
      </c>
      <c r="X32" t="str">
        <f>Heroes!$J32</f>
        <v>Hard CC</v>
      </c>
      <c r="Y32">
        <f>IF($A$1="",0,MAX(IF(W32&lt;&gt;"",IFERROR(INDEX('Data-Input'!$B$164:$W$185,MATCH(W32,'Data-Input'!$A$164:$A$185,0),MATCH($K$1,'Data-Input'!$B$163:$W$163,0)),0),0),IF(AND(W32&lt;&gt;"",$L$1&lt;&gt;""),IFERROR(INDEX('Data-Input'!$B$164:$W$185,MATCH(W32,'Data-Input'!$A$164:$A$185,0),MATCH($L$1,'Data-Input'!$B$163:$W$163,0)),0),0),IF(X32&lt;&gt;"",IFERROR(INDEX('Data-Input'!$B$164:$W$185,MATCH(X32,'Data-Input'!$A$164:$A$185,0),MATCH($K$1,'Data-Input'!$B$163:$W$163,0)),0),0),IF(AND(X32&lt;&gt;"",$L$1&lt;&gt;""),IFERROR(INDEX('Data-Input'!$B$164:$W$185,MATCH(X32,'Data-Input'!$A$164:$A$185,0),MATCH($L$1,'Data-Input'!$B$163:$W$163,0)),0),0))*$M$1)</f>
        <v>0</v>
      </c>
      <c r="Z32">
        <f>IF($A$1="",0,SUMPRODUCT(('Data-Input'!$A$29:$A$128=A32)*('Data-Input'!$B$29:$B$128="Tag")*((('Data-Input'!$C$29:$C$128=$K$1)+('Data-Input'!$C$29:$C$128=$L$1))&gt;0)*('Data-Input'!$D$29:$D$128-'Data-Input'!$E$29:$E$128))+SUMPRODUCT(('Data-Input'!$A$29:$A$128=A32)*('Data-Input'!$B$29:$B$128="Hero")*('Data-Input'!$C$29:$C$128=$A$1)*('Data-Input'!$D$29:$D$128-'Data-Input'!$E$29:$E$128)))</f>
        <v>0</v>
      </c>
    </row>
    <row r="33" spans="1:26" ht="15" customHeight="1" x14ac:dyDescent="0.3">
      <c r="A33" t="str">
        <f>Heroes!$B33</f>
        <v>Johnson</v>
      </c>
      <c r="B33" t="str">
        <f>Heroes!$C33</f>
        <v>Tank</v>
      </c>
      <c r="C33" t="str">
        <f>Heroes!$D33</f>
        <v>Support</v>
      </c>
      <c r="D33">
        <f>Heroes!$E33</f>
        <v>30</v>
      </c>
      <c r="E33">
        <f>Heroes!$F33</f>
        <v>90</v>
      </c>
      <c r="F33">
        <f>Heroes!$H33</f>
        <v>50</v>
      </c>
      <c r="G33" t="str">
        <f>Heroes!$K33</f>
        <v>Magic</v>
      </c>
      <c r="H33">
        <f>Heroes!$Q33</f>
        <v>2</v>
      </c>
      <c r="I33">
        <f>IFERROR(INDEX('Data-Input'!$B$19:$G$24,MATCH(B33,'Data-Input'!$A$19:$A$24,0),MATCH($B$1,'Data-Input'!$B$18:$G$18,0)),0)</f>
        <v>0</v>
      </c>
      <c r="J33">
        <f>IF(C33&lt;&gt;"",IFERROR(INDEX('Data-Input'!$B$19:$G$24,MATCH(C33,'Data-Input'!$A$19:$A$24,0),MATCH($B$1,'Data-Input'!$B$18:$G$18,0)),0),I33)</f>
        <v>0</v>
      </c>
      <c r="K33">
        <f t="shared" si="0"/>
        <v>0</v>
      </c>
      <c r="L33">
        <f t="shared" si="1"/>
        <v>6</v>
      </c>
      <c r="M33">
        <f t="shared" si="2"/>
        <v>50</v>
      </c>
      <c r="N33">
        <f t="shared" si="3"/>
        <v>15</v>
      </c>
      <c r="O33">
        <f t="shared" si="4"/>
        <v>3</v>
      </c>
      <c r="P33">
        <f t="shared" si="5"/>
        <v>6</v>
      </c>
      <c r="Q33">
        <f t="shared" si="6"/>
        <v>30</v>
      </c>
      <c r="R33">
        <f>IFERROR(INDEX('Data-Input'!$C$190:$C$1189,MATCH(A33&amp;"|"&amp;$A$1,'Data-Input'!$E$190:$E$1189,0)),Q33)</f>
        <v>30</v>
      </c>
      <c r="S33">
        <f t="shared" si="7"/>
        <v>30</v>
      </c>
      <c r="T33">
        <f t="shared" si="8"/>
        <v>30.000003299999999</v>
      </c>
      <c r="U33" t="str">
        <f>Heroes!$M33</f>
        <v>Roaming</v>
      </c>
      <c r="V33">
        <f t="shared" si="9"/>
        <v>-1000000000000000</v>
      </c>
      <c r="W33" t="str">
        <f>Heroes!$I33</f>
        <v>Global Dive</v>
      </c>
      <c r="X33" t="str">
        <f>Heroes!$J33</f>
        <v>AoE CC</v>
      </c>
      <c r="Y33">
        <f>IF($A$1="",0,MAX(IF(W33&lt;&gt;"",IFERROR(INDEX('Data-Input'!$B$164:$W$185,MATCH(W33,'Data-Input'!$A$164:$A$185,0),MATCH($K$1,'Data-Input'!$B$163:$W$163,0)),0),0),IF(AND(W33&lt;&gt;"",$L$1&lt;&gt;""),IFERROR(INDEX('Data-Input'!$B$164:$W$185,MATCH(W33,'Data-Input'!$A$164:$A$185,0),MATCH($L$1,'Data-Input'!$B$163:$W$163,0)),0),0),IF(X33&lt;&gt;"",IFERROR(INDEX('Data-Input'!$B$164:$W$185,MATCH(X33,'Data-Input'!$A$164:$A$185,0),MATCH($K$1,'Data-Input'!$B$163:$W$163,0)),0),0),IF(AND(X33&lt;&gt;"",$L$1&lt;&gt;""),IFERROR(INDEX('Data-Input'!$B$164:$W$185,MATCH(X33,'Data-Input'!$A$164:$A$185,0),MATCH($L$1,'Data-Input'!$B$163:$W$163,0)),0),0))*$M$1)</f>
        <v>0</v>
      </c>
      <c r="Z33">
        <f>IF($A$1="",0,SUMPRODUCT(('Data-Input'!$A$29:$A$128=A33)*('Data-Input'!$B$29:$B$128="Tag")*((('Data-Input'!$C$29:$C$128=$K$1)+('Data-Input'!$C$29:$C$128=$L$1))&gt;0)*('Data-Input'!$D$29:$D$128-'Data-Input'!$E$29:$E$128))+SUMPRODUCT(('Data-Input'!$A$29:$A$128=A33)*('Data-Input'!$B$29:$B$128="Hero")*('Data-Input'!$C$29:$C$128=$A$1)*('Data-Input'!$D$29:$D$128-'Data-Input'!$E$29:$E$128)))</f>
        <v>0</v>
      </c>
    </row>
    <row r="34" spans="1:26" ht="15" customHeight="1" x14ac:dyDescent="0.3">
      <c r="A34" t="str">
        <f>Heroes!$B34</f>
        <v>Cyclops</v>
      </c>
      <c r="B34" t="str">
        <f>Heroes!$C34</f>
        <v>Mage</v>
      </c>
      <c r="C34">
        <f>Heroes!$D34</f>
        <v>0</v>
      </c>
      <c r="D34">
        <f>Heroes!$E34</f>
        <v>100</v>
      </c>
      <c r="E34">
        <f>Heroes!$F34</f>
        <v>70</v>
      </c>
      <c r="F34">
        <f>Heroes!$H34</f>
        <v>60</v>
      </c>
      <c r="G34" t="str">
        <f>Heroes!$K34</f>
        <v>Magic</v>
      </c>
      <c r="H34">
        <f>Heroes!$Q34</f>
        <v>3</v>
      </c>
      <c r="I34">
        <f>IFERROR(INDEX('Data-Input'!$B$19:$G$24,MATCH(B34,'Data-Input'!$A$19:$A$24,0),MATCH($B$1,'Data-Input'!$B$18:$G$18,0)),0)</f>
        <v>0</v>
      </c>
      <c r="J34">
        <f>IF(C34&lt;&gt;"",IFERROR(INDEX('Data-Input'!$B$19:$G$24,MATCH(C34,'Data-Input'!$A$19:$A$24,0),MATCH($B$1,'Data-Input'!$B$18:$G$18,0)),0),I34)</f>
        <v>0</v>
      </c>
      <c r="K34">
        <f t="shared" ref="K34:K65" si="10">MAX(I34,J34)</f>
        <v>0</v>
      </c>
      <c r="L34">
        <f t="shared" ref="L34:L65" si="11">((D34+E34)/2-$C$1)*$H$1</f>
        <v>8.5</v>
      </c>
      <c r="M34">
        <f t="shared" ref="M34:M65" si="12">F34-$D$1</f>
        <v>60</v>
      </c>
      <c r="N34">
        <f t="shared" ref="N34:N65" si="13">IF(M34&gt;20,M34*$I$1,0)</f>
        <v>18</v>
      </c>
      <c r="O34">
        <f t="shared" ref="O34:O65" si="14">IF(G34="Mixed",$Q$1,IF(G34=$E$1,$O$1,$P$1))</f>
        <v>3</v>
      </c>
      <c r="P34">
        <f t="shared" ref="P34:P65" si="15">(H34-$F$1)*$N$1</f>
        <v>9</v>
      </c>
      <c r="Q34">
        <f t="shared" ref="Q34:Q65" si="16">K34*$G$1+L34+N34+O34+P34+Y34+Z34</f>
        <v>38.5</v>
      </c>
      <c r="R34">
        <f>IFERROR(INDEX('Data-Input'!$C$190:$C$1189,MATCH(A34&amp;"|"&amp;$A$1,'Data-Input'!$E$190:$E$1189,0)),Q34)</f>
        <v>38.5</v>
      </c>
      <c r="S34">
        <f t="shared" ref="S34:S65" si="17">IF(OR($A$1="",A34=$A$1),-1000000000000000,R34)</f>
        <v>38.5</v>
      </c>
      <c r="T34">
        <f t="shared" ref="T34:T65" si="18">S34+ROW()*0.0000001</f>
        <v>38.500003399999997</v>
      </c>
      <c r="U34" t="str">
        <f>Heroes!$M34</f>
        <v>Mid Lane</v>
      </c>
      <c r="V34">
        <f t="shared" ref="V34:V65" si="19">IF(OR($A$1="",A34=$A$1,U34="",U34&lt;&gt;$J$1),-1000000000000000,R34)+ROW()*0.0000001</f>
        <v>-1000000000000000</v>
      </c>
      <c r="W34" t="str">
        <f>Heroes!$I34</f>
        <v>DPS</v>
      </c>
      <c r="X34" t="str">
        <f>Heroes!$J34</f>
        <v>Targeted CC</v>
      </c>
      <c r="Y34">
        <f>IF($A$1="",0,MAX(IF(W34&lt;&gt;"",IFERROR(INDEX('Data-Input'!$B$164:$W$185,MATCH(W34,'Data-Input'!$A$164:$A$185,0),MATCH($K$1,'Data-Input'!$B$163:$W$163,0)),0),0),IF(AND(W34&lt;&gt;"",$L$1&lt;&gt;""),IFERROR(INDEX('Data-Input'!$B$164:$W$185,MATCH(W34,'Data-Input'!$A$164:$A$185,0),MATCH($L$1,'Data-Input'!$B$163:$W$163,0)),0),0),IF(X34&lt;&gt;"",IFERROR(INDEX('Data-Input'!$B$164:$W$185,MATCH(X34,'Data-Input'!$A$164:$A$185,0),MATCH($K$1,'Data-Input'!$B$163:$W$163,0)),0),0),IF(AND(X34&lt;&gt;"",$L$1&lt;&gt;""),IFERROR(INDEX('Data-Input'!$B$164:$W$185,MATCH(X34,'Data-Input'!$A$164:$A$185,0),MATCH($L$1,'Data-Input'!$B$163:$W$163,0)),0),0))*$M$1)</f>
        <v>0</v>
      </c>
      <c r="Z34">
        <f>IF($A$1="",0,SUMPRODUCT(('Data-Input'!$A$29:$A$128=A34)*('Data-Input'!$B$29:$B$128="Tag")*((('Data-Input'!$C$29:$C$128=$K$1)+('Data-Input'!$C$29:$C$128=$L$1))&gt;0)*('Data-Input'!$D$29:$D$128-'Data-Input'!$E$29:$E$128))+SUMPRODUCT(('Data-Input'!$A$29:$A$128=A34)*('Data-Input'!$B$29:$B$128="Hero")*('Data-Input'!$C$29:$C$128=$A$1)*('Data-Input'!$D$29:$D$128-'Data-Input'!$E$29:$E$128)))</f>
        <v>0</v>
      </c>
    </row>
    <row r="35" spans="1:26" ht="15" customHeight="1" x14ac:dyDescent="0.3">
      <c r="A35" t="str">
        <f>Heroes!$B35</f>
        <v>Estes</v>
      </c>
      <c r="B35" t="str">
        <f>Heroes!$C35</f>
        <v>Support</v>
      </c>
      <c r="C35">
        <f>Heroes!$D35</f>
        <v>0</v>
      </c>
      <c r="D35">
        <f>Heroes!$E35</f>
        <v>10</v>
      </c>
      <c r="E35">
        <f>Heroes!$F35</f>
        <v>20</v>
      </c>
      <c r="F35">
        <f>Heroes!$H35</f>
        <v>30</v>
      </c>
      <c r="G35" t="str">
        <f>Heroes!$K35</f>
        <v>Magic</v>
      </c>
      <c r="H35">
        <f>Heroes!$Q35</f>
        <v>2</v>
      </c>
      <c r="I35">
        <f>IFERROR(INDEX('Data-Input'!$B$19:$G$24,MATCH(B35,'Data-Input'!$A$19:$A$24,0),MATCH($B$1,'Data-Input'!$B$18:$G$18,0)),0)</f>
        <v>0</v>
      </c>
      <c r="J35">
        <f>IF(C35&lt;&gt;"",IFERROR(INDEX('Data-Input'!$B$19:$G$24,MATCH(C35,'Data-Input'!$A$19:$A$24,0),MATCH($B$1,'Data-Input'!$B$18:$G$18,0)),0),I35)</f>
        <v>0</v>
      </c>
      <c r="K35">
        <f t="shared" si="10"/>
        <v>0</v>
      </c>
      <c r="L35">
        <f t="shared" si="11"/>
        <v>1.5</v>
      </c>
      <c r="M35">
        <f t="shared" si="12"/>
        <v>30</v>
      </c>
      <c r="N35">
        <f t="shared" si="13"/>
        <v>9</v>
      </c>
      <c r="O35">
        <f t="shared" si="14"/>
        <v>3</v>
      </c>
      <c r="P35">
        <f t="shared" si="15"/>
        <v>6</v>
      </c>
      <c r="Q35">
        <f t="shared" si="16"/>
        <v>19.5</v>
      </c>
      <c r="R35">
        <f>IFERROR(INDEX('Data-Input'!$C$190:$C$1189,MATCH(A35&amp;"|"&amp;$A$1,'Data-Input'!$E$190:$E$1189,0)),Q35)</f>
        <v>19.5</v>
      </c>
      <c r="S35">
        <f t="shared" si="17"/>
        <v>19.5</v>
      </c>
      <c r="T35">
        <f t="shared" si="18"/>
        <v>19.500003499999998</v>
      </c>
      <c r="U35" t="str">
        <f>Heroes!$M35</f>
        <v>Roaming</v>
      </c>
      <c r="V35">
        <f t="shared" si="19"/>
        <v>-1000000000000000</v>
      </c>
      <c r="W35" t="str">
        <f>Heroes!$I35</f>
        <v>Healing</v>
      </c>
      <c r="X35" t="str">
        <f>Heroes!$J35</f>
        <v>Sustain</v>
      </c>
      <c r="Y35">
        <f>IF($A$1="",0,MAX(IF(W35&lt;&gt;"",IFERROR(INDEX('Data-Input'!$B$164:$W$185,MATCH(W35,'Data-Input'!$A$164:$A$185,0),MATCH($K$1,'Data-Input'!$B$163:$W$163,0)),0),0),IF(AND(W35&lt;&gt;"",$L$1&lt;&gt;""),IFERROR(INDEX('Data-Input'!$B$164:$W$185,MATCH(W35,'Data-Input'!$A$164:$A$185,0),MATCH($L$1,'Data-Input'!$B$163:$W$163,0)),0),0),IF(X35&lt;&gt;"",IFERROR(INDEX('Data-Input'!$B$164:$W$185,MATCH(X35,'Data-Input'!$A$164:$A$185,0),MATCH($K$1,'Data-Input'!$B$163:$W$163,0)),0),0),IF(AND(X35&lt;&gt;"",$L$1&lt;&gt;""),IFERROR(INDEX('Data-Input'!$B$164:$W$185,MATCH(X35,'Data-Input'!$A$164:$A$185,0),MATCH($L$1,'Data-Input'!$B$163:$W$163,0)),0),0))*$M$1)</f>
        <v>0</v>
      </c>
      <c r="Z35">
        <f>IF($A$1="",0,SUMPRODUCT(('Data-Input'!$A$29:$A$128=A35)*('Data-Input'!$B$29:$B$128="Tag")*((('Data-Input'!$C$29:$C$128=$K$1)+('Data-Input'!$C$29:$C$128=$L$1))&gt;0)*('Data-Input'!$D$29:$D$128-'Data-Input'!$E$29:$E$128))+SUMPRODUCT(('Data-Input'!$A$29:$A$128=A35)*('Data-Input'!$B$29:$B$128="Hero")*('Data-Input'!$C$29:$C$128=$A$1)*('Data-Input'!$D$29:$D$128-'Data-Input'!$E$29:$E$128)))</f>
        <v>0</v>
      </c>
    </row>
    <row r="36" spans="1:26" ht="15" customHeight="1" x14ac:dyDescent="0.3">
      <c r="A36" t="str">
        <f>Heroes!$B36</f>
        <v>Hilda</v>
      </c>
      <c r="B36" t="str">
        <f>Heroes!$C36</f>
        <v>Fighter</v>
      </c>
      <c r="C36" t="str">
        <f>Heroes!$D36</f>
        <v>Tank</v>
      </c>
      <c r="D36">
        <f>Heroes!$E36</f>
        <v>40</v>
      </c>
      <c r="E36">
        <f>Heroes!$F36</f>
        <v>40</v>
      </c>
      <c r="F36">
        <f>Heroes!$H36</f>
        <v>40</v>
      </c>
      <c r="G36" t="str">
        <f>Heroes!$K36</f>
        <v>Physical</v>
      </c>
      <c r="H36">
        <f>Heroes!$Q36</f>
        <v>1</v>
      </c>
      <c r="I36">
        <f>IFERROR(INDEX('Data-Input'!$B$19:$G$24,MATCH(B36,'Data-Input'!$A$19:$A$24,0),MATCH($B$1,'Data-Input'!$B$18:$G$18,0)),0)</f>
        <v>0</v>
      </c>
      <c r="J36">
        <f>IF(C36&lt;&gt;"",IFERROR(INDEX('Data-Input'!$B$19:$G$24,MATCH(C36,'Data-Input'!$A$19:$A$24,0),MATCH($B$1,'Data-Input'!$B$18:$G$18,0)),0),I36)</f>
        <v>0</v>
      </c>
      <c r="K36">
        <f t="shared" si="10"/>
        <v>0</v>
      </c>
      <c r="L36">
        <f t="shared" si="11"/>
        <v>4</v>
      </c>
      <c r="M36">
        <f t="shared" si="12"/>
        <v>40</v>
      </c>
      <c r="N36">
        <f t="shared" si="13"/>
        <v>12</v>
      </c>
      <c r="O36">
        <f t="shared" si="14"/>
        <v>3</v>
      </c>
      <c r="P36">
        <f t="shared" si="15"/>
        <v>3</v>
      </c>
      <c r="Q36">
        <f t="shared" si="16"/>
        <v>22</v>
      </c>
      <c r="R36">
        <f>IFERROR(INDEX('Data-Input'!$C$190:$C$1189,MATCH(A36&amp;"|"&amp;$A$1,'Data-Input'!$E$190:$E$1189,0)),Q36)</f>
        <v>22</v>
      </c>
      <c r="S36">
        <f t="shared" si="17"/>
        <v>22</v>
      </c>
      <c r="T36">
        <f t="shared" si="18"/>
        <v>22.000003599999999</v>
      </c>
      <c r="U36" t="str">
        <f>Heroes!$M36</f>
        <v>Roaming</v>
      </c>
      <c r="V36">
        <f t="shared" si="19"/>
        <v>-1000000000000000</v>
      </c>
      <c r="W36" t="str">
        <f>Heroes!$I36</f>
        <v>Sustain</v>
      </c>
      <c r="X36" t="str">
        <f>Heroes!$J36</f>
        <v>Burst</v>
      </c>
      <c r="Y36">
        <f>IF($A$1="",0,MAX(IF(W36&lt;&gt;"",IFERROR(INDEX('Data-Input'!$B$164:$W$185,MATCH(W36,'Data-Input'!$A$164:$A$185,0),MATCH($K$1,'Data-Input'!$B$163:$W$163,0)),0),0),IF(AND(W36&lt;&gt;"",$L$1&lt;&gt;""),IFERROR(INDEX('Data-Input'!$B$164:$W$185,MATCH(W36,'Data-Input'!$A$164:$A$185,0),MATCH($L$1,'Data-Input'!$B$163:$W$163,0)),0),0),IF(X36&lt;&gt;"",IFERROR(INDEX('Data-Input'!$B$164:$W$185,MATCH(X36,'Data-Input'!$A$164:$A$185,0),MATCH($K$1,'Data-Input'!$B$163:$W$163,0)),0),0),IF(AND(X36&lt;&gt;"",$L$1&lt;&gt;""),IFERROR(INDEX('Data-Input'!$B$164:$W$185,MATCH(X36,'Data-Input'!$A$164:$A$185,0),MATCH($L$1,'Data-Input'!$B$163:$W$163,0)),0),0))*$M$1)</f>
        <v>0</v>
      </c>
      <c r="Z36">
        <f>IF($A$1="",0,SUMPRODUCT(('Data-Input'!$A$29:$A$128=A36)*('Data-Input'!$B$29:$B$128="Tag")*((('Data-Input'!$C$29:$C$128=$K$1)+('Data-Input'!$C$29:$C$128=$L$1))&gt;0)*('Data-Input'!$D$29:$D$128-'Data-Input'!$E$29:$E$128))+SUMPRODUCT(('Data-Input'!$A$29:$A$128=A36)*('Data-Input'!$B$29:$B$128="Hero")*('Data-Input'!$C$29:$C$128=$A$1)*('Data-Input'!$D$29:$D$128-'Data-Input'!$E$29:$E$128)))</f>
        <v>0</v>
      </c>
    </row>
    <row r="37" spans="1:26" ht="15" customHeight="1" x14ac:dyDescent="0.3">
      <c r="A37" t="str">
        <f>Heroes!$B37</f>
        <v>Aurora</v>
      </c>
      <c r="B37" t="str">
        <f>Heroes!$C37</f>
        <v>Mage</v>
      </c>
      <c r="C37">
        <f>Heroes!$D37</f>
        <v>0</v>
      </c>
      <c r="D37">
        <f>Heroes!$E37</f>
        <v>70</v>
      </c>
      <c r="E37">
        <f>Heroes!$F37</f>
        <v>100</v>
      </c>
      <c r="F37">
        <f>Heroes!$H37</f>
        <v>10</v>
      </c>
      <c r="G37" t="str">
        <f>Heroes!$K37</f>
        <v>Magic</v>
      </c>
      <c r="H37">
        <f>Heroes!$Q37</f>
        <v>3</v>
      </c>
      <c r="I37">
        <f>IFERROR(INDEX('Data-Input'!$B$19:$G$24,MATCH(B37,'Data-Input'!$A$19:$A$24,0),MATCH($B$1,'Data-Input'!$B$18:$G$18,0)),0)</f>
        <v>0</v>
      </c>
      <c r="J37">
        <f>IF(C37&lt;&gt;"",IFERROR(INDEX('Data-Input'!$B$19:$G$24,MATCH(C37,'Data-Input'!$A$19:$A$24,0),MATCH($B$1,'Data-Input'!$B$18:$G$18,0)),0),I37)</f>
        <v>0</v>
      </c>
      <c r="K37">
        <f t="shared" si="10"/>
        <v>0</v>
      </c>
      <c r="L37">
        <f t="shared" si="11"/>
        <v>8.5</v>
      </c>
      <c r="M37">
        <f t="shared" si="12"/>
        <v>10</v>
      </c>
      <c r="N37">
        <f t="shared" si="13"/>
        <v>0</v>
      </c>
      <c r="O37">
        <f t="shared" si="14"/>
        <v>3</v>
      </c>
      <c r="P37">
        <f t="shared" si="15"/>
        <v>9</v>
      </c>
      <c r="Q37">
        <f t="shared" si="16"/>
        <v>20.5</v>
      </c>
      <c r="R37">
        <f>IFERROR(INDEX('Data-Input'!$C$190:$C$1189,MATCH(A37&amp;"|"&amp;$A$1,'Data-Input'!$E$190:$E$1189,0)),Q37)</f>
        <v>20.5</v>
      </c>
      <c r="S37">
        <f t="shared" si="17"/>
        <v>20.5</v>
      </c>
      <c r="T37">
        <f t="shared" si="18"/>
        <v>20.500003700000001</v>
      </c>
      <c r="U37" t="str">
        <f>Heroes!$M37</f>
        <v>Mid Lane</v>
      </c>
      <c r="V37">
        <f t="shared" si="19"/>
        <v>-1000000000000000</v>
      </c>
      <c r="W37" t="str">
        <f>Heroes!$I37</f>
        <v>Hard CC</v>
      </c>
      <c r="X37" t="str">
        <f>Heroes!$J37</f>
        <v>Burst</v>
      </c>
      <c r="Y37">
        <f>IF($A$1="",0,MAX(IF(W37&lt;&gt;"",IFERROR(INDEX('Data-Input'!$B$164:$W$185,MATCH(W37,'Data-Input'!$A$164:$A$185,0),MATCH($K$1,'Data-Input'!$B$163:$W$163,0)),0),0),IF(AND(W37&lt;&gt;"",$L$1&lt;&gt;""),IFERROR(INDEX('Data-Input'!$B$164:$W$185,MATCH(W37,'Data-Input'!$A$164:$A$185,0),MATCH($L$1,'Data-Input'!$B$163:$W$163,0)),0),0),IF(X37&lt;&gt;"",IFERROR(INDEX('Data-Input'!$B$164:$W$185,MATCH(X37,'Data-Input'!$A$164:$A$185,0),MATCH($K$1,'Data-Input'!$B$163:$W$163,0)),0),0),IF(AND(X37&lt;&gt;"",$L$1&lt;&gt;""),IFERROR(INDEX('Data-Input'!$B$164:$W$185,MATCH(X37,'Data-Input'!$A$164:$A$185,0),MATCH($L$1,'Data-Input'!$B$163:$W$163,0)),0),0))*$M$1)</f>
        <v>0</v>
      </c>
      <c r="Z37">
        <f>IF($A$1="",0,SUMPRODUCT(('Data-Input'!$A$29:$A$128=A37)*('Data-Input'!$B$29:$B$128="Tag")*((('Data-Input'!$C$29:$C$128=$K$1)+('Data-Input'!$C$29:$C$128=$L$1))&gt;0)*('Data-Input'!$D$29:$D$128-'Data-Input'!$E$29:$E$128))+SUMPRODUCT(('Data-Input'!$A$29:$A$128=A37)*('Data-Input'!$B$29:$B$128="Hero")*('Data-Input'!$C$29:$C$128=$A$1)*('Data-Input'!$D$29:$D$128-'Data-Input'!$E$29:$E$128)))</f>
        <v>0</v>
      </c>
    </row>
    <row r="38" spans="1:26" ht="15" customHeight="1" x14ac:dyDescent="0.3">
      <c r="A38" t="str">
        <f>Heroes!$B38</f>
        <v>Lapu-Lapu</v>
      </c>
      <c r="B38" t="str">
        <f>Heroes!$C38</f>
        <v>Fighter</v>
      </c>
      <c r="C38">
        <f>Heroes!$D38</f>
        <v>0</v>
      </c>
      <c r="D38">
        <f>Heroes!$E38</f>
        <v>40</v>
      </c>
      <c r="E38">
        <f>Heroes!$F38</f>
        <v>40</v>
      </c>
      <c r="F38">
        <f>Heroes!$H38</f>
        <v>50</v>
      </c>
      <c r="G38" t="str">
        <f>Heroes!$K38</f>
        <v>Physical</v>
      </c>
      <c r="H38">
        <f>Heroes!$Q38</f>
        <v>3</v>
      </c>
      <c r="I38">
        <f>IFERROR(INDEX('Data-Input'!$B$19:$G$24,MATCH(B38,'Data-Input'!$A$19:$A$24,0),MATCH($B$1,'Data-Input'!$B$18:$G$18,0)),0)</f>
        <v>0</v>
      </c>
      <c r="J38">
        <f>IF(C38&lt;&gt;"",IFERROR(INDEX('Data-Input'!$B$19:$G$24,MATCH(C38,'Data-Input'!$A$19:$A$24,0),MATCH($B$1,'Data-Input'!$B$18:$G$18,0)),0),I38)</f>
        <v>0</v>
      </c>
      <c r="K38">
        <f t="shared" si="10"/>
        <v>0</v>
      </c>
      <c r="L38">
        <f t="shared" si="11"/>
        <v>4</v>
      </c>
      <c r="M38">
        <f t="shared" si="12"/>
        <v>50</v>
      </c>
      <c r="N38">
        <f t="shared" si="13"/>
        <v>15</v>
      </c>
      <c r="O38">
        <f t="shared" si="14"/>
        <v>3</v>
      </c>
      <c r="P38">
        <f t="shared" si="15"/>
        <v>9</v>
      </c>
      <c r="Q38">
        <f t="shared" si="16"/>
        <v>31</v>
      </c>
      <c r="R38">
        <f>IFERROR(INDEX('Data-Input'!$C$190:$C$1189,MATCH(A38&amp;"|"&amp;$A$1,'Data-Input'!$E$190:$E$1189,0)),Q38)</f>
        <v>31</v>
      </c>
      <c r="S38">
        <f t="shared" si="17"/>
        <v>31</v>
      </c>
      <c r="T38">
        <f t="shared" si="18"/>
        <v>31.000003800000002</v>
      </c>
      <c r="U38" t="str">
        <f>Heroes!$M38</f>
        <v>EXP Lane</v>
      </c>
      <c r="V38">
        <f t="shared" si="19"/>
        <v>-1000000000000000</v>
      </c>
      <c r="W38" t="str">
        <f>Heroes!$I38</f>
        <v>Shield</v>
      </c>
      <c r="X38" t="str">
        <f>Heroes!$J38</f>
        <v>AoE Damage</v>
      </c>
      <c r="Y38">
        <f>IF($A$1="",0,MAX(IF(W38&lt;&gt;"",IFERROR(INDEX('Data-Input'!$B$164:$W$185,MATCH(W38,'Data-Input'!$A$164:$A$185,0),MATCH($K$1,'Data-Input'!$B$163:$W$163,0)),0),0),IF(AND(W38&lt;&gt;"",$L$1&lt;&gt;""),IFERROR(INDEX('Data-Input'!$B$164:$W$185,MATCH(W38,'Data-Input'!$A$164:$A$185,0),MATCH($L$1,'Data-Input'!$B$163:$W$163,0)),0),0),IF(X38&lt;&gt;"",IFERROR(INDEX('Data-Input'!$B$164:$W$185,MATCH(X38,'Data-Input'!$A$164:$A$185,0),MATCH($K$1,'Data-Input'!$B$163:$W$163,0)),0),0),IF(AND(X38&lt;&gt;"",$L$1&lt;&gt;""),IFERROR(INDEX('Data-Input'!$B$164:$W$185,MATCH(X38,'Data-Input'!$A$164:$A$185,0),MATCH($L$1,'Data-Input'!$B$163:$W$163,0)),0),0))*$M$1)</f>
        <v>0</v>
      </c>
      <c r="Z38">
        <f>IF($A$1="",0,SUMPRODUCT(('Data-Input'!$A$29:$A$128=A38)*('Data-Input'!$B$29:$B$128="Tag")*((('Data-Input'!$C$29:$C$128=$K$1)+('Data-Input'!$C$29:$C$128=$L$1))&gt;0)*('Data-Input'!$D$29:$D$128-'Data-Input'!$E$29:$E$128))+SUMPRODUCT(('Data-Input'!$A$29:$A$128=A38)*('Data-Input'!$B$29:$B$128="Hero")*('Data-Input'!$C$29:$C$128=$A$1)*('Data-Input'!$D$29:$D$128-'Data-Input'!$E$29:$E$128)))</f>
        <v>0</v>
      </c>
    </row>
    <row r="39" spans="1:26" ht="15" customHeight="1" x14ac:dyDescent="0.3">
      <c r="A39" t="str">
        <f>Heroes!$B39</f>
        <v>Vexana</v>
      </c>
      <c r="B39" t="str">
        <f>Heroes!$C39</f>
        <v>Mage</v>
      </c>
      <c r="C39">
        <f>Heroes!$D39</f>
        <v>0</v>
      </c>
      <c r="D39">
        <f>Heroes!$E39</f>
        <v>90</v>
      </c>
      <c r="E39">
        <f>Heroes!$F39</f>
        <v>50</v>
      </c>
      <c r="F39">
        <f>Heroes!$H39</f>
        <v>10</v>
      </c>
      <c r="G39" t="str">
        <f>Heroes!$K39</f>
        <v>Magic</v>
      </c>
      <c r="H39">
        <f>Heroes!$Q39</f>
        <v>3</v>
      </c>
      <c r="I39">
        <f>IFERROR(INDEX('Data-Input'!$B$19:$G$24,MATCH(B39,'Data-Input'!$A$19:$A$24,0),MATCH($B$1,'Data-Input'!$B$18:$G$18,0)),0)</f>
        <v>0</v>
      </c>
      <c r="J39">
        <f>IF(C39&lt;&gt;"",IFERROR(INDEX('Data-Input'!$B$19:$G$24,MATCH(C39,'Data-Input'!$A$19:$A$24,0),MATCH($B$1,'Data-Input'!$B$18:$G$18,0)),0),I39)</f>
        <v>0</v>
      </c>
      <c r="K39">
        <f t="shared" si="10"/>
        <v>0</v>
      </c>
      <c r="L39">
        <f t="shared" si="11"/>
        <v>7</v>
      </c>
      <c r="M39">
        <f t="shared" si="12"/>
        <v>10</v>
      </c>
      <c r="N39">
        <f t="shared" si="13"/>
        <v>0</v>
      </c>
      <c r="O39">
        <f t="shared" si="14"/>
        <v>3</v>
      </c>
      <c r="P39">
        <f t="shared" si="15"/>
        <v>9</v>
      </c>
      <c r="Q39">
        <f t="shared" si="16"/>
        <v>19</v>
      </c>
      <c r="R39">
        <f>IFERROR(INDEX('Data-Input'!$C$190:$C$1189,MATCH(A39&amp;"|"&amp;$A$1,'Data-Input'!$E$190:$E$1189,0)),Q39)</f>
        <v>19</v>
      </c>
      <c r="S39">
        <f t="shared" si="17"/>
        <v>19</v>
      </c>
      <c r="T39">
        <f t="shared" si="18"/>
        <v>19.000003899999999</v>
      </c>
      <c r="U39" t="str">
        <f>Heroes!$M39</f>
        <v>Mid Lane</v>
      </c>
      <c r="V39">
        <f t="shared" si="19"/>
        <v>-1000000000000000</v>
      </c>
      <c r="W39" t="str">
        <f>Heroes!$I39</f>
        <v>Summoner</v>
      </c>
      <c r="X39" t="str">
        <f>Heroes!$J39</f>
        <v>AoE CC</v>
      </c>
      <c r="Y39">
        <f>IF($A$1="",0,MAX(IF(W39&lt;&gt;"",IFERROR(INDEX('Data-Input'!$B$164:$W$185,MATCH(W39,'Data-Input'!$A$164:$A$185,0),MATCH($K$1,'Data-Input'!$B$163:$W$163,0)),0),0),IF(AND(W39&lt;&gt;"",$L$1&lt;&gt;""),IFERROR(INDEX('Data-Input'!$B$164:$W$185,MATCH(W39,'Data-Input'!$A$164:$A$185,0),MATCH($L$1,'Data-Input'!$B$163:$W$163,0)),0),0),IF(X39&lt;&gt;"",IFERROR(INDEX('Data-Input'!$B$164:$W$185,MATCH(X39,'Data-Input'!$A$164:$A$185,0),MATCH($K$1,'Data-Input'!$B$163:$W$163,0)),0),0),IF(AND(X39&lt;&gt;"",$L$1&lt;&gt;""),IFERROR(INDEX('Data-Input'!$B$164:$W$185,MATCH(X39,'Data-Input'!$A$164:$A$185,0),MATCH($L$1,'Data-Input'!$B$163:$W$163,0)),0),0))*$M$1)</f>
        <v>0</v>
      </c>
      <c r="Z39">
        <f>IF($A$1="",0,SUMPRODUCT(('Data-Input'!$A$29:$A$128=A39)*('Data-Input'!$B$29:$B$128="Tag")*((('Data-Input'!$C$29:$C$128=$K$1)+('Data-Input'!$C$29:$C$128=$L$1))&gt;0)*('Data-Input'!$D$29:$D$128-'Data-Input'!$E$29:$E$128))+SUMPRODUCT(('Data-Input'!$A$29:$A$128=A39)*('Data-Input'!$B$29:$B$128="Hero")*('Data-Input'!$C$29:$C$128=$A$1)*('Data-Input'!$D$29:$D$128-'Data-Input'!$E$29:$E$128)))</f>
        <v>0</v>
      </c>
    </row>
    <row r="40" spans="1:26" ht="15" customHeight="1" x14ac:dyDescent="0.3">
      <c r="A40" t="str">
        <f>Heroes!$B40</f>
        <v>Roger</v>
      </c>
      <c r="B40" t="str">
        <f>Heroes!$C40</f>
        <v>Fighter</v>
      </c>
      <c r="C40" t="str">
        <f>Heroes!$D40</f>
        <v>Marksman</v>
      </c>
      <c r="D40">
        <f>Heroes!$E40</f>
        <v>40</v>
      </c>
      <c r="E40">
        <f>Heroes!$F40</f>
        <v>10</v>
      </c>
      <c r="F40">
        <f>Heroes!$H40</f>
        <v>50</v>
      </c>
      <c r="G40" t="str">
        <f>Heroes!$K40</f>
        <v>Physical</v>
      </c>
      <c r="H40">
        <f>Heroes!$Q40</f>
        <v>3</v>
      </c>
      <c r="I40">
        <f>IFERROR(INDEX('Data-Input'!$B$19:$G$24,MATCH(B40,'Data-Input'!$A$19:$A$24,0),MATCH($B$1,'Data-Input'!$B$18:$G$18,0)),0)</f>
        <v>0</v>
      </c>
      <c r="J40">
        <f>IF(C40&lt;&gt;"",IFERROR(INDEX('Data-Input'!$B$19:$G$24,MATCH(C40,'Data-Input'!$A$19:$A$24,0),MATCH($B$1,'Data-Input'!$B$18:$G$18,0)),0),I40)</f>
        <v>0</v>
      </c>
      <c r="K40">
        <f t="shared" si="10"/>
        <v>0</v>
      </c>
      <c r="L40">
        <f t="shared" si="11"/>
        <v>2.5</v>
      </c>
      <c r="M40">
        <f t="shared" si="12"/>
        <v>50</v>
      </c>
      <c r="N40">
        <f t="shared" si="13"/>
        <v>15</v>
      </c>
      <c r="O40">
        <f t="shared" si="14"/>
        <v>3</v>
      </c>
      <c r="P40">
        <f t="shared" si="15"/>
        <v>9</v>
      </c>
      <c r="Q40">
        <f t="shared" si="16"/>
        <v>29.5</v>
      </c>
      <c r="R40">
        <f>IFERROR(INDEX('Data-Input'!$C$190:$C$1189,MATCH(A40&amp;"|"&amp;$A$1,'Data-Input'!$E$190:$E$1189,0)),Q40)</f>
        <v>29.5</v>
      </c>
      <c r="S40">
        <f t="shared" si="17"/>
        <v>29.5</v>
      </c>
      <c r="T40">
        <f t="shared" si="18"/>
        <v>29.500004000000001</v>
      </c>
      <c r="U40" t="str">
        <f>Heroes!$M40</f>
        <v>Jungle</v>
      </c>
      <c r="V40">
        <f t="shared" si="19"/>
        <v>-1000000000000000</v>
      </c>
      <c r="W40" t="str">
        <f>Heroes!$I40</f>
        <v>DPS</v>
      </c>
      <c r="X40" t="str">
        <f>Heroes!$J40</f>
        <v>Mobility</v>
      </c>
      <c r="Y40">
        <f>IF($A$1="",0,MAX(IF(W40&lt;&gt;"",IFERROR(INDEX('Data-Input'!$B$164:$W$185,MATCH(W40,'Data-Input'!$A$164:$A$185,0),MATCH($K$1,'Data-Input'!$B$163:$W$163,0)),0),0),IF(AND(W40&lt;&gt;"",$L$1&lt;&gt;""),IFERROR(INDEX('Data-Input'!$B$164:$W$185,MATCH(W40,'Data-Input'!$A$164:$A$185,0),MATCH($L$1,'Data-Input'!$B$163:$W$163,0)),0),0),IF(X40&lt;&gt;"",IFERROR(INDEX('Data-Input'!$B$164:$W$185,MATCH(X40,'Data-Input'!$A$164:$A$185,0),MATCH($K$1,'Data-Input'!$B$163:$W$163,0)),0),0),IF(AND(X40&lt;&gt;"",$L$1&lt;&gt;""),IFERROR(INDEX('Data-Input'!$B$164:$W$185,MATCH(X40,'Data-Input'!$A$164:$A$185,0),MATCH($L$1,'Data-Input'!$B$163:$W$163,0)),0),0))*$M$1)</f>
        <v>0</v>
      </c>
      <c r="Z40">
        <f>IF($A$1="",0,SUMPRODUCT(('Data-Input'!$A$29:$A$128=A40)*('Data-Input'!$B$29:$B$128="Tag")*((('Data-Input'!$C$29:$C$128=$K$1)+('Data-Input'!$C$29:$C$128=$L$1))&gt;0)*('Data-Input'!$D$29:$D$128-'Data-Input'!$E$29:$E$128))+SUMPRODUCT(('Data-Input'!$A$29:$A$128=A40)*('Data-Input'!$B$29:$B$128="Hero")*('Data-Input'!$C$29:$C$128=$A$1)*('Data-Input'!$D$29:$D$128-'Data-Input'!$E$29:$E$128)))</f>
        <v>0</v>
      </c>
    </row>
    <row r="41" spans="1:26" ht="15" customHeight="1" x14ac:dyDescent="0.3">
      <c r="A41" t="str">
        <f>Heroes!$B41</f>
        <v>Karrie</v>
      </c>
      <c r="B41" t="str">
        <f>Heroes!$C41</f>
        <v>Marksman</v>
      </c>
      <c r="C41">
        <f>Heroes!$D41</f>
        <v>0</v>
      </c>
      <c r="D41">
        <f>Heroes!$E41</f>
        <v>80</v>
      </c>
      <c r="E41">
        <f>Heroes!$F41</f>
        <v>10</v>
      </c>
      <c r="F41">
        <f>Heroes!$H41</f>
        <v>40</v>
      </c>
      <c r="G41" t="str">
        <f>Heroes!$K41</f>
        <v>Physical</v>
      </c>
      <c r="H41">
        <f>Heroes!$Q41</f>
        <v>5</v>
      </c>
      <c r="I41">
        <f>IFERROR(INDEX('Data-Input'!$B$19:$G$24,MATCH(B41,'Data-Input'!$A$19:$A$24,0),MATCH($B$1,'Data-Input'!$B$18:$G$18,0)),0)</f>
        <v>0</v>
      </c>
      <c r="J41">
        <f>IF(C41&lt;&gt;"",IFERROR(INDEX('Data-Input'!$B$19:$G$24,MATCH(C41,'Data-Input'!$A$19:$A$24,0),MATCH($B$1,'Data-Input'!$B$18:$G$18,0)),0),I41)</f>
        <v>0</v>
      </c>
      <c r="K41">
        <f t="shared" si="10"/>
        <v>0</v>
      </c>
      <c r="L41">
        <f t="shared" si="11"/>
        <v>4.5</v>
      </c>
      <c r="M41">
        <f t="shared" si="12"/>
        <v>40</v>
      </c>
      <c r="N41">
        <f t="shared" si="13"/>
        <v>12</v>
      </c>
      <c r="O41">
        <f t="shared" si="14"/>
        <v>3</v>
      </c>
      <c r="P41">
        <f t="shared" si="15"/>
        <v>15</v>
      </c>
      <c r="Q41">
        <f t="shared" si="16"/>
        <v>34.5</v>
      </c>
      <c r="R41">
        <f>IFERROR(INDEX('Data-Input'!$C$190:$C$1189,MATCH(A41&amp;"|"&amp;$A$1,'Data-Input'!$E$190:$E$1189,0)),Q41)</f>
        <v>34.5</v>
      </c>
      <c r="S41">
        <f t="shared" si="17"/>
        <v>34.5</v>
      </c>
      <c r="T41">
        <f t="shared" si="18"/>
        <v>34.500004099999998</v>
      </c>
      <c r="U41" t="str">
        <f>Heroes!$M41</f>
        <v>Gold Lane</v>
      </c>
      <c r="V41">
        <f t="shared" si="19"/>
        <v>-1000000000000000</v>
      </c>
      <c r="W41" t="str">
        <f>Heroes!$I41</f>
        <v>True Damage</v>
      </c>
      <c r="X41" t="str">
        <f>Heroes!$J41</f>
        <v>DPS</v>
      </c>
      <c r="Y41">
        <f>IF($A$1="",0,MAX(IF(W41&lt;&gt;"",IFERROR(INDEX('Data-Input'!$B$164:$W$185,MATCH(W41,'Data-Input'!$A$164:$A$185,0),MATCH($K$1,'Data-Input'!$B$163:$W$163,0)),0),0),IF(AND(W41&lt;&gt;"",$L$1&lt;&gt;""),IFERROR(INDEX('Data-Input'!$B$164:$W$185,MATCH(W41,'Data-Input'!$A$164:$A$185,0),MATCH($L$1,'Data-Input'!$B$163:$W$163,0)),0),0),IF(X41&lt;&gt;"",IFERROR(INDEX('Data-Input'!$B$164:$W$185,MATCH(X41,'Data-Input'!$A$164:$A$185,0),MATCH($K$1,'Data-Input'!$B$163:$W$163,0)),0),0),IF(AND(X41&lt;&gt;"",$L$1&lt;&gt;""),IFERROR(INDEX('Data-Input'!$B$164:$W$185,MATCH(X41,'Data-Input'!$A$164:$A$185,0),MATCH($L$1,'Data-Input'!$B$163:$W$163,0)),0),0))*$M$1)</f>
        <v>0</v>
      </c>
      <c r="Z41">
        <f>IF($A$1="",0,SUMPRODUCT(('Data-Input'!$A$29:$A$128=A41)*('Data-Input'!$B$29:$B$128="Tag")*((('Data-Input'!$C$29:$C$128=$K$1)+('Data-Input'!$C$29:$C$128=$L$1))&gt;0)*('Data-Input'!$D$29:$D$128-'Data-Input'!$E$29:$E$128))+SUMPRODUCT(('Data-Input'!$A$29:$A$128=A41)*('Data-Input'!$B$29:$B$128="Hero")*('Data-Input'!$C$29:$C$128=$A$1)*('Data-Input'!$D$29:$D$128-'Data-Input'!$E$29:$E$128)))</f>
        <v>0</v>
      </c>
    </row>
    <row r="42" spans="1:26" ht="15" customHeight="1" x14ac:dyDescent="0.3">
      <c r="A42" t="str">
        <f>Heroes!$B42</f>
        <v>Gatotkaca</v>
      </c>
      <c r="B42" t="str">
        <f>Heroes!$C42</f>
        <v>Tank</v>
      </c>
      <c r="C42" t="str">
        <f>Heroes!$D42</f>
        <v>Fighter</v>
      </c>
      <c r="D42">
        <f>Heroes!$E42</f>
        <v>30</v>
      </c>
      <c r="E42">
        <f>Heroes!$F42</f>
        <v>90</v>
      </c>
      <c r="F42">
        <f>Heroes!$H42</f>
        <v>10</v>
      </c>
      <c r="G42" t="str">
        <f>Heroes!$K42</f>
        <v>Magic</v>
      </c>
      <c r="H42">
        <f>Heroes!$Q42</f>
        <v>3</v>
      </c>
      <c r="I42">
        <f>IFERROR(INDEX('Data-Input'!$B$19:$G$24,MATCH(B42,'Data-Input'!$A$19:$A$24,0),MATCH($B$1,'Data-Input'!$B$18:$G$18,0)),0)</f>
        <v>0</v>
      </c>
      <c r="J42">
        <f>IF(C42&lt;&gt;"",IFERROR(INDEX('Data-Input'!$B$19:$G$24,MATCH(C42,'Data-Input'!$A$19:$A$24,0),MATCH($B$1,'Data-Input'!$B$18:$G$18,0)),0),I42)</f>
        <v>0</v>
      </c>
      <c r="K42">
        <f t="shared" si="10"/>
        <v>0</v>
      </c>
      <c r="L42">
        <f t="shared" si="11"/>
        <v>6</v>
      </c>
      <c r="M42">
        <f t="shared" si="12"/>
        <v>10</v>
      </c>
      <c r="N42">
        <f t="shared" si="13"/>
        <v>0</v>
      </c>
      <c r="O42">
        <f t="shared" si="14"/>
        <v>3</v>
      </c>
      <c r="P42">
        <f t="shared" si="15"/>
        <v>9</v>
      </c>
      <c r="Q42">
        <f t="shared" si="16"/>
        <v>18</v>
      </c>
      <c r="R42">
        <f>IFERROR(INDEX('Data-Input'!$C$190:$C$1189,MATCH(A42&amp;"|"&amp;$A$1,'Data-Input'!$E$190:$E$1189,0)),Q42)</f>
        <v>18</v>
      </c>
      <c r="S42">
        <f t="shared" si="17"/>
        <v>18</v>
      </c>
      <c r="T42">
        <f t="shared" si="18"/>
        <v>18.000004199999999</v>
      </c>
      <c r="U42" t="str">
        <f>Heroes!$M42</f>
        <v>Roaming</v>
      </c>
      <c r="V42">
        <f t="shared" si="19"/>
        <v>-1000000000000000</v>
      </c>
      <c r="W42" t="str">
        <f>Heroes!$I42</f>
        <v>AoE CC</v>
      </c>
      <c r="X42" t="str">
        <f>Heroes!$J42</f>
        <v>Damage Reduction</v>
      </c>
      <c r="Y42">
        <f>IF($A$1="",0,MAX(IF(W42&lt;&gt;"",IFERROR(INDEX('Data-Input'!$B$164:$W$185,MATCH(W42,'Data-Input'!$A$164:$A$185,0),MATCH($K$1,'Data-Input'!$B$163:$W$163,0)),0),0),IF(AND(W42&lt;&gt;"",$L$1&lt;&gt;""),IFERROR(INDEX('Data-Input'!$B$164:$W$185,MATCH(W42,'Data-Input'!$A$164:$A$185,0),MATCH($L$1,'Data-Input'!$B$163:$W$163,0)),0),0),IF(X42&lt;&gt;"",IFERROR(INDEX('Data-Input'!$B$164:$W$185,MATCH(X42,'Data-Input'!$A$164:$A$185,0),MATCH($K$1,'Data-Input'!$B$163:$W$163,0)),0),0),IF(AND(X42&lt;&gt;"",$L$1&lt;&gt;""),IFERROR(INDEX('Data-Input'!$B$164:$W$185,MATCH(X42,'Data-Input'!$A$164:$A$185,0),MATCH($L$1,'Data-Input'!$B$163:$W$163,0)),0),0))*$M$1)</f>
        <v>0</v>
      </c>
      <c r="Z42">
        <f>IF($A$1="",0,SUMPRODUCT(('Data-Input'!$A$29:$A$128=A42)*('Data-Input'!$B$29:$B$128="Tag")*((('Data-Input'!$C$29:$C$128=$K$1)+('Data-Input'!$C$29:$C$128=$L$1))&gt;0)*('Data-Input'!$D$29:$D$128-'Data-Input'!$E$29:$E$128))+SUMPRODUCT(('Data-Input'!$A$29:$A$128=A42)*('Data-Input'!$B$29:$B$128="Hero")*('Data-Input'!$C$29:$C$128=$A$1)*('Data-Input'!$D$29:$D$128-'Data-Input'!$E$29:$E$128)))</f>
        <v>0</v>
      </c>
    </row>
    <row r="43" spans="1:26" ht="15" customHeight="1" x14ac:dyDescent="0.3">
      <c r="A43" t="str">
        <f>Heroes!$B43</f>
        <v>Harley</v>
      </c>
      <c r="B43" t="str">
        <f>Heroes!$C43</f>
        <v>Assassin</v>
      </c>
      <c r="C43" t="str">
        <f>Heroes!$D43</f>
        <v>Mage</v>
      </c>
      <c r="D43">
        <f>Heroes!$E43</f>
        <v>90</v>
      </c>
      <c r="E43">
        <f>Heroes!$F43</f>
        <v>10</v>
      </c>
      <c r="F43">
        <f>Heroes!$H43</f>
        <v>60</v>
      </c>
      <c r="G43" t="str">
        <f>Heroes!$K43</f>
        <v>Magic</v>
      </c>
      <c r="H43">
        <f>Heroes!$Q43</f>
        <v>2</v>
      </c>
      <c r="I43">
        <f>IFERROR(INDEX('Data-Input'!$B$19:$G$24,MATCH(B43,'Data-Input'!$A$19:$A$24,0),MATCH($B$1,'Data-Input'!$B$18:$G$18,0)),0)</f>
        <v>0</v>
      </c>
      <c r="J43">
        <f>IF(C43&lt;&gt;"",IFERROR(INDEX('Data-Input'!$B$19:$G$24,MATCH(C43,'Data-Input'!$A$19:$A$24,0),MATCH($B$1,'Data-Input'!$B$18:$G$18,0)),0),I43)</f>
        <v>0</v>
      </c>
      <c r="K43">
        <f t="shared" si="10"/>
        <v>0</v>
      </c>
      <c r="L43">
        <f t="shared" si="11"/>
        <v>5</v>
      </c>
      <c r="M43">
        <f t="shared" si="12"/>
        <v>60</v>
      </c>
      <c r="N43">
        <f t="shared" si="13"/>
        <v>18</v>
      </c>
      <c r="O43">
        <f t="shared" si="14"/>
        <v>3</v>
      </c>
      <c r="P43">
        <f t="shared" si="15"/>
        <v>6</v>
      </c>
      <c r="Q43">
        <f t="shared" si="16"/>
        <v>32</v>
      </c>
      <c r="R43">
        <f>IFERROR(INDEX('Data-Input'!$C$190:$C$1189,MATCH(A43&amp;"|"&amp;$A$1,'Data-Input'!$E$190:$E$1189,0)),Q43)</f>
        <v>32</v>
      </c>
      <c r="S43">
        <f t="shared" si="17"/>
        <v>32</v>
      </c>
      <c r="T43">
        <f t="shared" si="18"/>
        <v>32.000004300000001</v>
      </c>
      <c r="U43" t="str">
        <f>Heroes!$M43</f>
        <v>Jungle</v>
      </c>
      <c r="V43">
        <f t="shared" si="19"/>
        <v>-1000000000000000</v>
      </c>
      <c r="W43" t="str">
        <f>Heroes!$I43</f>
        <v>Burst</v>
      </c>
      <c r="X43" t="str">
        <f>Heroes!$J43</f>
        <v>Poke</v>
      </c>
      <c r="Y43">
        <f>IF($A$1="",0,MAX(IF(W43&lt;&gt;"",IFERROR(INDEX('Data-Input'!$B$164:$W$185,MATCH(W43,'Data-Input'!$A$164:$A$185,0),MATCH($K$1,'Data-Input'!$B$163:$W$163,0)),0),0),IF(AND(W43&lt;&gt;"",$L$1&lt;&gt;""),IFERROR(INDEX('Data-Input'!$B$164:$W$185,MATCH(W43,'Data-Input'!$A$164:$A$185,0),MATCH($L$1,'Data-Input'!$B$163:$W$163,0)),0),0),IF(X43&lt;&gt;"",IFERROR(INDEX('Data-Input'!$B$164:$W$185,MATCH(X43,'Data-Input'!$A$164:$A$185,0),MATCH($K$1,'Data-Input'!$B$163:$W$163,0)),0),0),IF(AND(X43&lt;&gt;"",$L$1&lt;&gt;""),IFERROR(INDEX('Data-Input'!$B$164:$W$185,MATCH(X43,'Data-Input'!$A$164:$A$185,0),MATCH($L$1,'Data-Input'!$B$163:$W$163,0)),0),0))*$M$1)</f>
        <v>0</v>
      </c>
      <c r="Z43">
        <f>IF($A$1="",0,SUMPRODUCT(('Data-Input'!$A$29:$A$128=A43)*('Data-Input'!$B$29:$B$128="Tag")*((('Data-Input'!$C$29:$C$128=$K$1)+('Data-Input'!$C$29:$C$128=$L$1))&gt;0)*('Data-Input'!$D$29:$D$128-'Data-Input'!$E$29:$E$128))+SUMPRODUCT(('Data-Input'!$A$29:$A$128=A43)*('Data-Input'!$B$29:$B$128="Hero")*('Data-Input'!$C$29:$C$128=$A$1)*('Data-Input'!$D$29:$D$128-'Data-Input'!$E$29:$E$128)))</f>
        <v>0</v>
      </c>
    </row>
    <row r="44" spans="1:26" ht="15" customHeight="1" x14ac:dyDescent="0.3">
      <c r="A44" t="str">
        <f>Heroes!$B44</f>
        <v>Irithel</v>
      </c>
      <c r="B44" t="str">
        <f>Heroes!$C44</f>
        <v>Marksman</v>
      </c>
      <c r="C44">
        <f>Heroes!$D44</f>
        <v>0</v>
      </c>
      <c r="D44">
        <f>Heroes!$E44</f>
        <v>80</v>
      </c>
      <c r="E44">
        <f>Heroes!$F44</f>
        <v>10</v>
      </c>
      <c r="F44">
        <f>Heroes!$H44</f>
        <v>50</v>
      </c>
      <c r="G44" t="str">
        <f>Heroes!$K44</f>
        <v>Physical</v>
      </c>
      <c r="H44">
        <f>Heroes!$Q44</f>
        <v>5</v>
      </c>
      <c r="I44">
        <f>IFERROR(INDEX('Data-Input'!$B$19:$G$24,MATCH(B44,'Data-Input'!$A$19:$A$24,0),MATCH($B$1,'Data-Input'!$B$18:$G$18,0)),0)</f>
        <v>0</v>
      </c>
      <c r="J44">
        <f>IF(C44&lt;&gt;"",IFERROR(INDEX('Data-Input'!$B$19:$G$24,MATCH(C44,'Data-Input'!$A$19:$A$24,0),MATCH($B$1,'Data-Input'!$B$18:$G$18,0)),0),I44)</f>
        <v>0</v>
      </c>
      <c r="K44">
        <f t="shared" si="10"/>
        <v>0</v>
      </c>
      <c r="L44">
        <f t="shared" si="11"/>
        <v>4.5</v>
      </c>
      <c r="M44">
        <f t="shared" si="12"/>
        <v>50</v>
      </c>
      <c r="N44">
        <f t="shared" si="13"/>
        <v>15</v>
      </c>
      <c r="O44">
        <f t="shared" si="14"/>
        <v>3</v>
      </c>
      <c r="P44">
        <f t="shared" si="15"/>
        <v>15</v>
      </c>
      <c r="Q44">
        <f t="shared" si="16"/>
        <v>37.5</v>
      </c>
      <c r="R44">
        <f>IFERROR(INDEX('Data-Input'!$C$190:$C$1189,MATCH(A44&amp;"|"&amp;$A$1,'Data-Input'!$E$190:$E$1189,0)),Q44)</f>
        <v>37.5</v>
      </c>
      <c r="S44">
        <f t="shared" si="17"/>
        <v>37.5</v>
      </c>
      <c r="T44">
        <f t="shared" si="18"/>
        <v>37.500004400000002</v>
      </c>
      <c r="U44" t="str">
        <f>Heroes!$M44</f>
        <v>Gold Lane</v>
      </c>
      <c r="V44">
        <f t="shared" si="19"/>
        <v>-1000000000000000</v>
      </c>
      <c r="W44" t="str">
        <f>Heroes!$I44</f>
        <v>DPS</v>
      </c>
      <c r="X44" t="str">
        <f>Heroes!$J44</f>
        <v>AoE Damage</v>
      </c>
      <c r="Y44">
        <f>IF($A$1="",0,MAX(IF(W44&lt;&gt;"",IFERROR(INDEX('Data-Input'!$B$164:$W$185,MATCH(W44,'Data-Input'!$A$164:$A$185,0),MATCH($K$1,'Data-Input'!$B$163:$W$163,0)),0),0),IF(AND(W44&lt;&gt;"",$L$1&lt;&gt;""),IFERROR(INDEX('Data-Input'!$B$164:$W$185,MATCH(W44,'Data-Input'!$A$164:$A$185,0),MATCH($L$1,'Data-Input'!$B$163:$W$163,0)),0),0),IF(X44&lt;&gt;"",IFERROR(INDEX('Data-Input'!$B$164:$W$185,MATCH(X44,'Data-Input'!$A$164:$A$185,0),MATCH($K$1,'Data-Input'!$B$163:$W$163,0)),0),0),IF(AND(X44&lt;&gt;"",$L$1&lt;&gt;""),IFERROR(INDEX('Data-Input'!$B$164:$W$185,MATCH(X44,'Data-Input'!$A$164:$A$185,0),MATCH($L$1,'Data-Input'!$B$163:$W$163,0)),0),0))*$M$1)</f>
        <v>0</v>
      </c>
      <c r="Z44">
        <f>IF($A$1="",0,SUMPRODUCT(('Data-Input'!$A$29:$A$128=A44)*('Data-Input'!$B$29:$B$128="Tag")*((('Data-Input'!$C$29:$C$128=$K$1)+('Data-Input'!$C$29:$C$128=$L$1))&gt;0)*('Data-Input'!$D$29:$D$128-'Data-Input'!$E$29:$E$128))+SUMPRODUCT(('Data-Input'!$A$29:$A$128=A44)*('Data-Input'!$B$29:$B$128="Hero")*('Data-Input'!$C$29:$C$128=$A$1)*('Data-Input'!$D$29:$D$128-'Data-Input'!$E$29:$E$128)))</f>
        <v>0</v>
      </c>
    </row>
    <row r="45" spans="1:26" ht="15" customHeight="1" x14ac:dyDescent="0.3">
      <c r="A45" t="str">
        <f>Heroes!$B45</f>
        <v>Grock</v>
      </c>
      <c r="B45" t="str">
        <f>Heroes!$C45</f>
        <v>Tank</v>
      </c>
      <c r="C45" t="str">
        <f>Heroes!$D45</f>
        <v>Fighter</v>
      </c>
      <c r="D45">
        <f>Heroes!$E45</f>
        <v>40</v>
      </c>
      <c r="E45">
        <f>Heroes!$F45</f>
        <v>80</v>
      </c>
      <c r="F45">
        <f>Heroes!$H45</f>
        <v>60</v>
      </c>
      <c r="G45" t="str">
        <f>Heroes!$K45</f>
        <v>Physical</v>
      </c>
      <c r="H45">
        <f>Heroes!$Q45</f>
        <v>2</v>
      </c>
      <c r="I45">
        <f>IFERROR(INDEX('Data-Input'!$B$19:$G$24,MATCH(B45,'Data-Input'!$A$19:$A$24,0),MATCH($B$1,'Data-Input'!$B$18:$G$18,0)),0)</f>
        <v>0</v>
      </c>
      <c r="J45">
        <f>IF(C45&lt;&gt;"",IFERROR(INDEX('Data-Input'!$B$19:$G$24,MATCH(C45,'Data-Input'!$A$19:$A$24,0),MATCH($B$1,'Data-Input'!$B$18:$G$18,0)),0),I45)</f>
        <v>0</v>
      </c>
      <c r="K45">
        <f t="shared" si="10"/>
        <v>0</v>
      </c>
      <c r="L45">
        <f t="shared" si="11"/>
        <v>6</v>
      </c>
      <c r="M45">
        <f t="shared" si="12"/>
        <v>60</v>
      </c>
      <c r="N45">
        <f t="shared" si="13"/>
        <v>18</v>
      </c>
      <c r="O45">
        <f t="shared" si="14"/>
        <v>3</v>
      </c>
      <c r="P45">
        <f t="shared" si="15"/>
        <v>6</v>
      </c>
      <c r="Q45">
        <f t="shared" si="16"/>
        <v>33</v>
      </c>
      <c r="R45">
        <f>IFERROR(INDEX('Data-Input'!$C$190:$C$1189,MATCH(A45&amp;"|"&amp;$A$1,'Data-Input'!$E$190:$E$1189,0)),Q45)</f>
        <v>33</v>
      </c>
      <c r="S45">
        <f t="shared" si="17"/>
        <v>33</v>
      </c>
      <c r="T45">
        <f t="shared" si="18"/>
        <v>33.000004500000003</v>
      </c>
      <c r="U45" t="str">
        <f>Heroes!$M45</f>
        <v>Roaming</v>
      </c>
      <c r="V45">
        <f t="shared" si="19"/>
        <v>-1000000000000000</v>
      </c>
      <c r="W45" t="str">
        <f>Heroes!$I45</f>
        <v>Hard CC</v>
      </c>
      <c r="X45" t="str">
        <f>Heroes!$J45</f>
        <v>Burst</v>
      </c>
      <c r="Y45">
        <f>IF($A$1="",0,MAX(IF(W45&lt;&gt;"",IFERROR(INDEX('Data-Input'!$B$164:$W$185,MATCH(W45,'Data-Input'!$A$164:$A$185,0),MATCH($K$1,'Data-Input'!$B$163:$W$163,0)),0),0),IF(AND(W45&lt;&gt;"",$L$1&lt;&gt;""),IFERROR(INDEX('Data-Input'!$B$164:$W$185,MATCH(W45,'Data-Input'!$A$164:$A$185,0),MATCH($L$1,'Data-Input'!$B$163:$W$163,0)),0),0),IF(X45&lt;&gt;"",IFERROR(INDEX('Data-Input'!$B$164:$W$185,MATCH(X45,'Data-Input'!$A$164:$A$185,0),MATCH($K$1,'Data-Input'!$B$163:$W$163,0)),0),0),IF(AND(X45&lt;&gt;"",$L$1&lt;&gt;""),IFERROR(INDEX('Data-Input'!$B$164:$W$185,MATCH(X45,'Data-Input'!$A$164:$A$185,0),MATCH($L$1,'Data-Input'!$B$163:$W$163,0)),0),0))*$M$1)</f>
        <v>0</v>
      </c>
      <c r="Z45">
        <f>IF($A$1="",0,SUMPRODUCT(('Data-Input'!$A$29:$A$128=A45)*('Data-Input'!$B$29:$B$128="Tag")*((('Data-Input'!$C$29:$C$128=$K$1)+('Data-Input'!$C$29:$C$128=$L$1))&gt;0)*('Data-Input'!$D$29:$D$128-'Data-Input'!$E$29:$E$128))+SUMPRODUCT(('Data-Input'!$A$29:$A$128=A45)*('Data-Input'!$B$29:$B$128="Hero")*('Data-Input'!$C$29:$C$128=$A$1)*('Data-Input'!$D$29:$D$128-'Data-Input'!$E$29:$E$128)))</f>
        <v>0</v>
      </c>
    </row>
    <row r="46" spans="1:26" ht="15" customHeight="1" x14ac:dyDescent="0.3">
      <c r="A46" t="str">
        <f>Heroes!$B46</f>
        <v>Argus</v>
      </c>
      <c r="B46" t="str">
        <f>Heroes!$C46</f>
        <v>Fighter</v>
      </c>
      <c r="C46">
        <f>Heroes!$D46</f>
        <v>0</v>
      </c>
      <c r="D46">
        <f>Heroes!$E46</f>
        <v>50</v>
      </c>
      <c r="E46">
        <f>Heroes!$F46</f>
        <v>50</v>
      </c>
      <c r="F46">
        <f>Heroes!$H46</f>
        <v>60</v>
      </c>
      <c r="G46" t="str">
        <f>Heroes!$K46</f>
        <v>Physical</v>
      </c>
      <c r="H46">
        <f>Heroes!$Q46</f>
        <v>5</v>
      </c>
      <c r="I46">
        <f>IFERROR(INDEX('Data-Input'!$B$19:$G$24,MATCH(B46,'Data-Input'!$A$19:$A$24,0),MATCH($B$1,'Data-Input'!$B$18:$G$18,0)),0)</f>
        <v>0</v>
      </c>
      <c r="J46">
        <f>IF(C46&lt;&gt;"",IFERROR(INDEX('Data-Input'!$B$19:$G$24,MATCH(C46,'Data-Input'!$A$19:$A$24,0),MATCH($B$1,'Data-Input'!$B$18:$G$18,0)),0),I46)</f>
        <v>0</v>
      </c>
      <c r="K46">
        <f t="shared" si="10"/>
        <v>0</v>
      </c>
      <c r="L46">
        <f t="shared" si="11"/>
        <v>5</v>
      </c>
      <c r="M46">
        <f t="shared" si="12"/>
        <v>60</v>
      </c>
      <c r="N46">
        <f t="shared" si="13"/>
        <v>18</v>
      </c>
      <c r="O46">
        <f t="shared" si="14"/>
        <v>3</v>
      </c>
      <c r="P46">
        <f t="shared" si="15"/>
        <v>15</v>
      </c>
      <c r="Q46">
        <f t="shared" si="16"/>
        <v>41</v>
      </c>
      <c r="R46">
        <f>IFERROR(INDEX('Data-Input'!$C$190:$C$1189,MATCH(A46&amp;"|"&amp;$A$1,'Data-Input'!$E$190:$E$1189,0)),Q46)</f>
        <v>41</v>
      </c>
      <c r="S46">
        <f t="shared" si="17"/>
        <v>41</v>
      </c>
      <c r="T46">
        <f t="shared" si="18"/>
        <v>41.000004599999997</v>
      </c>
      <c r="U46" t="str">
        <f>Heroes!$M46</f>
        <v>EXP Lane</v>
      </c>
      <c r="V46">
        <f t="shared" si="19"/>
        <v>-1000000000000000</v>
      </c>
      <c r="W46" t="str">
        <f>Heroes!$I46</f>
        <v>I-Frame</v>
      </c>
      <c r="X46" t="str">
        <f>Heroes!$J46</f>
        <v>DPS</v>
      </c>
      <c r="Y46">
        <f>IF($A$1="",0,MAX(IF(W46&lt;&gt;"",IFERROR(INDEX('Data-Input'!$B$164:$W$185,MATCH(W46,'Data-Input'!$A$164:$A$185,0),MATCH($K$1,'Data-Input'!$B$163:$W$163,0)),0),0),IF(AND(W46&lt;&gt;"",$L$1&lt;&gt;""),IFERROR(INDEX('Data-Input'!$B$164:$W$185,MATCH(W46,'Data-Input'!$A$164:$A$185,0),MATCH($L$1,'Data-Input'!$B$163:$W$163,0)),0),0),IF(X46&lt;&gt;"",IFERROR(INDEX('Data-Input'!$B$164:$W$185,MATCH(X46,'Data-Input'!$A$164:$A$185,0),MATCH($K$1,'Data-Input'!$B$163:$W$163,0)),0),0),IF(AND(X46&lt;&gt;"",$L$1&lt;&gt;""),IFERROR(INDEX('Data-Input'!$B$164:$W$185,MATCH(X46,'Data-Input'!$A$164:$A$185,0),MATCH($L$1,'Data-Input'!$B$163:$W$163,0)),0),0))*$M$1)</f>
        <v>0</v>
      </c>
      <c r="Z46">
        <f>IF($A$1="",0,SUMPRODUCT(('Data-Input'!$A$29:$A$128=A46)*('Data-Input'!$B$29:$B$128="Tag")*((('Data-Input'!$C$29:$C$128=$K$1)+('Data-Input'!$C$29:$C$128=$L$1))&gt;0)*('Data-Input'!$D$29:$D$128-'Data-Input'!$E$29:$E$128))+SUMPRODUCT(('Data-Input'!$A$29:$A$128=A46)*('Data-Input'!$B$29:$B$128="Hero")*('Data-Input'!$C$29:$C$128=$A$1)*('Data-Input'!$D$29:$D$128-'Data-Input'!$E$29:$E$128)))</f>
        <v>0</v>
      </c>
    </row>
    <row r="47" spans="1:26" ht="15" customHeight="1" x14ac:dyDescent="0.3">
      <c r="A47" t="str">
        <f>Heroes!$B47</f>
        <v>Odette</v>
      </c>
      <c r="B47" t="str">
        <f>Heroes!$C47</f>
        <v>Mage</v>
      </c>
      <c r="C47">
        <f>Heroes!$D47</f>
        <v>0</v>
      </c>
      <c r="D47">
        <f>Heroes!$E47</f>
        <v>100</v>
      </c>
      <c r="E47">
        <f>Heroes!$F47</f>
        <v>70</v>
      </c>
      <c r="F47">
        <f>Heroes!$H47</f>
        <v>20</v>
      </c>
      <c r="G47" t="str">
        <f>Heroes!$K47</f>
        <v>Magic</v>
      </c>
      <c r="H47">
        <f>Heroes!$Q47</f>
        <v>3</v>
      </c>
      <c r="I47">
        <f>IFERROR(INDEX('Data-Input'!$B$19:$G$24,MATCH(B47,'Data-Input'!$A$19:$A$24,0),MATCH($B$1,'Data-Input'!$B$18:$G$18,0)),0)</f>
        <v>0</v>
      </c>
      <c r="J47">
        <f>IF(C47&lt;&gt;"",IFERROR(INDEX('Data-Input'!$B$19:$G$24,MATCH(C47,'Data-Input'!$A$19:$A$24,0),MATCH($B$1,'Data-Input'!$B$18:$G$18,0)),0),I47)</f>
        <v>0</v>
      </c>
      <c r="K47">
        <f t="shared" si="10"/>
        <v>0</v>
      </c>
      <c r="L47">
        <f t="shared" si="11"/>
        <v>8.5</v>
      </c>
      <c r="M47">
        <f t="shared" si="12"/>
        <v>20</v>
      </c>
      <c r="N47">
        <f t="shared" si="13"/>
        <v>0</v>
      </c>
      <c r="O47">
        <f t="shared" si="14"/>
        <v>3</v>
      </c>
      <c r="P47">
        <f t="shared" si="15"/>
        <v>9</v>
      </c>
      <c r="Q47">
        <f t="shared" si="16"/>
        <v>20.5</v>
      </c>
      <c r="R47">
        <f>IFERROR(INDEX('Data-Input'!$C$190:$C$1189,MATCH(A47&amp;"|"&amp;$A$1,'Data-Input'!$E$190:$E$1189,0)),Q47)</f>
        <v>20.5</v>
      </c>
      <c r="S47">
        <f t="shared" si="17"/>
        <v>20.5</v>
      </c>
      <c r="T47">
        <f t="shared" si="18"/>
        <v>20.500004700000002</v>
      </c>
      <c r="U47" t="str">
        <f>Heroes!$M47</f>
        <v>Mid Lane</v>
      </c>
      <c r="V47">
        <f t="shared" si="19"/>
        <v>-1000000000000000</v>
      </c>
      <c r="W47" t="str">
        <f>Heroes!$I47</f>
        <v>AoE Damage</v>
      </c>
      <c r="X47" t="str">
        <f>Heroes!$J47</f>
        <v>Burst</v>
      </c>
      <c r="Y47">
        <f>IF($A$1="",0,MAX(IF(W47&lt;&gt;"",IFERROR(INDEX('Data-Input'!$B$164:$W$185,MATCH(W47,'Data-Input'!$A$164:$A$185,0),MATCH($K$1,'Data-Input'!$B$163:$W$163,0)),0),0),IF(AND(W47&lt;&gt;"",$L$1&lt;&gt;""),IFERROR(INDEX('Data-Input'!$B$164:$W$185,MATCH(W47,'Data-Input'!$A$164:$A$185,0),MATCH($L$1,'Data-Input'!$B$163:$W$163,0)),0),0),IF(X47&lt;&gt;"",IFERROR(INDEX('Data-Input'!$B$164:$W$185,MATCH(X47,'Data-Input'!$A$164:$A$185,0),MATCH($K$1,'Data-Input'!$B$163:$W$163,0)),0),0),IF(AND(X47&lt;&gt;"",$L$1&lt;&gt;""),IFERROR(INDEX('Data-Input'!$B$164:$W$185,MATCH(X47,'Data-Input'!$A$164:$A$185,0),MATCH($L$1,'Data-Input'!$B$163:$W$163,0)),0),0))*$M$1)</f>
        <v>0</v>
      </c>
      <c r="Z47">
        <f>IF($A$1="",0,SUMPRODUCT(('Data-Input'!$A$29:$A$128=A47)*('Data-Input'!$B$29:$B$128="Tag")*((('Data-Input'!$C$29:$C$128=$K$1)+('Data-Input'!$C$29:$C$128=$L$1))&gt;0)*('Data-Input'!$D$29:$D$128-'Data-Input'!$E$29:$E$128))+SUMPRODUCT(('Data-Input'!$A$29:$A$128=A47)*('Data-Input'!$B$29:$B$128="Hero")*('Data-Input'!$C$29:$C$128=$A$1)*('Data-Input'!$D$29:$D$128-'Data-Input'!$E$29:$E$128)))</f>
        <v>0</v>
      </c>
    </row>
    <row r="48" spans="1:26" ht="15" customHeight="1" x14ac:dyDescent="0.3">
      <c r="A48" t="str">
        <f>Heroes!$B48</f>
        <v>Lancelot</v>
      </c>
      <c r="B48" t="str">
        <f>Heroes!$C48</f>
        <v>Assassin</v>
      </c>
      <c r="C48">
        <f>Heroes!$D48</f>
        <v>0</v>
      </c>
      <c r="D48">
        <f>Heroes!$E48</f>
        <v>50</v>
      </c>
      <c r="E48">
        <f>Heroes!$F48</f>
        <v>10</v>
      </c>
      <c r="F48">
        <f>Heroes!$H48</f>
        <v>50</v>
      </c>
      <c r="G48" t="str">
        <f>Heroes!$K48</f>
        <v>Physical</v>
      </c>
      <c r="H48">
        <f>Heroes!$Q48</f>
        <v>2</v>
      </c>
      <c r="I48">
        <f>IFERROR(INDEX('Data-Input'!$B$19:$G$24,MATCH(B48,'Data-Input'!$A$19:$A$24,0),MATCH($B$1,'Data-Input'!$B$18:$G$18,0)),0)</f>
        <v>0</v>
      </c>
      <c r="J48">
        <f>IF(C48&lt;&gt;"",IFERROR(INDEX('Data-Input'!$B$19:$G$24,MATCH(C48,'Data-Input'!$A$19:$A$24,0),MATCH($B$1,'Data-Input'!$B$18:$G$18,0)),0),I48)</f>
        <v>0</v>
      </c>
      <c r="K48">
        <f t="shared" si="10"/>
        <v>0</v>
      </c>
      <c r="L48">
        <f t="shared" si="11"/>
        <v>3</v>
      </c>
      <c r="M48">
        <f t="shared" si="12"/>
        <v>50</v>
      </c>
      <c r="N48">
        <f t="shared" si="13"/>
        <v>15</v>
      </c>
      <c r="O48">
        <f t="shared" si="14"/>
        <v>3</v>
      </c>
      <c r="P48">
        <f t="shared" si="15"/>
        <v>6</v>
      </c>
      <c r="Q48">
        <f t="shared" si="16"/>
        <v>27</v>
      </c>
      <c r="R48">
        <f>IFERROR(INDEX('Data-Input'!$C$190:$C$1189,MATCH(A48&amp;"|"&amp;$A$1,'Data-Input'!$E$190:$E$1189,0)),Q48)</f>
        <v>27</v>
      </c>
      <c r="S48">
        <f t="shared" si="17"/>
        <v>27</v>
      </c>
      <c r="T48">
        <f t="shared" si="18"/>
        <v>27.000004799999999</v>
      </c>
      <c r="U48" t="str">
        <f>Heroes!$M48</f>
        <v>Jungle</v>
      </c>
      <c r="V48">
        <f t="shared" si="19"/>
        <v>-1000000000000000</v>
      </c>
      <c r="W48" t="str">
        <f>Heroes!$I48</f>
        <v>I-Frame</v>
      </c>
      <c r="X48" t="str">
        <f>Heroes!$J48</f>
        <v>Dash/Blink</v>
      </c>
      <c r="Y48">
        <f>IF($A$1="",0,MAX(IF(W48&lt;&gt;"",IFERROR(INDEX('Data-Input'!$B$164:$W$185,MATCH(W48,'Data-Input'!$A$164:$A$185,0),MATCH($K$1,'Data-Input'!$B$163:$W$163,0)),0),0),IF(AND(W48&lt;&gt;"",$L$1&lt;&gt;""),IFERROR(INDEX('Data-Input'!$B$164:$W$185,MATCH(W48,'Data-Input'!$A$164:$A$185,0),MATCH($L$1,'Data-Input'!$B$163:$W$163,0)),0),0),IF(X48&lt;&gt;"",IFERROR(INDEX('Data-Input'!$B$164:$W$185,MATCH(X48,'Data-Input'!$A$164:$A$185,0),MATCH($K$1,'Data-Input'!$B$163:$W$163,0)),0),0),IF(AND(X48&lt;&gt;"",$L$1&lt;&gt;""),IFERROR(INDEX('Data-Input'!$B$164:$W$185,MATCH(X48,'Data-Input'!$A$164:$A$185,0),MATCH($L$1,'Data-Input'!$B$163:$W$163,0)),0),0))*$M$1)</f>
        <v>0</v>
      </c>
      <c r="Z48">
        <f>IF($A$1="",0,SUMPRODUCT(('Data-Input'!$A$29:$A$128=A48)*('Data-Input'!$B$29:$B$128="Tag")*((('Data-Input'!$C$29:$C$128=$K$1)+('Data-Input'!$C$29:$C$128=$L$1))&gt;0)*('Data-Input'!$D$29:$D$128-'Data-Input'!$E$29:$E$128))+SUMPRODUCT(('Data-Input'!$A$29:$A$128=A48)*('Data-Input'!$B$29:$B$128="Hero")*('Data-Input'!$C$29:$C$128=$A$1)*('Data-Input'!$D$29:$D$128-'Data-Input'!$E$29:$E$128)))</f>
        <v>0</v>
      </c>
    </row>
    <row r="49" spans="1:26" ht="15" customHeight="1" x14ac:dyDescent="0.3">
      <c r="A49" t="str">
        <f>Heroes!$B49</f>
        <v>Diggie</v>
      </c>
      <c r="B49" t="str">
        <f>Heroes!$C49</f>
        <v>Support</v>
      </c>
      <c r="C49">
        <f>Heroes!$D49</f>
        <v>0</v>
      </c>
      <c r="D49">
        <f>Heroes!$E49</f>
        <v>40</v>
      </c>
      <c r="E49">
        <f>Heroes!$F49</f>
        <v>20</v>
      </c>
      <c r="F49">
        <f>Heroes!$H49</f>
        <v>50</v>
      </c>
      <c r="G49" t="str">
        <f>Heroes!$K49</f>
        <v>Magic</v>
      </c>
      <c r="H49">
        <f>Heroes!$Q49</f>
        <v>2</v>
      </c>
      <c r="I49">
        <f>IFERROR(INDEX('Data-Input'!$B$19:$G$24,MATCH(B49,'Data-Input'!$A$19:$A$24,0),MATCH($B$1,'Data-Input'!$B$18:$G$18,0)),0)</f>
        <v>0</v>
      </c>
      <c r="J49">
        <f>IF(C49&lt;&gt;"",IFERROR(INDEX('Data-Input'!$B$19:$G$24,MATCH(C49,'Data-Input'!$A$19:$A$24,0),MATCH($B$1,'Data-Input'!$B$18:$G$18,0)),0),I49)</f>
        <v>0</v>
      </c>
      <c r="K49">
        <f t="shared" si="10"/>
        <v>0</v>
      </c>
      <c r="L49">
        <f t="shared" si="11"/>
        <v>3</v>
      </c>
      <c r="M49">
        <f t="shared" si="12"/>
        <v>50</v>
      </c>
      <c r="N49">
        <f t="shared" si="13"/>
        <v>15</v>
      </c>
      <c r="O49">
        <f t="shared" si="14"/>
        <v>3</v>
      </c>
      <c r="P49">
        <f t="shared" si="15"/>
        <v>6</v>
      </c>
      <c r="Q49">
        <f t="shared" si="16"/>
        <v>27</v>
      </c>
      <c r="R49">
        <f>IFERROR(INDEX('Data-Input'!$C$190:$C$1189,MATCH(A49&amp;"|"&amp;$A$1,'Data-Input'!$E$190:$E$1189,0)),Q49)</f>
        <v>27</v>
      </c>
      <c r="S49">
        <f t="shared" si="17"/>
        <v>27</v>
      </c>
      <c r="T49">
        <f t="shared" si="18"/>
        <v>27.0000049</v>
      </c>
      <c r="U49" t="str">
        <f>Heroes!$M49</f>
        <v>Roaming</v>
      </c>
      <c r="V49">
        <f t="shared" si="19"/>
        <v>-1000000000000000</v>
      </c>
      <c r="W49" t="str">
        <f>Heroes!$I49</f>
        <v>AoE CC</v>
      </c>
      <c r="X49" t="str">
        <f>Heroes!$J49</f>
        <v>Shield</v>
      </c>
      <c r="Y49">
        <f>IF($A$1="",0,MAX(IF(W49&lt;&gt;"",IFERROR(INDEX('Data-Input'!$B$164:$W$185,MATCH(W49,'Data-Input'!$A$164:$A$185,0),MATCH($K$1,'Data-Input'!$B$163:$W$163,0)),0),0),IF(AND(W49&lt;&gt;"",$L$1&lt;&gt;""),IFERROR(INDEX('Data-Input'!$B$164:$W$185,MATCH(W49,'Data-Input'!$A$164:$A$185,0),MATCH($L$1,'Data-Input'!$B$163:$W$163,0)),0),0),IF(X49&lt;&gt;"",IFERROR(INDEX('Data-Input'!$B$164:$W$185,MATCH(X49,'Data-Input'!$A$164:$A$185,0),MATCH($K$1,'Data-Input'!$B$163:$W$163,0)),0),0),IF(AND(X49&lt;&gt;"",$L$1&lt;&gt;""),IFERROR(INDEX('Data-Input'!$B$164:$W$185,MATCH(X49,'Data-Input'!$A$164:$A$185,0),MATCH($L$1,'Data-Input'!$B$163:$W$163,0)),0),0))*$M$1)</f>
        <v>0</v>
      </c>
      <c r="Z49">
        <f>IF($A$1="",0,SUMPRODUCT(('Data-Input'!$A$29:$A$128=A49)*('Data-Input'!$B$29:$B$128="Tag")*((('Data-Input'!$C$29:$C$128=$K$1)+('Data-Input'!$C$29:$C$128=$L$1))&gt;0)*('Data-Input'!$D$29:$D$128-'Data-Input'!$E$29:$E$128))+SUMPRODUCT(('Data-Input'!$A$29:$A$128=A49)*('Data-Input'!$B$29:$B$128="Hero")*('Data-Input'!$C$29:$C$128=$A$1)*('Data-Input'!$D$29:$D$128-'Data-Input'!$E$29:$E$128)))</f>
        <v>0</v>
      </c>
    </row>
    <row r="50" spans="1:26" ht="15" customHeight="1" x14ac:dyDescent="0.3">
      <c r="A50" t="str">
        <f>Heroes!$B50</f>
        <v>Hylos</v>
      </c>
      <c r="B50" t="str">
        <f>Heroes!$C50</f>
        <v>Tank</v>
      </c>
      <c r="C50">
        <f>Heroes!$D50</f>
        <v>0</v>
      </c>
      <c r="D50">
        <f>Heroes!$E50</f>
        <v>20</v>
      </c>
      <c r="E50">
        <f>Heroes!$F50</f>
        <v>80</v>
      </c>
      <c r="F50">
        <f>Heroes!$H50</f>
        <v>30</v>
      </c>
      <c r="G50" t="str">
        <f>Heroes!$K50</f>
        <v>Magic</v>
      </c>
      <c r="H50">
        <f>Heroes!$Q50</f>
        <v>2</v>
      </c>
      <c r="I50">
        <f>IFERROR(INDEX('Data-Input'!$B$19:$G$24,MATCH(B50,'Data-Input'!$A$19:$A$24,0),MATCH($B$1,'Data-Input'!$B$18:$G$18,0)),0)</f>
        <v>0</v>
      </c>
      <c r="J50">
        <f>IF(C50&lt;&gt;"",IFERROR(INDEX('Data-Input'!$B$19:$G$24,MATCH(C50,'Data-Input'!$A$19:$A$24,0),MATCH($B$1,'Data-Input'!$B$18:$G$18,0)),0),I50)</f>
        <v>0</v>
      </c>
      <c r="K50">
        <f t="shared" si="10"/>
        <v>0</v>
      </c>
      <c r="L50">
        <f t="shared" si="11"/>
        <v>5</v>
      </c>
      <c r="M50">
        <f t="shared" si="12"/>
        <v>30</v>
      </c>
      <c r="N50">
        <f t="shared" si="13"/>
        <v>9</v>
      </c>
      <c r="O50">
        <f t="shared" si="14"/>
        <v>3</v>
      </c>
      <c r="P50">
        <f t="shared" si="15"/>
        <v>6</v>
      </c>
      <c r="Q50">
        <f t="shared" si="16"/>
        <v>23</v>
      </c>
      <c r="R50">
        <f>IFERROR(INDEX('Data-Input'!$C$190:$C$1189,MATCH(A50&amp;"|"&amp;$A$1,'Data-Input'!$E$190:$E$1189,0)),Q50)</f>
        <v>23</v>
      </c>
      <c r="S50">
        <f t="shared" si="17"/>
        <v>23</v>
      </c>
      <c r="T50">
        <f t="shared" si="18"/>
        <v>23.000005000000002</v>
      </c>
      <c r="U50" t="str">
        <f>Heroes!$M50</f>
        <v>Roaming</v>
      </c>
      <c r="V50">
        <f t="shared" si="19"/>
        <v>-1000000000000000</v>
      </c>
      <c r="W50" t="str">
        <f>Heroes!$I50</f>
        <v>Sustain</v>
      </c>
      <c r="X50" t="str">
        <f>Heroes!$J50</f>
        <v>Soft CC</v>
      </c>
      <c r="Y50">
        <f>IF($A$1="",0,MAX(IF(W50&lt;&gt;"",IFERROR(INDEX('Data-Input'!$B$164:$W$185,MATCH(W50,'Data-Input'!$A$164:$A$185,0),MATCH($K$1,'Data-Input'!$B$163:$W$163,0)),0),0),IF(AND(W50&lt;&gt;"",$L$1&lt;&gt;""),IFERROR(INDEX('Data-Input'!$B$164:$W$185,MATCH(W50,'Data-Input'!$A$164:$A$185,0),MATCH($L$1,'Data-Input'!$B$163:$W$163,0)),0),0),IF(X50&lt;&gt;"",IFERROR(INDEX('Data-Input'!$B$164:$W$185,MATCH(X50,'Data-Input'!$A$164:$A$185,0),MATCH($K$1,'Data-Input'!$B$163:$W$163,0)),0),0),IF(AND(X50&lt;&gt;"",$L$1&lt;&gt;""),IFERROR(INDEX('Data-Input'!$B$164:$W$185,MATCH(X50,'Data-Input'!$A$164:$A$185,0),MATCH($L$1,'Data-Input'!$B$163:$W$163,0)),0),0))*$M$1)</f>
        <v>0</v>
      </c>
      <c r="Z50">
        <f>IF($A$1="",0,SUMPRODUCT(('Data-Input'!$A$29:$A$128=A50)*('Data-Input'!$B$29:$B$128="Tag")*((('Data-Input'!$C$29:$C$128=$K$1)+('Data-Input'!$C$29:$C$128=$L$1))&gt;0)*('Data-Input'!$D$29:$D$128-'Data-Input'!$E$29:$E$128))+SUMPRODUCT(('Data-Input'!$A$29:$A$128=A50)*('Data-Input'!$B$29:$B$128="Hero")*('Data-Input'!$C$29:$C$128=$A$1)*('Data-Input'!$D$29:$D$128-'Data-Input'!$E$29:$E$128)))</f>
        <v>0</v>
      </c>
    </row>
    <row r="51" spans="1:26" ht="15" customHeight="1" x14ac:dyDescent="0.3">
      <c r="A51" t="str">
        <f>Heroes!$B51</f>
        <v>Zhask</v>
      </c>
      <c r="B51" t="str">
        <f>Heroes!$C51</f>
        <v>Mage</v>
      </c>
      <c r="C51">
        <f>Heroes!$D51</f>
        <v>0</v>
      </c>
      <c r="D51">
        <f>Heroes!$E51</f>
        <v>100</v>
      </c>
      <c r="E51">
        <f>Heroes!$F51</f>
        <v>40</v>
      </c>
      <c r="F51">
        <f>Heroes!$H51</f>
        <v>40</v>
      </c>
      <c r="G51" t="str">
        <f>Heroes!$K51</f>
        <v>Magic</v>
      </c>
      <c r="H51">
        <f>Heroes!$Q51</f>
        <v>3</v>
      </c>
      <c r="I51">
        <f>IFERROR(INDEX('Data-Input'!$B$19:$G$24,MATCH(B51,'Data-Input'!$A$19:$A$24,0),MATCH($B$1,'Data-Input'!$B$18:$G$18,0)),0)</f>
        <v>0</v>
      </c>
      <c r="J51">
        <f>IF(C51&lt;&gt;"",IFERROR(INDEX('Data-Input'!$B$19:$G$24,MATCH(C51,'Data-Input'!$A$19:$A$24,0),MATCH($B$1,'Data-Input'!$B$18:$G$18,0)),0),I51)</f>
        <v>0</v>
      </c>
      <c r="K51">
        <f t="shared" si="10"/>
        <v>0</v>
      </c>
      <c r="L51">
        <f t="shared" si="11"/>
        <v>7</v>
      </c>
      <c r="M51">
        <f t="shared" si="12"/>
        <v>40</v>
      </c>
      <c r="N51">
        <f t="shared" si="13"/>
        <v>12</v>
      </c>
      <c r="O51">
        <f t="shared" si="14"/>
        <v>3</v>
      </c>
      <c r="P51">
        <f t="shared" si="15"/>
        <v>9</v>
      </c>
      <c r="Q51">
        <f t="shared" si="16"/>
        <v>31</v>
      </c>
      <c r="R51">
        <f>IFERROR(INDEX('Data-Input'!$C$190:$C$1189,MATCH(A51&amp;"|"&amp;$A$1,'Data-Input'!$E$190:$E$1189,0)),Q51)</f>
        <v>31</v>
      </c>
      <c r="S51">
        <f t="shared" si="17"/>
        <v>31</v>
      </c>
      <c r="T51">
        <f t="shared" si="18"/>
        <v>31.000005099999999</v>
      </c>
      <c r="U51" t="str">
        <f>Heroes!$M51</f>
        <v>Mid Lane</v>
      </c>
      <c r="V51">
        <f t="shared" si="19"/>
        <v>-1000000000000000</v>
      </c>
      <c r="W51" t="str">
        <f>Heroes!$I51</f>
        <v>Summoner</v>
      </c>
      <c r="X51" t="str">
        <f>Heroes!$J51</f>
        <v>DPS</v>
      </c>
      <c r="Y51">
        <f>IF($A$1="",0,MAX(IF(W51&lt;&gt;"",IFERROR(INDEX('Data-Input'!$B$164:$W$185,MATCH(W51,'Data-Input'!$A$164:$A$185,0),MATCH($K$1,'Data-Input'!$B$163:$W$163,0)),0),0),IF(AND(W51&lt;&gt;"",$L$1&lt;&gt;""),IFERROR(INDEX('Data-Input'!$B$164:$W$185,MATCH(W51,'Data-Input'!$A$164:$A$185,0),MATCH($L$1,'Data-Input'!$B$163:$W$163,0)),0),0),IF(X51&lt;&gt;"",IFERROR(INDEX('Data-Input'!$B$164:$W$185,MATCH(X51,'Data-Input'!$A$164:$A$185,0),MATCH($K$1,'Data-Input'!$B$163:$W$163,0)),0),0),IF(AND(X51&lt;&gt;"",$L$1&lt;&gt;""),IFERROR(INDEX('Data-Input'!$B$164:$W$185,MATCH(X51,'Data-Input'!$A$164:$A$185,0),MATCH($L$1,'Data-Input'!$B$163:$W$163,0)),0),0))*$M$1)</f>
        <v>0</v>
      </c>
      <c r="Z51">
        <f>IF($A$1="",0,SUMPRODUCT(('Data-Input'!$A$29:$A$128=A51)*('Data-Input'!$B$29:$B$128="Tag")*((('Data-Input'!$C$29:$C$128=$K$1)+('Data-Input'!$C$29:$C$128=$L$1))&gt;0)*('Data-Input'!$D$29:$D$128-'Data-Input'!$E$29:$E$128))+SUMPRODUCT(('Data-Input'!$A$29:$A$128=A51)*('Data-Input'!$B$29:$B$128="Hero")*('Data-Input'!$C$29:$C$128=$A$1)*('Data-Input'!$D$29:$D$128-'Data-Input'!$E$29:$E$128)))</f>
        <v>0</v>
      </c>
    </row>
    <row r="52" spans="1:26" ht="15" customHeight="1" x14ac:dyDescent="0.3">
      <c r="A52" t="str">
        <f>Heroes!$B52</f>
        <v>Helcurt</v>
      </c>
      <c r="B52" t="str">
        <f>Heroes!$C52</f>
        <v>Assassin</v>
      </c>
      <c r="C52">
        <f>Heroes!$D52</f>
        <v>0</v>
      </c>
      <c r="D52">
        <f>Heroes!$E52</f>
        <v>50</v>
      </c>
      <c r="E52">
        <f>Heroes!$F52</f>
        <v>50</v>
      </c>
      <c r="F52">
        <f>Heroes!$H52</f>
        <v>50</v>
      </c>
      <c r="G52" t="str">
        <f>Heroes!$K52</f>
        <v>Physical</v>
      </c>
      <c r="H52">
        <f>Heroes!$Q52</f>
        <v>2</v>
      </c>
      <c r="I52">
        <f>IFERROR(INDEX('Data-Input'!$B$19:$G$24,MATCH(B52,'Data-Input'!$A$19:$A$24,0),MATCH($B$1,'Data-Input'!$B$18:$G$18,0)),0)</f>
        <v>0</v>
      </c>
      <c r="J52">
        <f>IF(C52&lt;&gt;"",IFERROR(INDEX('Data-Input'!$B$19:$G$24,MATCH(C52,'Data-Input'!$A$19:$A$24,0),MATCH($B$1,'Data-Input'!$B$18:$G$18,0)),0),I52)</f>
        <v>0</v>
      </c>
      <c r="K52">
        <f t="shared" si="10"/>
        <v>0</v>
      </c>
      <c r="L52">
        <f t="shared" si="11"/>
        <v>5</v>
      </c>
      <c r="M52">
        <f t="shared" si="12"/>
        <v>50</v>
      </c>
      <c r="N52">
        <f t="shared" si="13"/>
        <v>15</v>
      </c>
      <c r="O52">
        <f t="shared" si="14"/>
        <v>3</v>
      </c>
      <c r="P52">
        <f t="shared" si="15"/>
        <v>6</v>
      </c>
      <c r="Q52">
        <f t="shared" si="16"/>
        <v>29</v>
      </c>
      <c r="R52">
        <f>IFERROR(INDEX('Data-Input'!$C$190:$C$1189,MATCH(A52&amp;"|"&amp;$A$1,'Data-Input'!$E$190:$E$1189,0)),Q52)</f>
        <v>29</v>
      </c>
      <c r="S52">
        <f t="shared" si="17"/>
        <v>29</v>
      </c>
      <c r="T52">
        <f t="shared" si="18"/>
        <v>29.0000052</v>
      </c>
      <c r="U52" t="str">
        <f>Heroes!$M52</f>
        <v>Jungle</v>
      </c>
      <c r="V52">
        <f t="shared" si="19"/>
        <v>-1000000000000000</v>
      </c>
      <c r="W52" t="str">
        <f>Heroes!$I52</f>
        <v>Burst</v>
      </c>
      <c r="X52" t="str">
        <f>Heroes!$J52</f>
        <v>Soft CC</v>
      </c>
      <c r="Y52">
        <f>IF($A$1="",0,MAX(IF(W52&lt;&gt;"",IFERROR(INDEX('Data-Input'!$B$164:$W$185,MATCH(W52,'Data-Input'!$A$164:$A$185,0),MATCH($K$1,'Data-Input'!$B$163:$W$163,0)),0),0),IF(AND(W52&lt;&gt;"",$L$1&lt;&gt;""),IFERROR(INDEX('Data-Input'!$B$164:$W$185,MATCH(W52,'Data-Input'!$A$164:$A$185,0),MATCH($L$1,'Data-Input'!$B$163:$W$163,0)),0),0),IF(X52&lt;&gt;"",IFERROR(INDEX('Data-Input'!$B$164:$W$185,MATCH(X52,'Data-Input'!$A$164:$A$185,0),MATCH($K$1,'Data-Input'!$B$163:$W$163,0)),0),0),IF(AND(X52&lt;&gt;"",$L$1&lt;&gt;""),IFERROR(INDEX('Data-Input'!$B$164:$W$185,MATCH(X52,'Data-Input'!$A$164:$A$185,0),MATCH($L$1,'Data-Input'!$B$163:$W$163,0)),0),0))*$M$1)</f>
        <v>0</v>
      </c>
      <c r="Z52">
        <f>IF($A$1="",0,SUMPRODUCT(('Data-Input'!$A$29:$A$128=A52)*('Data-Input'!$B$29:$B$128="Tag")*((('Data-Input'!$C$29:$C$128=$K$1)+('Data-Input'!$C$29:$C$128=$L$1))&gt;0)*('Data-Input'!$D$29:$D$128-'Data-Input'!$E$29:$E$128))+SUMPRODUCT(('Data-Input'!$A$29:$A$128=A52)*('Data-Input'!$B$29:$B$128="Hero")*('Data-Input'!$C$29:$C$128=$A$1)*('Data-Input'!$D$29:$D$128-'Data-Input'!$E$29:$E$128)))</f>
        <v>0</v>
      </c>
    </row>
    <row r="53" spans="1:26" ht="15" customHeight="1" x14ac:dyDescent="0.3">
      <c r="A53" t="str">
        <f>Heroes!$B53</f>
        <v>Pharsa</v>
      </c>
      <c r="B53" t="str">
        <f>Heroes!$C53</f>
        <v>Mage</v>
      </c>
      <c r="C53">
        <f>Heroes!$D53</f>
        <v>0</v>
      </c>
      <c r="D53">
        <f>Heroes!$E53</f>
        <v>90</v>
      </c>
      <c r="E53">
        <f>Heroes!$F53</f>
        <v>50</v>
      </c>
      <c r="F53">
        <f>Heroes!$H53</f>
        <v>30</v>
      </c>
      <c r="G53" t="str">
        <f>Heroes!$K53</f>
        <v>Magic</v>
      </c>
      <c r="H53">
        <f>Heroes!$Q53</f>
        <v>3</v>
      </c>
      <c r="I53">
        <f>IFERROR(INDEX('Data-Input'!$B$19:$G$24,MATCH(B53,'Data-Input'!$A$19:$A$24,0),MATCH($B$1,'Data-Input'!$B$18:$G$18,0)),0)</f>
        <v>0</v>
      </c>
      <c r="J53">
        <f>IF(C53&lt;&gt;"",IFERROR(INDEX('Data-Input'!$B$19:$G$24,MATCH(C53,'Data-Input'!$A$19:$A$24,0),MATCH($B$1,'Data-Input'!$B$18:$G$18,0)),0),I53)</f>
        <v>0</v>
      </c>
      <c r="K53">
        <f t="shared" si="10"/>
        <v>0</v>
      </c>
      <c r="L53">
        <f t="shared" si="11"/>
        <v>7</v>
      </c>
      <c r="M53">
        <f t="shared" si="12"/>
        <v>30</v>
      </c>
      <c r="N53">
        <f t="shared" si="13"/>
        <v>9</v>
      </c>
      <c r="O53">
        <f t="shared" si="14"/>
        <v>3</v>
      </c>
      <c r="P53">
        <f t="shared" si="15"/>
        <v>9</v>
      </c>
      <c r="Q53">
        <f t="shared" si="16"/>
        <v>28</v>
      </c>
      <c r="R53">
        <f>IFERROR(INDEX('Data-Input'!$C$190:$C$1189,MATCH(A53&amp;"|"&amp;$A$1,'Data-Input'!$E$190:$E$1189,0)),Q53)</f>
        <v>28</v>
      </c>
      <c r="S53">
        <f t="shared" si="17"/>
        <v>28</v>
      </c>
      <c r="T53">
        <f t="shared" si="18"/>
        <v>28.000005300000002</v>
      </c>
      <c r="U53" t="str">
        <f>Heroes!$M53</f>
        <v>Mid Lane</v>
      </c>
      <c r="V53">
        <f t="shared" si="19"/>
        <v>-1000000000000000</v>
      </c>
      <c r="W53" t="str">
        <f>Heroes!$I53</f>
        <v>Poke</v>
      </c>
      <c r="X53" t="str">
        <f>Heroes!$J53</f>
        <v>AoE Damage</v>
      </c>
      <c r="Y53">
        <f>IF($A$1="",0,MAX(IF(W53&lt;&gt;"",IFERROR(INDEX('Data-Input'!$B$164:$W$185,MATCH(W53,'Data-Input'!$A$164:$A$185,0),MATCH($K$1,'Data-Input'!$B$163:$W$163,0)),0),0),IF(AND(W53&lt;&gt;"",$L$1&lt;&gt;""),IFERROR(INDEX('Data-Input'!$B$164:$W$185,MATCH(W53,'Data-Input'!$A$164:$A$185,0),MATCH($L$1,'Data-Input'!$B$163:$W$163,0)),0),0),IF(X53&lt;&gt;"",IFERROR(INDEX('Data-Input'!$B$164:$W$185,MATCH(X53,'Data-Input'!$A$164:$A$185,0),MATCH($K$1,'Data-Input'!$B$163:$W$163,0)),0),0),IF(AND(X53&lt;&gt;"",$L$1&lt;&gt;""),IFERROR(INDEX('Data-Input'!$B$164:$W$185,MATCH(X53,'Data-Input'!$A$164:$A$185,0),MATCH($L$1,'Data-Input'!$B$163:$W$163,0)),0),0))*$M$1)</f>
        <v>0</v>
      </c>
      <c r="Z53">
        <f>IF($A$1="",0,SUMPRODUCT(('Data-Input'!$A$29:$A$128=A53)*('Data-Input'!$B$29:$B$128="Tag")*((('Data-Input'!$C$29:$C$128=$K$1)+('Data-Input'!$C$29:$C$128=$L$1))&gt;0)*('Data-Input'!$D$29:$D$128-'Data-Input'!$E$29:$E$128))+SUMPRODUCT(('Data-Input'!$A$29:$A$128=A53)*('Data-Input'!$B$29:$B$128="Hero")*('Data-Input'!$C$29:$C$128=$A$1)*('Data-Input'!$D$29:$D$128-'Data-Input'!$E$29:$E$128)))</f>
        <v>0</v>
      </c>
    </row>
    <row r="54" spans="1:26" ht="15" customHeight="1" x14ac:dyDescent="0.3">
      <c r="A54" t="str">
        <f>Heroes!$B54</f>
        <v>Lesley</v>
      </c>
      <c r="B54" t="str">
        <f>Heroes!$C54</f>
        <v>Marksman</v>
      </c>
      <c r="C54" t="str">
        <f>Heroes!$D54</f>
        <v>Assassin</v>
      </c>
      <c r="D54">
        <f>Heroes!$E54</f>
        <v>70</v>
      </c>
      <c r="E54">
        <f>Heroes!$F54</f>
        <v>20</v>
      </c>
      <c r="F54">
        <f>Heroes!$H54</f>
        <v>40</v>
      </c>
      <c r="G54" t="str">
        <f>Heroes!$K54</f>
        <v>Physical</v>
      </c>
      <c r="H54">
        <f>Heroes!$Q54</f>
        <v>4</v>
      </c>
      <c r="I54">
        <f>IFERROR(INDEX('Data-Input'!$B$19:$G$24,MATCH(B54,'Data-Input'!$A$19:$A$24,0),MATCH($B$1,'Data-Input'!$B$18:$G$18,0)),0)</f>
        <v>0</v>
      </c>
      <c r="J54">
        <f>IF(C54&lt;&gt;"",IFERROR(INDEX('Data-Input'!$B$19:$G$24,MATCH(C54,'Data-Input'!$A$19:$A$24,0),MATCH($B$1,'Data-Input'!$B$18:$G$18,0)),0),I54)</f>
        <v>0</v>
      </c>
      <c r="K54">
        <f t="shared" si="10"/>
        <v>0</v>
      </c>
      <c r="L54">
        <f t="shared" si="11"/>
        <v>4.5</v>
      </c>
      <c r="M54">
        <f t="shared" si="12"/>
        <v>40</v>
      </c>
      <c r="N54">
        <f t="shared" si="13"/>
        <v>12</v>
      </c>
      <c r="O54">
        <f t="shared" si="14"/>
        <v>3</v>
      </c>
      <c r="P54">
        <f t="shared" si="15"/>
        <v>12</v>
      </c>
      <c r="Q54">
        <f t="shared" si="16"/>
        <v>31.5</v>
      </c>
      <c r="R54">
        <f>IFERROR(INDEX('Data-Input'!$C$190:$C$1189,MATCH(A54&amp;"|"&amp;$A$1,'Data-Input'!$E$190:$E$1189,0)),Q54)</f>
        <v>31.5</v>
      </c>
      <c r="S54">
        <f t="shared" si="17"/>
        <v>31.5</v>
      </c>
      <c r="T54">
        <f t="shared" si="18"/>
        <v>31.500005399999999</v>
      </c>
      <c r="U54" t="str">
        <f>Heroes!$M54</f>
        <v>Gold Lane</v>
      </c>
      <c r="V54">
        <f t="shared" si="19"/>
        <v>-1000000000000000</v>
      </c>
      <c r="W54" t="str">
        <f>Heroes!$I54</f>
        <v>Poke</v>
      </c>
      <c r="X54" t="str">
        <f>Heroes!$J54</f>
        <v>True Damage</v>
      </c>
      <c r="Y54">
        <f>IF($A$1="",0,MAX(IF(W54&lt;&gt;"",IFERROR(INDEX('Data-Input'!$B$164:$W$185,MATCH(W54,'Data-Input'!$A$164:$A$185,0),MATCH($K$1,'Data-Input'!$B$163:$W$163,0)),0),0),IF(AND(W54&lt;&gt;"",$L$1&lt;&gt;""),IFERROR(INDEX('Data-Input'!$B$164:$W$185,MATCH(W54,'Data-Input'!$A$164:$A$185,0),MATCH($L$1,'Data-Input'!$B$163:$W$163,0)),0),0),IF(X54&lt;&gt;"",IFERROR(INDEX('Data-Input'!$B$164:$W$185,MATCH(X54,'Data-Input'!$A$164:$A$185,0),MATCH($K$1,'Data-Input'!$B$163:$W$163,0)),0),0),IF(AND(X54&lt;&gt;"",$L$1&lt;&gt;""),IFERROR(INDEX('Data-Input'!$B$164:$W$185,MATCH(X54,'Data-Input'!$A$164:$A$185,0),MATCH($L$1,'Data-Input'!$B$163:$W$163,0)),0),0))*$M$1)</f>
        <v>0</v>
      </c>
      <c r="Z54">
        <f>IF($A$1="",0,SUMPRODUCT(('Data-Input'!$A$29:$A$128=A54)*('Data-Input'!$B$29:$B$128="Tag")*((('Data-Input'!$C$29:$C$128=$K$1)+('Data-Input'!$C$29:$C$128=$L$1))&gt;0)*('Data-Input'!$D$29:$D$128-'Data-Input'!$E$29:$E$128))+SUMPRODUCT(('Data-Input'!$A$29:$A$128=A54)*('Data-Input'!$B$29:$B$128="Hero")*('Data-Input'!$C$29:$C$128=$A$1)*('Data-Input'!$D$29:$D$128-'Data-Input'!$E$29:$E$128)))</f>
        <v>0</v>
      </c>
    </row>
    <row r="55" spans="1:26" ht="15" customHeight="1" x14ac:dyDescent="0.3">
      <c r="A55" t="str">
        <f>Heroes!$B55</f>
        <v>Jawhead</v>
      </c>
      <c r="B55" t="str">
        <f>Heroes!$C55</f>
        <v>Fighter</v>
      </c>
      <c r="C55">
        <f>Heroes!$D55</f>
        <v>0</v>
      </c>
      <c r="D55">
        <f>Heroes!$E55</f>
        <v>30</v>
      </c>
      <c r="E55">
        <f>Heroes!$F55</f>
        <v>60</v>
      </c>
      <c r="F55">
        <f>Heroes!$H55</f>
        <v>50</v>
      </c>
      <c r="G55" t="str">
        <f>Heroes!$K55</f>
        <v>Physical</v>
      </c>
      <c r="H55">
        <f>Heroes!$Q55</f>
        <v>2</v>
      </c>
      <c r="I55">
        <f>IFERROR(INDEX('Data-Input'!$B$19:$G$24,MATCH(B55,'Data-Input'!$A$19:$A$24,0),MATCH($B$1,'Data-Input'!$B$18:$G$18,0)),0)</f>
        <v>0</v>
      </c>
      <c r="J55">
        <f>IF(C55&lt;&gt;"",IFERROR(INDEX('Data-Input'!$B$19:$G$24,MATCH(C55,'Data-Input'!$A$19:$A$24,0),MATCH($B$1,'Data-Input'!$B$18:$G$18,0)),0),I55)</f>
        <v>0</v>
      </c>
      <c r="K55">
        <f t="shared" si="10"/>
        <v>0</v>
      </c>
      <c r="L55">
        <f t="shared" si="11"/>
        <v>4.5</v>
      </c>
      <c r="M55">
        <f t="shared" si="12"/>
        <v>50</v>
      </c>
      <c r="N55">
        <f t="shared" si="13"/>
        <v>15</v>
      </c>
      <c r="O55">
        <f t="shared" si="14"/>
        <v>3</v>
      </c>
      <c r="P55">
        <f t="shared" si="15"/>
        <v>6</v>
      </c>
      <c r="Q55">
        <f t="shared" si="16"/>
        <v>28.5</v>
      </c>
      <c r="R55">
        <f>IFERROR(INDEX('Data-Input'!$C$190:$C$1189,MATCH(A55&amp;"|"&amp;$A$1,'Data-Input'!$E$190:$E$1189,0)),Q55)</f>
        <v>28.5</v>
      </c>
      <c r="S55">
        <f t="shared" si="17"/>
        <v>28.5</v>
      </c>
      <c r="T55">
        <f t="shared" si="18"/>
        <v>28.5000055</v>
      </c>
      <c r="U55" t="str">
        <f>Heroes!$M55</f>
        <v>Roaming</v>
      </c>
      <c r="V55">
        <f t="shared" si="19"/>
        <v>-1000000000000000</v>
      </c>
      <c r="W55" t="str">
        <f>Heroes!$I55</f>
        <v>Targeted CC</v>
      </c>
      <c r="X55" t="str">
        <f>Heroes!$J55</f>
        <v>Burst</v>
      </c>
      <c r="Y55">
        <f>IF($A$1="",0,MAX(IF(W55&lt;&gt;"",IFERROR(INDEX('Data-Input'!$B$164:$W$185,MATCH(W55,'Data-Input'!$A$164:$A$185,0),MATCH($K$1,'Data-Input'!$B$163:$W$163,0)),0),0),IF(AND(W55&lt;&gt;"",$L$1&lt;&gt;""),IFERROR(INDEX('Data-Input'!$B$164:$W$185,MATCH(W55,'Data-Input'!$A$164:$A$185,0),MATCH($L$1,'Data-Input'!$B$163:$W$163,0)),0),0),IF(X55&lt;&gt;"",IFERROR(INDEX('Data-Input'!$B$164:$W$185,MATCH(X55,'Data-Input'!$A$164:$A$185,0),MATCH($K$1,'Data-Input'!$B$163:$W$163,0)),0),0),IF(AND(X55&lt;&gt;"",$L$1&lt;&gt;""),IFERROR(INDEX('Data-Input'!$B$164:$W$185,MATCH(X55,'Data-Input'!$A$164:$A$185,0),MATCH($L$1,'Data-Input'!$B$163:$W$163,0)),0),0))*$M$1)</f>
        <v>0</v>
      </c>
      <c r="Z55">
        <f>IF($A$1="",0,SUMPRODUCT(('Data-Input'!$A$29:$A$128=A55)*('Data-Input'!$B$29:$B$128="Tag")*((('Data-Input'!$C$29:$C$128=$K$1)+('Data-Input'!$C$29:$C$128=$L$1))&gt;0)*('Data-Input'!$D$29:$D$128-'Data-Input'!$E$29:$E$128))+SUMPRODUCT(('Data-Input'!$A$29:$A$128=A55)*('Data-Input'!$B$29:$B$128="Hero")*('Data-Input'!$C$29:$C$128=$A$1)*('Data-Input'!$D$29:$D$128-'Data-Input'!$E$29:$E$128)))</f>
        <v>0</v>
      </c>
    </row>
    <row r="56" spans="1:26" ht="15" customHeight="1" x14ac:dyDescent="0.3">
      <c r="A56" t="str">
        <f>Heroes!$B56</f>
        <v>Angela</v>
      </c>
      <c r="B56" t="str">
        <f>Heroes!$C56</f>
        <v>Support</v>
      </c>
      <c r="C56">
        <f>Heroes!$D56</f>
        <v>0</v>
      </c>
      <c r="D56">
        <f>Heroes!$E56</f>
        <v>20</v>
      </c>
      <c r="E56">
        <f>Heroes!$F56</f>
        <v>50</v>
      </c>
      <c r="F56">
        <f>Heroes!$H56</f>
        <v>50</v>
      </c>
      <c r="G56" t="str">
        <f>Heroes!$K56</f>
        <v>Magic</v>
      </c>
      <c r="H56">
        <f>Heroes!$Q56</f>
        <v>3</v>
      </c>
      <c r="I56">
        <f>IFERROR(INDEX('Data-Input'!$B$19:$G$24,MATCH(B56,'Data-Input'!$A$19:$A$24,0),MATCH($B$1,'Data-Input'!$B$18:$G$18,0)),0)</f>
        <v>0</v>
      </c>
      <c r="J56">
        <f>IF(C56&lt;&gt;"",IFERROR(INDEX('Data-Input'!$B$19:$G$24,MATCH(C56,'Data-Input'!$A$19:$A$24,0),MATCH($B$1,'Data-Input'!$B$18:$G$18,0)),0),I56)</f>
        <v>0</v>
      </c>
      <c r="K56">
        <f t="shared" si="10"/>
        <v>0</v>
      </c>
      <c r="L56">
        <f t="shared" si="11"/>
        <v>3.5</v>
      </c>
      <c r="M56">
        <f t="shared" si="12"/>
        <v>50</v>
      </c>
      <c r="N56">
        <f t="shared" si="13"/>
        <v>15</v>
      </c>
      <c r="O56">
        <f t="shared" si="14"/>
        <v>3</v>
      </c>
      <c r="P56">
        <f t="shared" si="15"/>
        <v>9</v>
      </c>
      <c r="Q56">
        <f t="shared" si="16"/>
        <v>30.5</v>
      </c>
      <c r="R56">
        <f>IFERROR(INDEX('Data-Input'!$C$190:$C$1189,MATCH(A56&amp;"|"&amp;$A$1,'Data-Input'!$E$190:$E$1189,0)),Q56)</f>
        <v>30.5</v>
      </c>
      <c r="S56">
        <f t="shared" si="17"/>
        <v>30.5</v>
      </c>
      <c r="T56">
        <f t="shared" si="18"/>
        <v>30.500005600000001</v>
      </c>
      <c r="U56" t="str">
        <f>Heroes!$M56</f>
        <v>Roaming</v>
      </c>
      <c r="V56">
        <f t="shared" si="19"/>
        <v>-1000000000000000</v>
      </c>
      <c r="W56" t="str">
        <f>Heroes!$I56</f>
        <v>Shield</v>
      </c>
      <c r="X56" t="str">
        <f>Heroes!$J56</f>
        <v>Healing</v>
      </c>
      <c r="Y56">
        <f>IF($A$1="",0,MAX(IF(W56&lt;&gt;"",IFERROR(INDEX('Data-Input'!$B$164:$W$185,MATCH(W56,'Data-Input'!$A$164:$A$185,0),MATCH($K$1,'Data-Input'!$B$163:$W$163,0)),0),0),IF(AND(W56&lt;&gt;"",$L$1&lt;&gt;""),IFERROR(INDEX('Data-Input'!$B$164:$W$185,MATCH(W56,'Data-Input'!$A$164:$A$185,0),MATCH($L$1,'Data-Input'!$B$163:$W$163,0)),0),0),IF(X56&lt;&gt;"",IFERROR(INDEX('Data-Input'!$B$164:$W$185,MATCH(X56,'Data-Input'!$A$164:$A$185,0),MATCH($K$1,'Data-Input'!$B$163:$W$163,0)),0),0),IF(AND(X56&lt;&gt;"",$L$1&lt;&gt;""),IFERROR(INDEX('Data-Input'!$B$164:$W$185,MATCH(X56,'Data-Input'!$A$164:$A$185,0),MATCH($L$1,'Data-Input'!$B$163:$W$163,0)),0),0))*$M$1)</f>
        <v>0</v>
      </c>
      <c r="Z56">
        <f>IF($A$1="",0,SUMPRODUCT(('Data-Input'!$A$29:$A$128=A56)*('Data-Input'!$B$29:$B$128="Tag")*((('Data-Input'!$C$29:$C$128=$K$1)+('Data-Input'!$C$29:$C$128=$L$1))&gt;0)*('Data-Input'!$D$29:$D$128-'Data-Input'!$E$29:$E$128))+SUMPRODUCT(('Data-Input'!$A$29:$A$128=A56)*('Data-Input'!$B$29:$B$128="Hero")*('Data-Input'!$C$29:$C$128=$A$1)*('Data-Input'!$D$29:$D$128-'Data-Input'!$E$29:$E$128)))</f>
        <v>0</v>
      </c>
    </row>
    <row r="57" spans="1:26" ht="15" customHeight="1" x14ac:dyDescent="0.3">
      <c r="A57" t="str">
        <f>Heroes!$B57</f>
        <v>Gusion</v>
      </c>
      <c r="B57" t="str">
        <f>Heroes!$C57</f>
        <v>Assassin</v>
      </c>
      <c r="C57">
        <f>Heroes!$D57</f>
        <v>0</v>
      </c>
      <c r="D57">
        <f>Heroes!$E57</f>
        <v>90</v>
      </c>
      <c r="E57">
        <f>Heroes!$F57</f>
        <v>10</v>
      </c>
      <c r="F57">
        <f>Heroes!$H57</f>
        <v>80</v>
      </c>
      <c r="G57" t="str">
        <f>Heroes!$K57</f>
        <v>Magic</v>
      </c>
      <c r="H57">
        <f>Heroes!$Q57</f>
        <v>2</v>
      </c>
      <c r="I57">
        <f>IFERROR(INDEX('Data-Input'!$B$19:$G$24,MATCH(B57,'Data-Input'!$A$19:$A$24,0),MATCH($B$1,'Data-Input'!$B$18:$G$18,0)),0)</f>
        <v>0</v>
      </c>
      <c r="J57">
        <f>IF(C57&lt;&gt;"",IFERROR(INDEX('Data-Input'!$B$19:$G$24,MATCH(C57,'Data-Input'!$A$19:$A$24,0),MATCH($B$1,'Data-Input'!$B$18:$G$18,0)),0),I57)</f>
        <v>0</v>
      </c>
      <c r="K57">
        <f t="shared" si="10"/>
        <v>0</v>
      </c>
      <c r="L57">
        <f t="shared" si="11"/>
        <v>5</v>
      </c>
      <c r="M57">
        <f t="shared" si="12"/>
        <v>80</v>
      </c>
      <c r="N57">
        <f t="shared" si="13"/>
        <v>24</v>
      </c>
      <c r="O57">
        <f t="shared" si="14"/>
        <v>3</v>
      </c>
      <c r="P57">
        <f t="shared" si="15"/>
        <v>6</v>
      </c>
      <c r="Q57">
        <f t="shared" si="16"/>
        <v>38</v>
      </c>
      <c r="R57">
        <f>IFERROR(INDEX('Data-Input'!$C$190:$C$1189,MATCH(A57&amp;"|"&amp;$A$1,'Data-Input'!$E$190:$E$1189,0)),Q57)</f>
        <v>38</v>
      </c>
      <c r="S57">
        <f t="shared" si="17"/>
        <v>38</v>
      </c>
      <c r="T57">
        <f t="shared" si="18"/>
        <v>38.000005700000003</v>
      </c>
      <c r="U57" t="str">
        <f>Heroes!$M57</f>
        <v>Jungle</v>
      </c>
      <c r="V57">
        <f t="shared" si="19"/>
        <v>-1000000000000000</v>
      </c>
      <c r="W57" t="str">
        <f>Heroes!$I57</f>
        <v>Burst</v>
      </c>
      <c r="X57" t="str">
        <f>Heroes!$J57</f>
        <v>Dash/Blink</v>
      </c>
      <c r="Y57">
        <f>IF($A$1="",0,MAX(IF(W57&lt;&gt;"",IFERROR(INDEX('Data-Input'!$B$164:$W$185,MATCH(W57,'Data-Input'!$A$164:$A$185,0),MATCH($K$1,'Data-Input'!$B$163:$W$163,0)),0),0),IF(AND(W57&lt;&gt;"",$L$1&lt;&gt;""),IFERROR(INDEX('Data-Input'!$B$164:$W$185,MATCH(W57,'Data-Input'!$A$164:$A$185,0),MATCH($L$1,'Data-Input'!$B$163:$W$163,0)),0),0),IF(X57&lt;&gt;"",IFERROR(INDEX('Data-Input'!$B$164:$W$185,MATCH(X57,'Data-Input'!$A$164:$A$185,0),MATCH($K$1,'Data-Input'!$B$163:$W$163,0)),0),0),IF(AND(X57&lt;&gt;"",$L$1&lt;&gt;""),IFERROR(INDEX('Data-Input'!$B$164:$W$185,MATCH(X57,'Data-Input'!$A$164:$A$185,0),MATCH($L$1,'Data-Input'!$B$163:$W$163,0)),0),0))*$M$1)</f>
        <v>0</v>
      </c>
      <c r="Z57">
        <f>IF($A$1="",0,SUMPRODUCT(('Data-Input'!$A$29:$A$128=A57)*('Data-Input'!$B$29:$B$128="Tag")*((('Data-Input'!$C$29:$C$128=$K$1)+('Data-Input'!$C$29:$C$128=$L$1))&gt;0)*('Data-Input'!$D$29:$D$128-'Data-Input'!$E$29:$E$128))+SUMPRODUCT(('Data-Input'!$A$29:$A$128=A57)*('Data-Input'!$B$29:$B$128="Hero")*('Data-Input'!$C$29:$C$128=$A$1)*('Data-Input'!$D$29:$D$128-'Data-Input'!$E$29:$E$128)))</f>
        <v>0</v>
      </c>
    </row>
    <row r="58" spans="1:26" ht="15" customHeight="1" x14ac:dyDescent="0.3">
      <c r="A58" t="str">
        <f>Heroes!$B58</f>
        <v>Valir</v>
      </c>
      <c r="B58" t="str">
        <f>Heroes!$C58</f>
        <v>Mage</v>
      </c>
      <c r="C58">
        <f>Heroes!$D58</f>
        <v>0</v>
      </c>
      <c r="D58">
        <f>Heroes!$E58</f>
        <v>70</v>
      </c>
      <c r="E58">
        <f>Heroes!$F58</f>
        <v>70</v>
      </c>
      <c r="F58">
        <f>Heroes!$H58</f>
        <v>40</v>
      </c>
      <c r="G58" t="str">
        <f>Heroes!$K58</f>
        <v>Magic</v>
      </c>
      <c r="H58">
        <f>Heroes!$Q58</f>
        <v>3</v>
      </c>
      <c r="I58">
        <f>IFERROR(INDEX('Data-Input'!$B$19:$G$24,MATCH(B58,'Data-Input'!$A$19:$A$24,0),MATCH($B$1,'Data-Input'!$B$18:$G$18,0)),0)</f>
        <v>0</v>
      </c>
      <c r="J58">
        <f>IF(C58&lt;&gt;"",IFERROR(INDEX('Data-Input'!$B$19:$G$24,MATCH(C58,'Data-Input'!$A$19:$A$24,0),MATCH($B$1,'Data-Input'!$B$18:$G$18,0)),0),I58)</f>
        <v>0</v>
      </c>
      <c r="K58">
        <f t="shared" si="10"/>
        <v>0</v>
      </c>
      <c r="L58">
        <f t="shared" si="11"/>
        <v>7</v>
      </c>
      <c r="M58">
        <f t="shared" si="12"/>
        <v>40</v>
      </c>
      <c r="N58">
        <f t="shared" si="13"/>
        <v>12</v>
      </c>
      <c r="O58">
        <f t="shared" si="14"/>
        <v>3</v>
      </c>
      <c r="P58">
        <f t="shared" si="15"/>
        <v>9</v>
      </c>
      <c r="Q58">
        <f t="shared" si="16"/>
        <v>31</v>
      </c>
      <c r="R58">
        <f>IFERROR(INDEX('Data-Input'!$C$190:$C$1189,MATCH(A58&amp;"|"&amp;$A$1,'Data-Input'!$E$190:$E$1189,0)),Q58)</f>
        <v>31</v>
      </c>
      <c r="S58">
        <f t="shared" si="17"/>
        <v>31</v>
      </c>
      <c r="T58">
        <f t="shared" si="18"/>
        <v>31.0000058</v>
      </c>
      <c r="U58" t="str">
        <f>Heroes!$M58</f>
        <v>Mid Lane</v>
      </c>
      <c r="V58">
        <f t="shared" si="19"/>
        <v>-1000000000000000</v>
      </c>
      <c r="W58" t="str">
        <f>Heroes!$I58</f>
        <v>Poke</v>
      </c>
      <c r="X58" t="str">
        <f>Heroes!$J58</f>
        <v>Hard CC</v>
      </c>
      <c r="Y58">
        <f>IF($A$1="",0,MAX(IF(W58&lt;&gt;"",IFERROR(INDEX('Data-Input'!$B$164:$W$185,MATCH(W58,'Data-Input'!$A$164:$A$185,0),MATCH($K$1,'Data-Input'!$B$163:$W$163,0)),0),0),IF(AND(W58&lt;&gt;"",$L$1&lt;&gt;""),IFERROR(INDEX('Data-Input'!$B$164:$W$185,MATCH(W58,'Data-Input'!$A$164:$A$185,0),MATCH($L$1,'Data-Input'!$B$163:$W$163,0)),0),0),IF(X58&lt;&gt;"",IFERROR(INDEX('Data-Input'!$B$164:$W$185,MATCH(X58,'Data-Input'!$A$164:$A$185,0),MATCH($K$1,'Data-Input'!$B$163:$W$163,0)),0),0),IF(AND(X58&lt;&gt;"",$L$1&lt;&gt;""),IFERROR(INDEX('Data-Input'!$B$164:$W$185,MATCH(X58,'Data-Input'!$A$164:$A$185,0),MATCH($L$1,'Data-Input'!$B$163:$W$163,0)),0),0))*$M$1)</f>
        <v>0</v>
      </c>
      <c r="Z58">
        <f>IF($A$1="",0,SUMPRODUCT(('Data-Input'!$A$29:$A$128=A58)*('Data-Input'!$B$29:$B$128="Tag")*((('Data-Input'!$C$29:$C$128=$K$1)+('Data-Input'!$C$29:$C$128=$L$1))&gt;0)*('Data-Input'!$D$29:$D$128-'Data-Input'!$E$29:$E$128))+SUMPRODUCT(('Data-Input'!$A$29:$A$128=A58)*('Data-Input'!$B$29:$B$128="Hero")*('Data-Input'!$C$29:$C$128=$A$1)*('Data-Input'!$D$29:$D$128-'Data-Input'!$E$29:$E$128)))</f>
        <v>0</v>
      </c>
    </row>
    <row r="59" spans="1:26" ht="15" customHeight="1" x14ac:dyDescent="0.3">
      <c r="A59" t="str">
        <f>Heroes!$B59</f>
        <v>Martis</v>
      </c>
      <c r="B59" t="str">
        <f>Heroes!$C59</f>
        <v>Fighter</v>
      </c>
      <c r="C59">
        <f>Heroes!$D59</f>
        <v>0</v>
      </c>
      <c r="D59">
        <f>Heroes!$E59</f>
        <v>30</v>
      </c>
      <c r="E59">
        <f>Heroes!$F59</f>
        <v>50</v>
      </c>
      <c r="F59">
        <f>Heroes!$H59</f>
        <v>40</v>
      </c>
      <c r="G59" t="str">
        <f>Heroes!$K59</f>
        <v>Physical</v>
      </c>
      <c r="H59">
        <f>Heroes!$Q59</f>
        <v>2</v>
      </c>
      <c r="I59">
        <f>IFERROR(INDEX('Data-Input'!$B$19:$G$24,MATCH(B59,'Data-Input'!$A$19:$A$24,0),MATCH($B$1,'Data-Input'!$B$18:$G$18,0)),0)</f>
        <v>0</v>
      </c>
      <c r="J59">
        <f>IF(C59&lt;&gt;"",IFERROR(INDEX('Data-Input'!$B$19:$G$24,MATCH(C59,'Data-Input'!$A$19:$A$24,0),MATCH($B$1,'Data-Input'!$B$18:$G$18,0)),0),I59)</f>
        <v>0</v>
      </c>
      <c r="K59">
        <f t="shared" si="10"/>
        <v>0</v>
      </c>
      <c r="L59">
        <f t="shared" si="11"/>
        <v>4</v>
      </c>
      <c r="M59">
        <f t="shared" si="12"/>
        <v>40</v>
      </c>
      <c r="N59">
        <f t="shared" si="13"/>
        <v>12</v>
      </c>
      <c r="O59">
        <f t="shared" si="14"/>
        <v>3</v>
      </c>
      <c r="P59">
        <f t="shared" si="15"/>
        <v>6</v>
      </c>
      <c r="Q59">
        <f t="shared" si="16"/>
        <v>25</v>
      </c>
      <c r="R59">
        <f>IFERROR(INDEX('Data-Input'!$C$190:$C$1189,MATCH(A59&amp;"|"&amp;$A$1,'Data-Input'!$E$190:$E$1189,0)),Q59)</f>
        <v>25</v>
      </c>
      <c r="S59">
        <f t="shared" si="17"/>
        <v>25</v>
      </c>
      <c r="T59">
        <f t="shared" si="18"/>
        <v>25.000005900000001</v>
      </c>
      <c r="U59" t="str">
        <f>Heroes!$M59</f>
        <v>Jungle</v>
      </c>
      <c r="V59">
        <f t="shared" si="19"/>
        <v>-1000000000000000</v>
      </c>
      <c r="W59" t="str">
        <f>Heroes!$I59</f>
        <v>I-Frame</v>
      </c>
      <c r="X59" t="str">
        <f>Heroes!$J59</f>
        <v>Execute</v>
      </c>
      <c r="Y59">
        <f>IF($A$1="",0,MAX(IF(W59&lt;&gt;"",IFERROR(INDEX('Data-Input'!$B$164:$W$185,MATCH(W59,'Data-Input'!$A$164:$A$185,0),MATCH($K$1,'Data-Input'!$B$163:$W$163,0)),0),0),IF(AND(W59&lt;&gt;"",$L$1&lt;&gt;""),IFERROR(INDEX('Data-Input'!$B$164:$W$185,MATCH(W59,'Data-Input'!$A$164:$A$185,0),MATCH($L$1,'Data-Input'!$B$163:$W$163,0)),0),0),IF(X59&lt;&gt;"",IFERROR(INDEX('Data-Input'!$B$164:$W$185,MATCH(X59,'Data-Input'!$A$164:$A$185,0),MATCH($K$1,'Data-Input'!$B$163:$W$163,0)),0),0),IF(AND(X59&lt;&gt;"",$L$1&lt;&gt;""),IFERROR(INDEX('Data-Input'!$B$164:$W$185,MATCH(X59,'Data-Input'!$A$164:$A$185,0),MATCH($L$1,'Data-Input'!$B$163:$W$163,0)),0),0))*$M$1)</f>
        <v>0</v>
      </c>
      <c r="Z59">
        <f>IF($A$1="",0,SUMPRODUCT(('Data-Input'!$A$29:$A$128=A59)*('Data-Input'!$B$29:$B$128="Tag")*((('Data-Input'!$C$29:$C$128=$K$1)+('Data-Input'!$C$29:$C$128=$L$1))&gt;0)*('Data-Input'!$D$29:$D$128-'Data-Input'!$E$29:$E$128))+SUMPRODUCT(('Data-Input'!$A$29:$A$128=A59)*('Data-Input'!$B$29:$B$128="Hero")*('Data-Input'!$C$29:$C$128=$A$1)*('Data-Input'!$D$29:$D$128-'Data-Input'!$E$29:$E$128)))</f>
        <v>0</v>
      </c>
    </row>
    <row r="60" spans="1:26" ht="15" customHeight="1" x14ac:dyDescent="0.3">
      <c r="A60" t="str">
        <f>Heroes!$B60</f>
        <v>Uranus</v>
      </c>
      <c r="B60" t="str">
        <f>Heroes!$C60</f>
        <v>Tank</v>
      </c>
      <c r="C60">
        <f>Heroes!$D60</f>
        <v>0</v>
      </c>
      <c r="D60">
        <f>Heroes!$E60</f>
        <v>20</v>
      </c>
      <c r="E60">
        <f>Heroes!$F60</f>
        <v>20</v>
      </c>
      <c r="F60">
        <f>Heroes!$H60</f>
        <v>30</v>
      </c>
      <c r="G60" t="str">
        <f>Heroes!$K60</f>
        <v>Magic</v>
      </c>
      <c r="H60">
        <f>Heroes!$Q60</f>
        <v>4</v>
      </c>
      <c r="I60">
        <f>IFERROR(INDEX('Data-Input'!$B$19:$G$24,MATCH(B60,'Data-Input'!$A$19:$A$24,0),MATCH($B$1,'Data-Input'!$B$18:$G$18,0)),0)</f>
        <v>0</v>
      </c>
      <c r="J60">
        <f>IF(C60&lt;&gt;"",IFERROR(INDEX('Data-Input'!$B$19:$G$24,MATCH(C60,'Data-Input'!$A$19:$A$24,0),MATCH($B$1,'Data-Input'!$B$18:$G$18,0)),0),I60)</f>
        <v>0</v>
      </c>
      <c r="K60">
        <f t="shared" si="10"/>
        <v>0</v>
      </c>
      <c r="L60">
        <f t="shared" si="11"/>
        <v>2</v>
      </c>
      <c r="M60">
        <f t="shared" si="12"/>
        <v>30</v>
      </c>
      <c r="N60">
        <f t="shared" si="13"/>
        <v>9</v>
      </c>
      <c r="O60">
        <f t="shared" si="14"/>
        <v>3</v>
      </c>
      <c r="P60">
        <f t="shared" si="15"/>
        <v>12</v>
      </c>
      <c r="Q60">
        <f t="shared" si="16"/>
        <v>26</v>
      </c>
      <c r="R60">
        <f>IFERROR(INDEX('Data-Input'!$C$190:$C$1189,MATCH(A60&amp;"|"&amp;$A$1,'Data-Input'!$E$190:$E$1189,0)),Q60)</f>
        <v>26</v>
      </c>
      <c r="S60">
        <f t="shared" si="17"/>
        <v>26</v>
      </c>
      <c r="T60">
        <f t="shared" si="18"/>
        <v>26.000005999999999</v>
      </c>
      <c r="U60" t="str">
        <f>Heroes!$M60</f>
        <v>EXP Lane</v>
      </c>
      <c r="V60">
        <f t="shared" si="19"/>
        <v>-1000000000000000</v>
      </c>
      <c r="W60" t="str">
        <f>Heroes!$I60</f>
        <v>Sustain</v>
      </c>
      <c r="X60" t="str">
        <f>Heroes!$J60</f>
        <v>Healing</v>
      </c>
      <c r="Y60">
        <f>IF($A$1="",0,MAX(IF(W60&lt;&gt;"",IFERROR(INDEX('Data-Input'!$B$164:$W$185,MATCH(W60,'Data-Input'!$A$164:$A$185,0),MATCH($K$1,'Data-Input'!$B$163:$W$163,0)),0),0),IF(AND(W60&lt;&gt;"",$L$1&lt;&gt;""),IFERROR(INDEX('Data-Input'!$B$164:$W$185,MATCH(W60,'Data-Input'!$A$164:$A$185,0),MATCH($L$1,'Data-Input'!$B$163:$W$163,0)),0),0),IF(X60&lt;&gt;"",IFERROR(INDEX('Data-Input'!$B$164:$W$185,MATCH(X60,'Data-Input'!$A$164:$A$185,0),MATCH($K$1,'Data-Input'!$B$163:$W$163,0)),0),0),IF(AND(X60&lt;&gt;"",$L$1&lt;&gt;""),IFERROR(INDEX('Data-Input'!$B$164:$W$185,MATCH(X60,'Data-Input'!$A$164:$A$185,0),MATCH($L$1,'Data-Input'!$B$163:$W$163,0)),0),0))*$M$1)</f>
        <v>0</v>
      </c>
      <c r="Z60">
        <f>IF($A$1="",0,SUMPRODUCT(('Data-Input'!$A$29:$A$128=A60)*('Data-Input'!$B$29:$B$128="Tag")*((('Data-Input'!$C$29:$C$128=$K$1)+('Data-Input'!$C$29:$C$128=$L$1))&gt;0)*('Data-Input'!$D$29:$D$128-'Data-Input'!$E$29:$E$128))+SUMPRODUCT(('Data-Input'!$A$29:$A$128=A60)*('Data-Input'!$B$29:$B$128="Hero")*('Data-Input'!$C$29:$C$128=$A$1)*('Data-Input'!$D$29:$D$128-'Data-Input'!$E$29:$E$128)))</f>
        <v>0</v>
      </c>
    </row>
    <row r="61" spans="1:26" ht="15" customHeight="1" x14ac:dyDescent="0.3">
      <c r="A61" t="str">
        <f>Heroes!$B61</f>
        <v>Hanabi</v>
      </c>
      <c r="B61" t="str">
        <f>Heroes!$C61</f>
        <v>Marksman</v>
      </c>
      <c r="C61">
        <f>Heroes!$D61</f>
        <v>0</v>
      </c>
      <c r="D61">
        <f>Heroes!$E61</f>
        <v>70</v>
      </c>
      <c r="E61">
        <f>Heroes!$F61</f>
        <v>80</v>
      </c>
      <c r="F61">
        <f>Heroes!$H61</f>
        <v>10</v>
      </c>
      <c r="G61" t="str">
        <f>Heroes!$K61</f>
        <v>Physical</v>
      </c>
      <c r="H61">
        <f>Heroes!$Q61</f>
        <v>5</v>
      </c>
      <c r="I61">
        <f>IFERROR(INDEX('Data-Input'!$B$19:$G$24,MATCH(B61,'Data-Input'!$A$19:$A$24,0),MATCH($B$1,'Data-Input'!$B$18:$G$18,0)),0)</f>
        <v>0</v>
      </c>
      <c r="J61">
        <f>IF(C61&lt;&gt;"",IFERROR(INDEX('Data-Input'!$B$19:$G$24,MATCH(C61,'Data-Input'!$A$19:$A$24,0),MATCH($B$1,'Data-Input'!$B$18:$G$18,0)),0),I61)</f>
        <v>0</v>
      </c>
      <c r="K61">
        <f t="shared" si="10"/>
        <v>0</v>
      </c>
      <c r="L61">
        <f t="shared" si="11"/>
        <v>7.5</v>
      </c>
      <c r="M61">
        <f t="shared" si="12"/>
        <v>10</v>
      </c>
      <c r="N61">
        <f t="shared" si="13"/>
        <v>0</v>
      </c>
      <c r="O61">
        <f t="shared" si="14"/>
        <v>3</v>
      </c>
      <c r="P61">
        <f t="shared" si="15"/>
        <v>15</v>
      </c>
      <c r="Q61">
        <f t="shared" si="16"/>
        <v>25.5</v>
      </c>
      <c r="R61">
        <f>IFERROR(INDEX('Data-Input'!$C$190:$C$1189,MATCH(A61&amp;"|"&amp;$A$1,'Data-Input'!$E$190:$E$1189,0)),Q61)</f>
        <v>25.5</v>
      </c>
      <c r="S61">
        <f t="shared" si="17"/>
        <v>25.5</v>
      </c>
      <c r="T61">
        <f t="shared" si="18"/>
        <v>25.5000061</v>
      </c>
      <c r="U61" t="str">
        <f>Heroes!$M61</f>
        <v>Gold Lane</v>
      </c>
      <c r="V61">
        <f t="shared" si="19"/>
        <v>-1000000000000000</v>
      </c>
      <c r="W61" t="str">
        <f>Heroes!$I61</f>
        <v>Shield</v>
      </c>
      <c r="X61" t="str">
        <f>Heroes!$J61</f>
        <v>AoE CC</v>
      </c>
      <c r="Y61">
        <f>IF($A$1="",0,MAX(IF(W61&lt;&gt;"",IFERROR(INDEX('Data-Input'!$B$164:$W$185,MATCH(W61,'Data-Input'!$A$164:$A$185,0),MATCH($K$1,'Data-Input'!$B$163:$W$163,0)),0),0),IF(AND(W61&lt;&gt;"",$L$1&lt;&gt;""),IFERROR(INDEX('Data-Input'!$B$164:$W$185,MATCH(W61,'Data-Input'!$A$164:$A$185,0),MATCH($L$1,'Data-Input'!$B$163:$W$163,0)),0),0),IF(X61&lt;&gt;"",IFERROR(INDEX('Data-Input'!$B$164:$W$185,MATCH(X61,'Data-Input'!$A$164:$A$185,0),MATCH($K$1,'Data-Input'!$B$163:$W$163,0)),0),0),IF(AND(X61&lt;&gt;"",$L$1&lt;&gt;""),IFERROR(INDEX('Data-Input'!$B$164:$W$185,MATCH(X61,'Data-Input'!$A$164:$A$185,0),MATCH($L$1,'Data-Input'!$B$163:$W$163,0)),0),0))*$M$1)</f>
        <v>0</v>
      </c>
      <c r="Z61">
        <f>IF($A$1="",0,SUMPRODUCT(('Data-Input'!$A$29:$A$128=A61)*('Data-Input'!$B$29:$B$128="Tag")*((('Data-Input'!$C$29:$C$128=$K$1)+('Data-Input'!$C$29:$C$128=$L$1))&gt;0)*('Data-Input'!$D$29:$D$128-'Data-Input'!$E$29:$E$128))+SUMPRODUCT(('Data-Input'!$A$29:$A$128=A61)*('Data-Input'!$B$29:$B$128="Hero")*('Data-Input'!$C$29:$C$128=$A$1)*('Data-Input'!$D$29:$D$128-'Data-Input'!$E$29:$E$128)))</f>
        <v>0</v>
      </c>
    </row>
    <row r="62" spans="1:26" ht="15" customHeight="1" x14ac:dyDescent="0.3">
      <c r="A62" t="str">
        <f>Heroes!$B62</f>
        <v>Chang'e</v>
      </c>
      <c r="B62" t="str">
        <f>Heroes!$C62</f>
        <v>Mage</v>
      </c>
      <c r="C62">
        <f>Heroes!$D62</f>
        <v>0</v>
      </c>
      <c r="D62">
        <f>Heroes!$E62</f>
        <v>80</v>
      </c>
      <c r="E62">
        <f>Heroes!$F62</f>
        <v>20</v>
      </c>
      <c r="F62">
        <f>Heroes!$H62</f>
        <v>30</v>
      </c>
      <c r="G62" t="str">
        <f>Heroes!$K62</f>
        <v>Magic</v>
      </c>
      <c r="H62">
        <f>Heroes!$Q62</f>
        <v>3</v>
      </c>
      <c r="I62">
        <f>IFERROR(INDEX('Data-Input'!$B$19:$G$24,MATCH(B62,'Data-Input'!$A$19:$A$24,0),MATCH($B$1,'Data-Input'!$B$18:$G$18,0)),0)</f>
        <v>0</v>
      </c>
      <c r="J62">
        <f>IF(C62&lt;&gt;"",IFERROR(INDEX('Data-Input'!$B$19:$G$24,MATCH(C62,'Data-Input'!$A$19:$A$24,0),MATCH($B$1,'Data-Input'!$B$18:$G$18,0)),0),I62)</f>
        <v>0</v>
      </c>
      <c r="K62">
        <f t="shared" si="10"/>
        <v>0</v>
      </c>
      <c r="L62">
        <f t="shared" si="11"/>
        <v>5</v>
      </c>
      <c r="M62">
        <f t="shared" si="12"/>
        <v>30</v>
      </c>
      <c r="N62">
        <f t="shared" si="13"/>
        <v>9</v>
      </c>
      <c r="O62">
        <f t="shared" si="14"/>
        <v>3</v>
      </c>
      <c r="P62">
        <f t="shared" si="15"/>
        <v>9</v>
      </c>
      <c r="Q62">
        <f t="shared" si="16"/>
        <v>26</v>
      </c>
      <c r="R62">
        <f>IFERROR(INDEX('Data-Input'!$C$190:$C$1189,MATCH(A62&amp;"|"&amp;$A$1,'Data-Input'!$E$190:$E$1189,0)),Q62)</f>
        <v>26</v>
      </c>
      <c r="S62">
        <f t="shared" si="17"/>
        <v>26</v>
      </c>
      <c r="T62">
        <f t="shared" si="18"/>
        <v>26.000006200000001</v>
      </c>
      <c r="U62" t="str">
        <f>Heroes!$M62</f>
        <v>Mid Lane</v>
      </c>
      <c r="V62">
        <f t="shared" si="19"/>
        <v>-1000000000000000</v>
      </c>
      <c r="W62" t="str">
        <f>Heroes!$I62</f>
        <v>Poke</v>
      </c>
      <c r="X62" t="str">
        <f>Heroes!$J62</f>
        <v>DPS</v>
      </c>
      <c r="Y62">
        <f>IF($A$1="",0,MAX(IF(W62&lt;&gt;"",IFERROR(INDEX('Data-Input'!$B$164:$W$185,MATCH(W62,'Data-Input'!$A$164:$A$185,0),MATCH($K$1,'Data-Input'!$B$163:$W$163,0)),0),0),IF(AND(W62&lt;&gt;"",$L$1&lt;&gt;""),IFERROR(INDEX('Data-Input'!$B$164:$W$185,MATCH(W62,'Data-Input'!$A$164:$A$185,0),MATCH($L$1,'Data-Input'!$B$163:$W$163,0)),0),0),IF(X62&lt;&gt;"",IFERROR(INDEX('Data-Input'!$B$164:$W$185,MATCH(X62,'Data-Input'!$A$164:$A$185,0),MATCH($K$1,'Data-Input'!$B$163:$W$163,0)),0),0),IF(AND(X62&lt;&gt;"",$L$1&lt;&gt;""),IFERROR(INDEX('Data-Input'!$B$164:$W$185,MATCH(X62,'Data-Input'!$A$164:$A$185,0),MATCH($L$1,'Data-Input'!$B$163:$W$163,0)),0),0))*$M$1)</f>
        <v>0</v>
      </c>
      <c r="Z62">
        <f>IF($A$1="",0,SUMPRODUCT(('Data-Input'!$A$29:$A$128=A62)*('Data-Input'!$B$29:$B$128="Tag")*((('Data-Input'!$C$29:$C$128=$K$1)+('Data-Input'!$C$29:$C$128=$L$1))&gt;0)*('Data-Input'!$D$29:$D$128-'Data-Input'!$E$29:$E$128))+SUMPRODUCT(('Data-Input'!$A$29:$A$128=A62)*('Data-Input'!$B$29:$B$128="Hero")*('Data-Input'!$C$29:$C$128=$A$1)*('Data-Input'!$D$29:$D$128-'Data-Input'!$E$29:$E$128)))</f>
        <v>0</v>
      </c>
    </row>
    <row r="63" spans="1:26" ht="15" customHeight="1" x14ac:dyDescent="0.3">
      <c r="A63" t="str">
        <f>Heroes!$B63</f>
        <v>Kaja</v>
      </c>
      <c r="B63" t="str">
        <f>Heroes!$C63</f>
        <v>Support</v>
      </c>
      <c r="C63" t="str">
        <f>Heroes!$D63</f>
        <v>Fighter</v>
      </c>
      <c r="D63">
        <f>Heroes!$E63</f>
        <v>60</v>
      </c>
      <c r="E63">
        <f>Heroes!$F63</f>
        <v>60</v>
      </c>
      <c r="F63">
        <f>Heroes!$H63</f>
        <v>70</v>
      </c>
      <c r="G63" t="str">
        <f>Heroes!$K63</f>
        <v>Magic</v>
      </c>
      <c r="H63">
        <f>Heroes!$Q63</f>
        <v>2</v>
      </c>
      <c r="I63">
        <f>IFERROR(INDEX('Data-Input'!$B$19:$G$24,MATCH(B63,'Data-Input'!$A$19:$A$24,0),MATCH($B$1,'Data-Input'!$B$18:$G$18,0)),0)</f>
        <v>0</v>
      </c>
      <c r="J63">
        <f>IF(C63&lt;&gt;"",IFERROR(INDEX('Data-Input'!$B$19:$G$24,MATCH(C63,'Data-Input'!$A$19:$A$24,0),MATCH($B$1,'Data-Input'!$B$18:$G$18,0)),0),I63)</f>
        <v>0</v>
      </c>
      <c r="K63">
        <f t="shared" si="10"/>
        <v>0</v>
      </c>
      <c r="L63">
        <f t="shared" si="11"/>
        <v>6</v>
      </c>
      <c r="M63">
        <f t="shared" si="12"/>
        <v>70</v>
      </c>
      <c r="N63">
        <f t="shared" si="13"/>
        <v>21</v>
      </c>
      <c r="O63">
        <f t="shared" si="14"/>
        <v>3</v>
      </c>
      <c r="P63">
        <f t="shared" si="15"/>
        <v>6</v>
      </c>
      <c r="Q63">
        <f t="shared" si="16"/>
        <v>36</v>
      </c>
      <c r="R63">
        <f>IFERROR(INDEX('Data-Input'!$C$190:$C$1189,MATCH(A63&amp;"|"&amp;$A$1,'Data-Input'!$E$190:$E$1189,0)),Q63)</f>
        <v>36</v>
      </c>
      <c r="S63">
        <f t="shared" si="17"/>
        <v>36</v>
      </c>
      <c r="T63">
        <f t="shared" si="18"/>
        <v>36.000006300000003</v>
      </c>
      <c r="U63" t="str">
        <f>Heroes!$M63</f>
        <v>Roaming</v>
      </c>
      <c r="V63">
        <f t="shared" si="19"/>
        <v>-1000000000000000</v>
      </c>
      <c r="W63" t="str">
        <f>Heroes!$I63</f>
        <v>Targeted CC</v>
      </c>
      <c r="X63" t="str">
        <f>Heroes!$J63</f>
        <v>Burst</v>
      </c>
      <c r="Y63">
        <f>IF($A$1="",0,MAX(IF(W63&lt;&gt;"",IFERROR(INDEX('Data-Input'!$B$164:$W$185,MATCH(W63,'Data-Input'!$A$164:$A$185,0),MATCH($K$1,'Data-Input'!$B$163:$W$163,0)),0),0),IF(AND(W63&lt;&gt;"",$L$1&lt;&gt;""),IFERROR(INDEX('Data-Input'!$B$164:$W$185,MATCH(W63,'Data-Input'!$A$164:$A$185,0),MATCH($L$1,'Data-Input'!$B$163:$W$163,0)),0),0),IF(X63&lt;&gt;"",IFERROR(INDEX('Data-Input'!$B$164:$W$185,MATCH(X63,'Data-Input'!$A$164:$A$185,0),MATCH($K$1,'Data-Input'!$B$163:$W$163,0)),0),0),IF(AND(X63&lt;&gt;"",$L$1&lt;&gt;""),IFERROR(INDEX('Data-Input'!$B$164:$W$185,MATCH(X63,'Data-Input'!$A$164:$A$185,0),MATCH($L$1,'Data-Input'!$B$163:$W$163,0)),0),0))*$M$1)</f>
        <v>0</v>
      </c>
      <c r="Z63">
        <f>IF($A$1="",0,SUMPRODUCT(('Data-Input'!$A$29:$A$128=A63)*('Data-Input'!$B$29:$B$128="Tag")*((('Data-Input'!$C$29:$C$128=$K$1)+('Data-Input'!$C$29:$C$128=$L$1))&gt;0)*('Data-Input'!$D$29:$D$128-'Data-Input'!$E$29:$E$128))+SUMPRODUCT(('Data-Input'!$A$29:$A$128=A63)*('Data-Input'!$B$29:$B$128="Hero")*('Data-Input'!$C$29:$C$128=$A$1)*('Data-Input'!$D$29:$D$128-'Data-Input'!$E$29:$E$128)))</f>
        <v>0</v>
      </c>
    </row>
    <row r="64" spans="1:26" ht="15" customHeight="1" x14ac:dyDescent="0.3">
      <c r="A64" t="str">
        <f>Heroes!$B64</f>
        <v>Selena</v>
      </c>
      <c r="B64" t="str">
        <f>Heroes!$C64</f>
        <v>Assassin</v>
      </c>
      <c r="C64" t="str">
        <f>Heroes!$D64</f>
        <v>Mage</v>
      </c>
      <c r="D64">
        <f>Heroes!$E64</f>
        <v>70</v>
      </c>
      <c r="E64">
        <f>Heroes!$F64</f>
        <v>100</v>
      </c>
      <c r="F64">
        <f>Heroes!$H64</f>
        <v>70</v>
      </c>
      <c r="G64" t="str">
        <f>Heroes!$K64</f>
        <v>Magic</v>
      </c>
      <c r="H64">
        <f>Heroes!$Q64</f>
        <v>2</v>
      </c>
      <c r="I64">
        <f>IFERROR(INDEX('Data-Input'!$B$19:$G$24,MATCH(B64,'Data-Input'!$A$19:$A$24,0),MATCH($B$1,'Data-Input'!$B$18:$G$18,0)),0)</f>
        <v>0</v>
      </c>
      <c r="J64">
        <f>IF(C64&lt;&gt;"",IFERROR(INDEX('Data-Input'!$B$19:$G$24,MATCH(C64,'Data-Input'!$A$19:$A$24,0),MATCH($B$1,'Data-Input'!$B$18:$G$18,0)),0),I64)</f>
        <v>0</v>
      </c>
      <c r="K64">
        <f t="shared" si="10"/>
        <v>0</v>
      </c>
      <c r="L64">
        <f t="shared" si="11"/>
        <v>8.5</v>
      </c>
      <c r="M64">
        <f t="shared" si="12"/>
        <v>70</v>
      </c>
      <c r="N64">
        <f t="shared" si="13"/>
        <v>21</v>
      </c>
      <c r="O64">
        <f t="shared" si="14"/>
        <v>3</v>
      </c>
      <c r="P64">
        <f t="shared" si="15"/>
        <v>6</v>
      </c>
      <c r="Q64">
        <f t="shared" si="16"/>
        <v>38.5</v>
      </c>
      <c r="R64">
        <f>IFERROR(INDEX('Data-Input'!$C$190:$C$1189,MATCH(A64&amp;"|"&amp;$A$1,'Data-Input'!$E$190:$E$1189,0)),Q64)</f>
        <v>38.5</v>
      </c>
      <c r="S64">
        <f t="shared" si="17"/>
        <v>38.5</v>
      </c>
      <c r="T64">
        <f t="shared" si="18"/>
        <v>38.500006399999997</v>
      </c>
      <c r="U64" t="str">
        <f>Heroes!$M64</f>
        <v>Mid Lane</v>
      </c>
      <c r="V64">
        <f t="shared" si="19"/>
        <v>-1000000000000000</v>
      </c>
      <c r="W64" t="str">
        <f>Heroes!$I64</f>
        <v>Vision</v>
      </c>
      <c r="X64" t="str">
        <f>Heroes!$J64</f>
        <v>Burst</v>
      </c>
      <c r="Y64">
        <f>IF($A$1="",0,MAX(IF(W64&lt;&gt;"",IFERROR(INDEX('Data-Input'!$B$164:$W$185,MATCH(W64,'Data-Input'!$A$164:$A$185,0),MATCH($K$1,'Data-Input'!$B$163:$W$163,0)),0),0),IF(AND(W64&lt;&gt;"",$L$1&lt;&gt;""),IFERROR(INDEX('Data-Input'!$B$164:$W$185,MATCH(W64,'Data-Input'!$A$164:$A$185,0),MATCH($L$1,'Data-Input'!$B$163:$W$163,0)),0),0),IF(X64&lt;&gt;"",IFERROR(INDEX('Data-Input'!$B$164:$W$185,MATCH(X64,'Data-Input'!$A$164:$A$185,0),MATCH($K$1,'Data-Input'!$B$163:$W$163,0)),0),0),IF(AND(X64&lt;&gt;"",$L$1&lt;&gt;""),IFERROR(INDEX('Data-Input'!$B$164:$W$185,MATCH(X64,'Data-Input'!$A$164:$A$185,0),MATCH($L$1,'Data-Input'!$B$163:$W$163,0)),0),0))*$M$1)</f>
        <v>0</v>
      </c>
      <c r="Z64">
        <f>IF($A$1="",0,SUMPRODUCT(('Data-Input'!$A$29:$A$128=A64)*('Data-Input'!$B$29:$B$128="Tag")*((('Data-Input'!$C$29:$C$128=$K$1)+('Data-Input'!$C$29:$C$128=$L$1))&gt;0)*('Data-Input'!$D$29:$D$128-'Data-Input'!$E$29:$E$128))+SUMPRODUCT(('Data-Input'!$A$29:$A$128=A64)*('Data-Input'!$B$29:$B$128="Hero")*('Data-Input'!$C$29:$C$128=$A$1)*('Data-Input'!$D$29:$D$128-'Data-Input'!$E$29:$E$128)))</f>
        <v>0</v>
      </c>
    </row>
    <row r="65" spans="1:26" ht="15" customHeight="1" x14ac:dyDescent="0.3">
      <c r="A65" t="str">
        <f>Heroes!$B65</f>
        <v>Aldous</v>
      </c>
      <c r="B65" t="str">
        <f>Heroes!$C65</f>
        <v>Fighter</v>
      </c>
      <c r="C65">
        <f>Heroes!$D65</f>
        <v>0</v>
      </c>
      <c r="D65">
        <f>Heroes!$E65</f>
        <v>30</v>
      </c>
      <c r="E65">
        <f>Heroes!$F65</f>
        <v>50</v>
      </c>
      <c r="F65">
        <f>Heroes!$H65</f>
        <v>60</v>
      </c>
      <c r="G65" t="str">
        <f>Heroes!$K65</f>
        <v>Physical</v>
      </c>
      <c r="H65">
        <f>Heroes!$Q65</f>
        <v>5</v>
      </c>
      <c r="I65">
        <f>IFERROR(INDEX('Data-Input'!$B$19:$G$24,MATCH(B65,'Data-Input'!$A$19:$A$24,0),MATCH($B$1,'Data-Input'!$B$18:$G$18,0)),0)</f>
        <v>0</v>
      </c>
      <c r="J65">
        <f>IF(C65&lt;&gt;"",IFERROR(INDEX('Data-Input'!$B$19:$G$24,MATCH(C65,'Data-Input'!$A$19:$A$24,0),MATCH($B$1,'Data-Input'!$B$18:$G$18,0)),0),I65)</f>
        <v>0</v>
      </c>
      <c r="K65">
        <f t="shared" si="10"/>
        <v>0</v>
      </c>
      <c r="L65">
        <f t="shared" si="11"/>
        <v>4</v>
      </c>
      <c r="M65">
        <f t="shared" si="12"/>
        <v>60</v>
      </c>
      <c r="N65">
        <f t="shared" si="13"/>
        <v>18</v>
      </c>
      <c r="O65">
        <f t="shared" si="14"/>
        <v>3</v>
      </c>
      <c r="P65">
        <f t="shared" si="15"/>
        <v>15</v>
      </c>
      <c r="Q65">
        <f t="shared" si="16"/>
        <v>40</v>
      </c>
      <c r="R65">
        <f>IFERROR(INDEX('Data-Input'!$C$190:$C$1189,MATCH(A65&amp;"|"&amp;$A$1,'Data-Input'!$E$190:$E$1189,0)),Q65)</f>
        <v>40</v>
      </c>
      <c r="S65">
        <f t="shared" si="17"/>
        <v>40</v>
      </c>
      <c r="T65">
        <f t="shared" si="18"/>
        <v>40.000006499999998</v>
      </c>
      <c r="U65" t="str">
        <f>Heroes!$M65</f>
        <v>EXP Lane</v>
      </c>
      <c r="V65">
        <f t="shared" si="19"/>
        <v>-1000000000000000</v>
      </c>
      <c r="W65" t="str">
        <f>Heroes!$I65</f>
        <v>Global Dive</v>
      </c>
      <c r="X65" t="str">
        <f>Heroes!$J65</f>
        <v>Burst</v>
      </c>
      <c r="Y65">
        <f>IF($A$1="",0,MAX(IF(W65&lt;&gt;"",IFERROR(INDEX('Data-Input'!$B$164:$W$185,MATCH(W65,'Data-Input'!$A$164:$A$185,0),MATCH($K$1,'Data-Input'!$B$163:$W$163,0)),0),0),IF(AND(W65&lt;&gt;"",$L$1&lt;&gt;""),IFERROR(INDEX('Data-Input'!$B$164:$W$185,MATCH(W65,'Data-Input'!$A$164:$A$185,0),MATCH($L$1,'Data-Input'!$B$163:$W$163,0)),0),0),IF(X65&lt;&gt;"",IFERROR(INDEX('Data-Input'!$B$164:$W$185,MATCH(X65,'Data-Input'!$A$164:$A$185,0),MATCH($K$1,'Data-Input'!$B$163:$W$163,0)),0),0),IF(AND(X65&lt;&gt;"",$L$1&lt;&gt;""),IFERROR(INDEX('Data-Input'!$B$164:$W$185,MATCH(X65,'Data-Input'!$A$164:$A$185,0),MATCH($L$1,'Data-Input'!$B$163:$W$163,0)),0),0))*$M$1)</f>
        <v>0</v>
      </c>
      <c r="Z65">
        <f>IF($A$1="",0,SUMPRODUCT(('Data-Input'!$A$29:$A$128=A65)*('Data-Input'!$B$29:$B$128="Tag")*((('Data-Input'!$C$29:$C$128=$K$1)+('Data-Input'!$C$29:$C$128=$L$1))&gt;0)*('Data-Input'!$D$29:$D$128-'Data-Input'!$E$29:$E$128))+SUMPRODUCT(('Data-Input'!$A$29:$A$128=A65)*('Data-Input'!$B$29:$B$128="Hero")*('Data-Input'!$C$29:$C$128=$A$1)*('Data-Input'!$D$29:$D$128-'Data-Input'!$E$29:$E$128)))</f>
        <v>0</v>
      </c>
    </row>
    <row r="66" spans="1:26" ht="15" customHeight="1" x14ac:dyDescent="0.3">
      <c r="A66" t="str">
        <f>Heroes!$B66</f>
        <v>Claude</v>
      </c>
      <c r="B66" t="str">
        <f>Heroes!$C66</f>
        <v>Marksman</v>
      </c>
      <c r="C66">
        <f>Heroes!$D66</f>
        <v>0</v>
      </c>
      <c r="D66">
        <f>Heroes!$E66</f>
        <v>60</v>
      </c>
      <c r="E66">
        <f>Heroes!$F66</f>
        <v>10</v>
      </c>
      <c r="F66">
        <f>Heroes!$H66</f>
        <v>60</v>
      </c>
      <c r="G66" t="str">
        <f>Heroes!$K66</f>
        <v>Physical</v>
      </c>
      <c r="H66">
        <f>Heroes!$Q66</f>
        <v>5</v>
      </c>
      <c r="I66">
        <f>IFERROR(INDEX('Data-Input'!$B$19:$G$24,MATCH(B66,'Data-Input'!$A$19:$A$24,0),MATCH($B$1,'Data-Input'!$B$18:$G$18,0)),0)</f>
        <v>0</v>
      </c>
      <c r="J66">
        <f>IF(C66&lt;&gt;"",IFERROR(INDEX('Data-Input'!$B$19:$G$24,MATCH(C66,'Data-Input'!$A$19:$A$24,0),MATCH($B$1,'Data-Input'!$B$18:$G$18,0)),0),I66)</f>
        <v>0</v>
      </c>
      <c r="K66">
        <f t="shared" ref="K66:K97" si="20">MAX(I66,J66)</f>
        <v>0</v>
      </c>
      <c r="L66">
        <f t="shared" ref="L66:L97" si="21">((D66+E66)/2-$C$1)*$H$1</f>
        <v>3.5</v>
      </c>
      <c r="M66">
        <f t="shared" ref="M66:M97" si="22">F66-$D$1</f>
        <v>60</v>
      </c>
      <c r="N66">
        <f t="shared" ref="N66:N97" si="23">IF(M66&gt;20,M66*$I$1,0)</f>
        <v>18</v>
      </c>
      <c r="O66">
        <f t="shared" ref="O66:O97" si="24">IF(G66="Mixed",$Q$1,IF(G66=$E$1,$O$1,$P$1))</f>
        <v>3</v>
      </c>
      <c r="P66">
        <f t="shared" ref="P66:P97" si="25">(H66-$F$1)*$N$1</f>
        <v>15</v>
      </c>
      <c r="Q66">
        <f t="shared" ref="Q66:Q97" si="26">K66*$G$1+L66+N66+O66+P66+Y66+Z66</f>
        <v>39.5</v>
      </c>
      <c r="R66">
        <f>IFERROR(INDEX('Data-Input'!$C$190:$C$1189,MATCH(A66&amp;"|"&amp;$A$1,'Data-Input'!$E$190:$E$1189,0)),Q66)</f>
        <v>39.5</v>
      </c>
      <c r="S66">
        <f t="shared" ref="S66:S97" si="27">IF(OR($A$1="",A66=$A$1),-1000000000000000,R66)</f>
        <v>39.5</v>
      </c>
      <c r="T66">
        <f t="shared" ref="T66:T97" si="28">S66+ROW()*0.0000001</f>
        <v>39.500006599999999</v>
      </c>
      <c r="U66" t="str">
        <f>Heroes!$M66</f>
        <v>Gold Lane</v>
      </c>
      <c r="V66">
        <f t="shared" ref="V66:V97" si="29">IF(OR($A$1="",A66=$A$1,U66="",U66&lt;&gt;$J$1),-1000000000000000,R66)+ROW()*0.0000001</f>
        <v>-1000000000000000</v>
      </c>
      <c r="W66" t="str">
        <f>Heroes!$I66</f>
        <v>High Mobility</v>
      </c>
      <c r="X66" t="str">
        <f>Heroes!$J66</f>
        <v>AoE Damage</v>
      </c>
      <c r="Y66">
        <f>IF($A$1="",0,MAX(IF(W66&lt;&gt;"",IFERROR(INDEX('Data-Input'!$B$164:$W$185,MATCH(W66,'Data-Input'!$A$164:$A$185,0),MATCH($K$1,'Data-Input'!$B$163:$W$163,0)),0),0),IF(AND(W66&lt;&gt;"",$L$1&lt;&gt;""),IFERROR(INDEX('Data-Input'!$B$164:$W$185,MATCH(W66,'Data-Input'!$A$164:$A$185,0),MATCH($L$1,'Data-Input'!$B$163:$W$163,0)),0),0),IF(X66&lt;&gt;"",IFERROR(INDEX('Data-Input'!$B$164:$W$185,MATCH(X66,'Data-Input'!$A$164:$A$185,0),MATCH($K$1,'Data-Input'!$B$163:$W$163,0)),0),0),IF(AND(X66&lt;&gt;"",$L$1&lt;&gt;""),IFERROR(INDEX('Data-Input'!$B$164:$W$185,MATCH(X66,'Data-Input'!$A$164:$A$185,0),MATCH($L$1,'Data-Input'!$B$163:$W$163,0)),0),0))*$M$1)</f>
        <v>0</v>
      </c>
      <c r="Z66">
        <f>IF($A$1="",0,SUMPRODUCT(('Data-Input'!$A$29:$A$128=A66)*('Data-Input'!$B$29:$B$128="Tag")*((('Data-Input'!$C$29:$C$128=$K$1)+('Data-Input'!$C$29:$C$128=$L$1))&gt;0)*('Data-Input'!$D$29:$D$128-'Data-Input'!$E$29:$E$128))+SUMPRODUCT(('Data-Input'!$A$29:$A$128=A66)*('Data-Input'!$B$29:$B$128="Hero")*('Data-Input'!$C$29:$C$128=$A$1)*('Data-Input'!$D$29:$D$128-'Data-Input'!$E$29:$E$128)))</f>
        <v>0</v>
      </c>
    </row>
    <row r="67" spans="1:26" ht="15" customHeight="1" x14ac:dyDescent="0.3">
      <c r="A67" t="str">
        <f>Heroes!$B67</f>
        <v>Vale</v>
      </c>
      <c r="B67" t="str">
        <f>Heroes!$C67</f>
        <v>Mage</v>
      </c>
      <c r="C67">
        <f>Heroes!$D67</f>
        <v>0</v>
      </c>
      <c r="D67">
        <f>Heroes!$E67</f>
        <v>100</v>
      </c>
      <c r="E67">
        <f>Heroes!$F67</f>
        <v>70</v>
      </c>
      <c r="F67">
        <f>Heroes!$H67</f>
        <v>20</v>
      </c>
      <c r="G67" t="str">
        <f>Heroes!$K67</f>
        <v>Magic</v>
      </c>
      <c r="H67">
        <f>Heroes!$Q67</f>
        <v>3</v>
      </c>
      <c r="I67">
        <f>IFERROR(INDEX('Data-Input'!$B$19:$G$24,MATCH(B67,'Data-Input'!$A$19:$A$24,0),MATCH($B$1,'Data-Input'!$B$18:$G$18,0)),0)</f>
        <v>0</v>
      </c>
      <c r="J67">
        <f>IF(C67&lt;&gt;"",IFERROR(INDEX('Data-Input'!$B$19:$G$24,MATCH(C67,'Data-Input'!$A$19:$A$24,0),MATCH($B$1,'Data-Input'!$B$18:$G$18,0)),0),I67)</f>
        <v>0</v>
      </c>
      <c r="K67">
        <f t="shared" si="20"/>
        <v>0</v>
      </c>
      <c r="L67">
        <f t="shared" si="21"/>
        <v>8.5</v>
      </c>
      <c r="M67">
        <f t="shared" si="22"/>
        <v>20</v>
      </c>
      <c r="N67">
        <f t="shared" si="23"/>
        <v>0</v>
      </c>
      <c r="O67">
        <f t="shared" si="24"/>
        <v>3</v>
      </c>
      <c r="P67">
        <f t="shared" si="25"/>
        <v>9</v>
      </c>
      <c r="Q67">
        <f t="shared" si="26"/>
        <v>20.5</v>
      </c>
      <c r="R67">
        <f>IFERROR(INDEX('Data-Input'!$C$190:$C$1189,MATCH(A67&amp;"|"&amp;$A$1,'Data-Input'!$E$190:$E$1189,0)),Q67)</f>
        <v>20.5</v>
      </c>
      <c r="S67">
        <f t="shared" si="27"/>
        <v>20.5</v>
      </c>
      <c r="T67">
        <f t="shared" si="28"/>
        <v>20.5000067</v>
      </c>
      <c r="U67" t="str">
        <f>Heroes!$M67</f>
        <v>Mid Lane</v>
      </c>
      <c r="V67">
        <f t="shared" si="29"/>
        <v>-1000000000000000</v>
      </c>
      <c r="W67" t="str">
        <f>Heroes!$I67</f>
        <v>AoE Damage</v>
      </c>
      <c r="X67" t="str">
        <f>Heroes!$J67</f>
        <v>Hard CC</v>
      </c>
      <c r="Y67">
        <f>IF($A$1="",0,MAX(IF(W67&lt;&gt;"",IFERROR(INDEX('Data-Input'!$B$164:$W$185,MATCH(W67,'Data-Input'!$A$164:$A$185,0),MATCH($K$1,'Data-Input'!$B$163:$W$163,0)),0),0),IF(AND(W67&lt;&gt;"",$L$1&lt;&gt;""),IFERROR(INDEX('Data-Input'!$B$164:$W$185,MATCH(W67,'Data-Input'!$A$164:$A$185,0),MATCH($L$1,'Data-Input'!$B$163:$W$163,0)),0),0),IF(X67&lt;&gt;"",IFERROR(INDEX('Data-Input'!$B$164:$W$185,MATCH(X67,'Data-Input'!$A$164:$A$185,0),MATCH($K$1,'Data-Input'!$B$163:$W$163,0)),0),0),IF(AND(X67&lt;&gt;"",$L$1&lt;&gt;""),IFERROR(INDEX('Data-Input'!$B$164:$W$185,MATCH(X67,'Data-Input'!$A$164:$A$185,0),MATCH($L$1,'Data-Input'!$B$163:$W$163,0)),0),0))*$M$1)</f>
        <v>0</v>
      </c>
      <c r="Z67">
        <f>IF($A$1="",0,SUMPRODUCT(('Data-Input'!$A$29:$A$128=A67)*('Data-Input'!$B$29:$B$128="Tag")*((('Data-Input'!$C$29:$C$128=$K$1)+('Data-Input'!$C$29:$C$128=$L$1))&gt;0)*('Data-Input'!$D$29:$D$128-'Data-Input'!$E$29:$E$128))+SUMPRODUCT(('Data-Input'!$A$29:$A$128=A67)*('Data-Input'!$B$29:$B$128="Hero")*('Data-Input'!$C$29:$C$128=$A$1)*('Data-Input'!$D$29:$D$128-'Data-Input'!$E$29:$E$128)))</f>
        <v>0</v>
      </c>
    </row>
    <row r="68" spans="1:26" ht="15" customHeight="1" x14ac:dyDescent="0.3">
      <c r="A68" t="str">
        <f>Heroes!$B68</f>
        <v>Leomord</v>
      </c>
      <c r="B68" t="str">
        <f>Heroes!$C68</f>
        <v>Fighter</v>
      </c>
      <c r="C68">
        <f>Heroes!$D68</f>
        <v>0</v>
      </c>
      <c r="D68">
        <f>Heroes!$E68</f>
        <v>50</v>
      </c>
      <c r="E68">
        <f>Heroes!$F68</f>
        <v>30</v>
      </c>
      <c r="F68">
        <f>Heroes!$H68</f>
        <v>60</v>
      </c>
      <c r="G68" t="str">
        <f>Heroes!$K68</f>
        <v>Physical</v>
      </c>
      <c r="H68">
        <f>Heroes!$Q68</f>
        <v>3</v>
      </c>
      <c r="I68">
        <f>IFERROR(INDEX('Data-Input'!$B$19:$G$24,MATCH(B68,'Data-Input'!$A$19:$A$24,0),MATCH($B$1,'Data-Input'!$B$18:$G$18,0)),0)</f>
        <v>0</v>
      </c>
      <c r="J68">
        <f>IF(C68&lt;&gt;"",IFERROR(INDEX('Data-Input'!$B$19:$G$24,MATCH(C68,'Data-Input'!$A$19:$A$24,0),MATCH($B$1,'Data-Input'!$B$18:$G$18,0)),0),I68)</f>
        <v>0</v>
      </c>
      <c r="K68">
        <f t="shared" si="20"/>
        <v>0</v>
      </c>
      <c r="L68">
        <f t="shared" si="21"/>
        <v>4</v>
      </c>
      <c r="M68">
        <f t="shared" si="22"/>
        <v>60</v>
      </c>
      <c r="N68">
        <f t="shared" si="23"/>
        <v>18</v>
      </c>
      <c r="O68">
        <f t="shared" si="24"/>
        <v>3</v>
      </c>
      <c r="P68">
        <f t="shared" si="25"/>
        <v>9</v>
      </c>
      <c r="Q68">
        <f t="shared" si="26"/>
        <v>34</v>
      </c>
      <c r="R68">
        <f>IFERROR(INDEX('Data-Input'!$C$190:$C$1189,MATCH(A68&amp;"|"&amp;$A$1,'Data-Input'!$E$190:$E$1189,0)),Q68)</f>
        <v>34</v>
      </c>
      <c r="S68">
        <f t="shared" si="27"/>
        <v>34</v>
      </c>
      <c r="T68">
        <f t="shared" si="28"/>
        <v>34.000006800000001</v>
      </c>
      <c r="U68" t="str">
        <f>Heroes!$M68</f>
        <v>Jungle</v>
      </c>
      <c r="V68">
        <f t="shared" si="29"/>
        <v>-1000000000000000</v>
      </c>
      <c r="W68" t="str">
        <f>Heroes!$I68</f>
        <v>Shield</v>
      </c>
      <c r="X68" t="str">
        <f>Heroes!$J68</f>
        <v>DPS</v>
      </c>
      <c r="Y68">
        <f>IF($A$1="",0,MAX(IF(W68&lt;&gt;"",IFERROR(INDEX('Data-Input'!$B$164:$W$185,MATCH(W68,'Data-Input'!$A$164:$A$185,0),MATCH($K$1,'Data-Input'!$B$163:$W$163,0)),0),0),IF(AND(W68&lt;&gt;"",$L$1&lt;&gt;""),IFERROR(INDEX('Data-Input'!$B$164:$W$185,MATCH(W68,'Data-Input'!$A$164:$A$185,0),MATCH($L$1,'Data-Input'!$B$163:$W$163,0)),0),0),IF(X68&lt;&gt;"",IFERROR(INDEX('Data-Input'!$B$164:$W$185,MATCH(X68,'Data-Input'!$A$164:$A$185,0),MATCH($K$1,'Data-Input'!$B$163:$W$163,0)),0),0),IF(AND(X68&lt;&gt;"",$L$1&lt;&gt;""),IFERROR(INDEX('Data-Input'!$B$164:$W$185,MATCH(X68,'Data-Input'!$A$164:$A$185,0),MATCH($L$1,'Data-Input'!$B$163:$W$163,0)),0),0))*$M$1)</f>
        <v>0</v>
      </c>
      <c r="Z68">
        <f>IF($A$1="",0,SUMPRODUCT(('Data-Input'!$A$29:$A$128=A68)*('Data-Input'!$B$29:$B$128="Tag")*((('Data-Input'!$C$29:$C$128=$K$1)+('Data-Input'!$C$29:$C$128=$L$1))&gt;0)*('Data-Input'!$D$29:$D$128-'Data-Input'!$E$29:$E$128))+SUMPRODUCT(('Data-Input'!$A$29:$A$128=A68)*('Data-Input'!$B$29:$B$128="Hero")*('Data-Input'!$C$29:$C$128=$A$1)*('Data-Input'!$D$29:$D$128-'Data-Input'!$E$29:$E$128)))</f>
        <v>0</v>
      </c>
    </row>
    <row r="69" spans="1:26" ht="15" customHeight="1" x14ac:dyDescent="0.3">
      <c r="A69" t="str">
        <f>Heroes!$B69</f>
        <v>Lunox</v>
      </c>
      <c r="B69" t="str">
        <f>Heroes!$C69</f>
        <v>Mage</v>
      </c>
      <c r="C69">
        <f>Heroes!$D69</f>
        <v>0</v>
      </c>
      <c r="D69">
        <f>Heroes!$E69</f>
        <v>90</v>
      </c>
      <c r="E69">
        <f>Heroes!$F69</f>
        <v>20</v>
      </c>
      <c r="F69">
        <f>Heroes!$H69</f>
        <v>90</v>
      </c>
      <c r="G69" t="str">
        <f>Heroes!$K69</f>
        <v>Magic</v>
      </c>
      <c r="H69">
        <f>Heroes!$Q69</f>
        <v>5</v>
      </c>
      <c r="I69">
        <f>IFERROR(INDEX('Data-Input'!$B$19:$G$24,MATCH(B69,'Data-Input'!$A$19:$A$24,0),MATCH($B$1,'Data-Input'!$B$18:$G$18,0)),0)</f>
        <v>0</v>
      </c>
      <c r="J69">
        <f>IF(C69&lt;&gt;"",IFERROR(INDEX('Data-Input'!$B$19:$G$24,MATCH(C69,'Data-Input'!$A$19:$A$24,0),MATCH($B$1,'Data-Input'!$B$18:$G$18,0)),0),I69)</f>
        <v>0</v>
      </c>
      <c r="K69">
        <f t="shared" si="20"/>
        <v>0</v>
      </c>
      <c r="L69">
        <f t="shared" si="21"/>
        <v>5.5</v>
      </c>
      <c r="M69">
        <f t="shared" si="22"/>
        <v>90</v>
      </c>
      <c r="N69">
        <f t="shared" si="23"/>
        <v>27</v>
      </c>
      <c r="O69">
        <f t="shared" si="24"/>
        <v>3</v>
      </c>
      <c r="P69">
        <f t="shared" si="25"/>
        <v>15</v>
      </c>
      <c r="Q69">
        <f t="shared" si="26"/>
        <v>50.5</v>
      </c>
      <c r="R69">
        <f>IFERROR(INDEX('Data-Input'!$C$190:$C$1189,MATCH(A69&amp;"|"&amp;$A$1,'Data-Input'!$E$190:$E$1189,0)),Q69)</f>
        <v>50.5</v>
      </c>
      <c r="S69">
        <f t="shared" si="27"/>
        <v>50.5</v>
      </c>
      <c r="T69">
        <f t="shared" si="28"/>
        <v>50.500006900000002</v>
      </c>
      <c r="U69" t="str">
        <f>Heroes!$M69</f>
        <v>Mid Lane</v>
      </c>
      <c r="V69">
        <f t="shared" si="29"/>
        <v>-1000000000000000</v>
      </c>
      <c r="W69" t="str">
        <f>Heroes!$I69</f>
        <v>Burst</v>
      </c>
      <c r="X69" t="str">
        <f>Heroes!$J69</f>
        <v>I-Frame</v>
      </c>
      <c r="Y69">
        <f>IF($A$1="",0,MAX(IF(W69&lt;&gt;"",IFERROR(INDEX('Data-Input'!$B$164:$W$185,MATCH(W69,'Data-Input'!$A$164:$A$185,0),MATCH($K$1,'Data-Input'!$B$163:$W$163,0)),0),0),IF(AND(W69&lt;&gt;"",$L$1&lt;&gt;""),IFERROR(INDEX('Data-Input'!$B$164:$W$185,MATCH(W69,'Data-Input'!$A$164:$A$185,0),MATCH($L$1,'Data-Input'!$B$163:$W$163,0)),0),0),IF(X69&lt;&gt;"",IFERROR(INDEX('Data-Input'!$B$164:$W$185,MATCH(X69,'Data-Input'!$A$164:$A$185,0),MATCH($K$1,'Data-Input'!$B$163:$W$163,0)),0),0),IF(AND(X69&lt;&gt;"",$L$1&lt;&gt;""),IFERROR(INDEX('Data-Input'!$B$164:$W$185,MATCH(X69,'Data-Input'!$A$164:$A$185,0),MATCH($L$1,'Data-Input'!$B$163:$W$163,0)),0),0))*$M$1)</f>
        <v>0</v>
      </c>
      <c r="Z69">
        <f>IF($A$1="",0,SUMPRODUCT(('Data-Input'!$A$29:$A$128=A69)*('Data-Input'!$B$29:$B$128="Tag")*((('Data-Input'!$C$29:$C$128=$K$1)+('Data-Input'!$C$29:$C$128=$L$1))&gt;0)*('Data-Input'!$D$29:$D$128-'Data-Input'!$E$29:$E$128))+SUMPRODUCT(('Data-Input'!$A$29:$A$128=A69)*('Data-Input'!$B$29:$B$128="Hero")*('Data-Input'!$C$29:$C$128=$A$1)*('Data-Input'!$D$29:$D$128-'Data-Input'!$E$29:$E$128)))</f>
        <v>0</v>
      </c>
    </row>
    <row r="70" spans="1:26" ht="15" customHeight="1" x14ac:dyDescent="0.3">
      <c r="A70" t="str">
        <f>Heroes!$B70</f>
        <v>Hanzo</v>
      </c>
      <c r="B70" t="str">
        <f>Heroes!$C70</f>
        <v>Assassin</v>
      </c>
      <c r="C70">
        <f>Heroes!$D70</f>
        <v>0</v>
      </c>
      <c r="D70">
        <f>Heroes!$E70</f>
        <v>80</v>
      </c>
      <c r="E70">
        <f>Heroes!$F70</f>
        <v>20</v>
      </c>
      <c r="F70">
        <f>Heroes!$H70</f>
        <v>80</v>
      </c>
      <c r="G70" t="str">
        <f>Heroes!$K70</f>
        <v>Physical</v>
      </c>
      <c r="H70">
        <f>Heroes!$Q70</f>
        <v>3</v>
      </c>
      <c r="I70">
        <f>IFERROR(INDEX('Data-Input'!$B$19:$G$24,MATCH(B70,'Data-Input'!$A$19:$A$24,0),MATCH($B$1,'Data-Input'!$B$18:$G$18,0)),0)</f>
        <v>0</v>
      </c>
      <c r="J70">
        <f>IF(C70&lt;&gt;"",IFERROR(INDEX('Data-Input'!$B$19:$G$24,MATCH(C70,'Data-Input'!$A$19:$A$24,0),MATCH($B$1,'Data-Input'!$B$18:$G$18,0)),0),I70)</f>
        <v>0</v>
      </c>
      <c r="K70">
        <f t="shared" si="20"/>
        <v>0</v>
      </c>
      <c r="L70">
        <f t="shared" si="21"/>
        <v>5</v>
      </c>
      <c r="M70">
        <f t="shared" si="22"/>
        <v>80</v>
      </c>
      <c r="N70">
        <f t="shared" si="23"/>
        <v>24</v>
      </c>
      <c r="O70">
        <f t="shared" si="24"/>
        <v>3</v>
      </c>
      <c r="P70">
        <f t="shared" si="25"/>
        <v>9</v>
      </c>
      <c r="Q70">
        <f t="shared" si="26"/>
        <v>41</v>
      </c>
      <c r="R70">
        <f>IFERROR(INDEX('Data-Input'!$C$190:$C$1189,MATCH(A70&amp;"|"&amp;$A$1,'Data-Input'!$E$190:$E$1189,0)),Q70)</f>
        <v>41</v>
      </c>
      <c r="S70">
        <f t="shared" si="27"/>
        <v>41</v>
      </c>
      <c r="T70">
        <f t="shared" si="28"/>
        <v>41.000006999999997</v>
      </c>
      <c r="U70" t="str">
        <f>Heroes!$M70</f>
        <v>Jungle</v>
      </c>
      <c r="V70">
        <f t="shared" si="29"/>
        <v>-1000000000000000</v>
      </c>
      <c r="W70" t="str">
        <f>Heroes!$I70</f>
        <v>Burst</v>
      </c>
      <c r="X70" t="str">
        <f>Heroes!$J70</f>
        <v>Vision</v>
      </c>
      <c r="Y70">
        <f>IF($A$1="",0,MAX(IF(W70&lt;&gt;"",IFERROR(INDEX('Data-Input'!$B$164:$W$185,MATCH(W70,'Data-Input'!$A$164:$A$185,0),MATCH($K$1,'Data-Input'!$B$163:$W$163,0)),0),0),IF(AND(W70&lt;&gt;"",$L$1&lt;&gt;""),IFERROR(INDEX('Data-Input'!$B$164:$W$185,MATCH(W70,'Data-Input'!$A$164:$A$185,0),MATCH($L$1,'Data-Input'!$B$163:$W$163,0)),0),0),IF(X70&lt;&gt;"",IFERROR(INDEX('Data-Input'!$B$164:$W$185,MATCH(X70,'Data-Input'!$A$164:$A$185,0),MATCH($K$1,'Data-Input'!$B$163:$W$163,0)),0),0),IF(AND(X70&lt;&gt;"",$L$1&lt;&gt;""),IFERROR(INDEX('Data-Input'!$B$164:$W$185,MATCH(X70,'Data-Input'!$A$164:$A$185,0),MATCH($L$1,'Data-Input'!$B$163:$W$163,0)),0),0))*$M$1)</f>
        <v>0</v>
      </c>
      <c r="Z70">
        <f>IF($A$1="",0,SUMPRODUCT(('Data-Input'!$A$29:$A$128=A70)*('Data-Input'!$B$29:$B$128="Tag")*((('Data-Input'!$C$29:$C$128=$K$1)+('Data-Input'!$C$29:$C$128=$L$1))&gt;0)*('Data-Input'!$D$29:$D$128-'Data-Input'!$E$29:$E$128))+SUMPRODUCT(('Data-Input'!$A$29:$A$128=A70)*('Data-Input'!$B$29:$B$128="Hero")*('Data-Input'!$C$29:$C$128=$A$1)*('Data-Input'!$D$29:$D$128-'Data-Input'!$E$29:$E$128)))</f>
        <v>0</v>
      </c>
    </row>
    <row r="71" spans="1:26" ht="15" customHeight="1" x14ac:dyDescent="0.3">
      <c r="A71" t="str">
        <f>Heroes!$B71</f>
        <v>Belerick</v>
      </c>
      <c r="B71" t="str">
        <f>Heroes!$C71</f>
        <v>Tank</v>
      </c>
      <c r="C71">
        <f>Heroes!$D71</f>
        <v>0</v>
      </c>
      <c r="D71">
        <f>Heroes!$E71</f>
        <v>40</v>
      </c>
      <c r="E71">
        <f>Heroes!$F71</f>
        <v>100</v>
      </c>
      <c r="F71">
        <f>Heroes!$H71</f>
        <v>10</v>
      </c>
      <c r="G71" t="str">
        <f>Heroes!$K71</f>
        <v>Magic</v>
      </c>
      <c r="H71">
        <f>Heroes!$Q71</f>
        <v>4</v>
      </c>
      <c r="I71">
        <f>IFERROR(INDEX('Data-Input'!$B$19:$G$24,MATCH(B71,'Data-Input'!$A$19:$A$24,0),MATCH($B$1,'Data-Input'!$B$18:$G$18,0)),0)</f>
        <v>0</v>
      </c>
      <c r="J71">
        <f>IF(C71&lt;&gt;"",IFERROR(INDEX('Data-Input'!$B$19:$G$24,MATCH(C71,'Data-Input'!$A$19:$A$24,0),MATCH($B$1,'Data-Input'!$B$18:$G$18,0)),0),I71)</f>
        <v>0</v>
      </c>
      <c r="K71">
        <f t="shared" si="20"/>
        <v>0</v>
      </c>
      <c r="L71">
        <f t="shared" si="21"/>
        <v>7</v>
      </c>
      <c r="M71">
        <f t="shared" si="22"/>
        <v>10</v>
      </c>
      <c r="N71">
        <f t="shared" si="23"/>
        <v>0</v>
      </c>
      <c r="O71">
        <f t="shared" si="24"/>
        <v>3</v>
      </c>
      <c r="P71">
        <f t="shared" si="25"/>
        <v>12</v>
      </c>
      <c r="Q71">
        <f t="shared" si="26"/>
        <v>22</v>
      </c>
      <c r="R71">
        <f>IFERROR(INDEX('Data-Input'!$C$190:$C$1189,MATCH(A71&amp;"|"&amp;$A$1,'Data-Input'!$E$190:$E$1189,0)),Q71)</f>
        <v>22</v>
      </c>
      <c r="S71">
        <f t="shared" si="27"/>
        <v>22</v>
      </c>
      <c r="T71">
        <f t="shared" si="28"/>
        <v>22.000007100000001</v>
      </c>
      <c r="U71" t="str">
        <f>Heroes!$M71</f>
        <v>Roaming</v>
      </c>
      <c r="V71">
        <f t="shared" si="29"/>
        <v>-1000000000000000</v>
      </c>
      <c r="W71" t="str">
        <f>Heroes!$I71</f>
        <v>Sustain</v>
      </c>
      <c r="X71" t="str">
        <f>Heroes!$J71</f>
        <v>AoE CC</v>
      </c>
      <c r="Y71">
        <f>IF($A$1="",0,MAX(IF(W71&lt;&gt;"",IFERROR(INDEX('Data-Input'!$B$164:$W$185,MATCH(W71,'Data-Input'!$A$164:$A$185,0),MATCH($K$1,'Data-Input'!$B$163:$W$163,0)),0),0),IF(AND(W71&lt;&gt;"",$L$1&lt;&gt;""),IFERROR(INDEX('Data-Input'!$B$164:$W$185,MATCH(W71,'Data-Input'!$A$164:$A$185,0),MATCH($L$1,'Data-Input'!$B$163:$W$163,0)),0),0),IF(X71&lt;&gt;"",IFERROR(INDEX('Data-Input'!$B$164:$W$185,MATCH(X71,'Data-Input'!$A$164:$A$185,0),MATCH($K$1,'Data-Input'!$B$163:$W$163,0)),0),0),IF(AND(X71&lt;&gt;"",$L$1&lt;&gt;""),IFERROR(INDEX('Data-Input'!$B$164:$W$185,MATCH(X71,'Data-Input'!$A$164:$A$185,0),MATCH($L$1,'Data-Input'!$B$163:$W$163,0)),0),0))*$M$1)</f>
        <v>0</v>
      </c>
      <c r="Z71">
        <f>IF($A$1="",0,SUMPRODUCT(('Data-Input'!$A$29:$A$128=A71)*('Data-Input'!$B$29:$B$128="Tag")*((('Data-Input'!$C$29:$C$128=$K$1)+('Data-Input'!$C$29:$C$128=$L$1))&gt;0)*('Data-Input'!$D$29:$D$128-'Data-Input'!$E$29:$E$128))+SUMPRODUCT(('Data-Input'!$A$29:$A$128=A71)*('Data-Input'!$B$29:$B$128="Hero")*('Data-Input'!$C$29:$C$128=$A$1)*('Data-Input'!$D$29:$D$128-'Data-Input'!$E$29:$E$128)))</f>
        <v>0</v>
      </c>
    </row>
    <row r="72" spans="1:26" ht="15" customHeight="1" x14ac:dyDescent="0.3">
      <c r="A72" t="str">
        <f>Heroes!$B72</f>
        <v>Kimmy</v>
      </c>
      <c r="B72" t="str">
        <f>Heroes!$C72</f>
        <v>Marksman</v>
      </c>
      <c r="C72" t="str">
        <f>Heroes!$D72</f>
        <v>Mage</v>
      </c>
      <c r="D72">
        <f>Heroes!$E72</f>
        <v>100</v>
      </c>
      <c r="E72">
        <f>Heroes!$F72</f>
        <v>10</v>
      </c>
      <c r="F72">
        <f>Heroes!$H72</f>
        <v>90</v>
      </c>
      <c r="G72" t="str">
        <f>Heroes!$K72</f>
        <v>Magic</v>
      </c>
      <c r="H72">
        <f>Heroes!$Q72</f>
        <v>3</v>
      </c>
      <c r="I72">
        <f>IFERROR(INDEX('Data-Input'!$B$19:$G$24,MATCH(B72,'Data-Input'!$A$19:$A$24,0),MATCH($B$1,'Data-Input'!$B$18:$G$18,0)),0)</f>
        <v>0</v>
      </c>
      <c r="J72">
        <f>IF(C72&lt;&gt;"",IFERROR(INDEX('Data-Input'!$B$19:$G$24,MATCH(C72,'Data-Input'!$A$19:$A$24,0),MATCH($B$1,'Data-Input'!$B$18:$G$18,0)),0),I72)</f>
        <v>0</v>
      </c>
      <c r="K72">
        <f t="shared" si="20"/>
        <v>0</v>
      </c>
      <c r="L72">
        <f t="shared" si="21"/>
        <v>5.5</v>
      </c>
      <c r="M72">
        <f t="shared" si="22"/>
        <v>90</v>
      </c>
      <c r="N72">
        <f t="shared" si="23"/>
        <v>27</v>
      </c>
      <c r="O72">
        <f t="shared" si="24"/>
        <v>3</v>
      </c>
      <c r="P72">
        <f t="shared" si="25"/>
        <v>9</v>
      </c>
      <c r="Q72">
        <f t="shared" si="26"/>
        <v>44.5</v>
      </c>
      <c r="R72">
        <f>IFERROR(INDEX('Data-Input'!$C$190:$C$1189,MATCH(A72&amp;"|"&amp;$A$1,'Data-Input'!$E$190:$E$1189,0)),Q72)</f>
        <v>44.5</v>
      </c>
      <c r="S72">
        <f t="shared" si="27"/>
        <v>44.5</v>
      </c>
      <c r="T72">
        <f t="shared" si="28"/>
        <v>44.500007199999999</v>
      </c>
      <c r="U72" t="str">
        <f>Heroes!$M72</f>
        <v>Mid Lane</v>
      </c>
      <c r="V72">
        <f t="shared" si="29"/>
        <v>-1000000000000000</v>
      </c>
      <c r="W72" t="str">
        <f>Heroes!$I72</f>
        <v>DPS</v>
      </c>
      <c r="X72" t="str">
        <f>Heroes!$J72</f>
        <v>Poke</v>
      </c>
      <c r="Y72">
        <f>IF($A$1="",0,MAX(IF(W72&lt;&gt;"",IFERROR(INDEX('Data-Input'!$B$164:$W$185,MATCH(W72,'Data-Input'!$A$164:$A$185,0),MATCH($K$1,'Data-Input'!$B$163:$W$163,0)),0),0),IF(AND(W72&lt;&gt;"",$L$1&lt;&gt;""),IFERROR(INDEX('Data-Input'!$B$164:$W$185,MATCH(W72,'Data-Input'!$A$164:$A$185,0),MATCH($L$1,'Data-Input'!$B$163:$W$163,0)),0),0),IF(X72&lt;&gt;"",IFERROR(INDEX('Data-Input'!$B$164:$W$185,MATCH(X72,'Data-Input'!$A$164:$A$185,0),MATCH($K$1,'Data-Input'!$B$163:$W$163,0)),0),0),IF(AND(X72&lt;&gt;"",$L$1&lt;&gt;""),IFERROR(INDEX('Data-Input'!$B$164:$W$185,MATCH(X72,'Data-Input'!$A$164:$A$185,0),MATCH($L$1,'Data-Input'!$B$163:$W$163,0)),0),0))*$M$1)</f>
        <v>0</v>
      </c>
      <c r="Z72">
        <f>IF($A$1="",0,SUMPRODUCT(('Data-Input'!$A$29:$A$128=A72)*('Data-Input'!$B$29:$B$128="Tag")*((('Data-Input'!$C$29:$C$128=$K$1)+('Data-Input'!$C$29:$C$128=$L$1))&gt;0)*('Data-Input'!$D$29:$D$128-'Data-Input'!$E$29:$E$128))+SUMPRODUCT(('Data-Input'!$A$29:$A$128=A72)*('Data-Input'!$B$29:$B$128="Hero")*('Data-Input'!$C$29:$C$128=$A$1)*('Data-Input'!$D$29:$D$128-'Data-Input'!$E$29:$E$128)))</f>
        <v>0</v>
      </c>
    </row>
    <row r="73" spans="1:26" ht="15" customHeight="1" x14ac:dyDescent="0.3">
      <c r="A73" t="str">
        <f>Heroes!$B73</f>
        <v>Thamuz</v>
      </c>
      <c r="B73" t="str">
        <f>Heroes!$C73</f>
        <v>Fighter</v>
      </c>
      <c r="C73">
        <f>Heroes!$D73</f>
        <v>0</v>
      </c>
      <c r="D73">
        <f>Heroes!$E73</f>
        <v>40</v>
      </c>
      <c r="E73">
        <f>Heroes!$F73</f>
        <v>20</v>
      </c>
      <c r="F73">
        <f>Heroes!$H73</f>
        <v>40</v>
      </c>
      <c r="G73" t="str">
        <f>Heroes!$K73</f>
        <v>Physical</v>
      </c>
      <c r="H73">
        <f>Heroes!$Q73</f>
        <v>3</v>
      </c>
      <c r="I73">
        <f>IFERROR(INDEX('Data-Input'!$B$19:$G$24,MATCH(B73,'Data-Input'!$A$19:$A$24,0),MATCH($B$1,'Data-Input'!$B$18:$G$18,0)),0)</f>
        <v>0</v>
      </c>
      <c r="J73">
        <f>IF(C73&lt;&gt;"",IFERROR(INDEX('Data-Input'!$B$19:$G$24,MATCH(C73,'Data-Input'!$A$19:$A$24,0),MATCH($B$1,'Data-Input'!$B$18:$G$18,0)),0),I73)</f>
        <v>0</v>
      </c>
      <c r="K73">
        <f t="shared" si="20"/>
        <v>0</v>
      </c>
      <c r="L73">
        <f t="shared" si="21"/>
        <v>3</v>
      </c>
      <c r="M73">
        <f t="shared" si="22"/>
        <v>40</v>
      </c>
      <c r="N73">
        <f t="shared" si="23"/>
        <v>12</v>
      </c>
      <c r="O73">
        <f t="shared" si="24"/>
        <v>3</v>
      </c>
      <c r="P73">
        <f t="shared" si="25"/>
        <v>9</v>
      </c>
      <c r="Q73">
        <f t="shared" si="26"/>
        <v>27</v>
      </c>
      <c r="R73">
        <f>IFERROR(INDEX('Data-Input'!$C$190:$C$1189,MATCH(A73&amp;"|"&amp;$A$1,'Data-Input'!$E$190:$E$1189,0)),Q73)</f>
        <v>27</v>
      </c>
      <c r="S73">
        <f t="shared" si="27"/>
        <v>27</v>
      </c>
      <c r="T73">
        <f t="shared" si="28"/>
        <v>27.0000073</v>
      </c>
      <c r="U73" t="str">
        <f>Heroes!$M73</f>
        <v>EXP Lane</v>
      </c>
      <c r="V73">
        <f t="shared" si="29"/>
        <v>-1000000000000000</v>
      </c>
      <c r="W73" t="str">
        <f>Heroes!$I73</f>
        <v>Sustain</v>
      </c>
      <c r="X73" t="str">
        <f>Heroes!$J73</f>
        <v>DPS</v>
      </c>
      <c r="Y73">
        <f>IF($A$1="",0,MAX(IF(W73&lt;&gt;"",IFERROR(INDEX('Data-Input'!$B$164:$W$185,MATCH(W73,'Data-Input'!$A$164:$A$185,0),MATCH($K$1,'Data-Input'!$B$163:$W$163,0)),0),0),IF(AND(W73&lt;&gt;"",$L$1&lt;&gt;""),IFERROR(INDEX('Data-Input'!$B$164:$W$185,MATCH(W73,'Data-Input'!$A$164:$A$185,0),MATCH($L$1,'Data-Input'!$B$163:$W$163,0)),0),0),IF(X73&lt;&gt;"",IFERROR(INDEX('Data-Input'!$B$164:$W$185,MATCH(X73,'Data-Input'!$A$164:$A$185,0),MATCH($K$1,'Data-Input'!$B$163:$W$163,0)),0),0),IF(AND(X73&lt;&gt;"",$L$1&lt;&gt;""),IFERROR(INDEX('Data-Input'!$B$164:$W$185,MATCH(X73,'Data-Input'!$A$164:$A$185,0),MATCH($L$1,'Data-Input'!$B$163:$W$163,0)),0),0))*$M$1)</f>
        <v>0</v>
      </c>
      <c r="Z73">
        <f>IF($A$1="",0,SUMPRODUCT(('Data-Input'!$A$29:$A$128=A73)*('Data-Input'!$B$29:$B$128="Tag")*((('Data-Input'!$C$29:$C$128=$K$1)+('Data-Input'!$C$29:$C$128=$L$1))&gt;0)*('Data-Input'!$D$29:$D$128-'Data-Input'!$E$29:$E$128))+SUMPRODUCT(('Data-Input'!$A$29:$A$128=A73)*('Data-Input'!$B$29:$B$128="Hero")*('Data-Input'!$C$29:$C$128=$A$1)*('Data-Input'!$D$29:$D$128-'Data-Input'!$E$29:$E$128)))</f>
        <v>0</v>
      </c>
    </row>
    <row r="74" spans="1:26" ht="15" customHeight="1" x14ac:dyDescent="0.3">
      <c r="A74" t="str">
        <f>Heroes!$B74</f>
        <v>Harith</v>
      </c>
      <c r="B74" t="str">
        <f>Heroes!$C74</f>
        <v>Mage</v>
      </c>
      <c r="C74">
        <f>Heroes!$D74</f>
        <v>0</v>
      </c>
      <c r="D74">
        <f>Heroes!$E74</f>
        <v>50</v>
      </c>
      <c r="E74">
        <f>Heroes!$F74</f>
        <v>10</v>
      </c>
      <c r="F74">
        <f>Heroes!$H74</f>
        <v>50</v>
      </c>
      <c r="G74" t="str">
        <f>Heroes!$K74</f>
        <v>Magic</v>
      </c>
      <c r="H74">
        <f>Heroes!$Q74</f>
        <v>3</v>
      </c>
      <c r="I74">
        <f>IFERROR(INDEX('Data-Input'!$B$19:$G$24,MATCH(B74,'Data-Input'!$A$19:$A$24,0),MATCH($B$1,'Data-Input'!$B$18:$G$18,0)),0)</f>
        <v>0</v>
      </c>
      <c r="J74">
        <f>IF(C74&lt;&gt;"",IFERROR(INDEX('Data-Input'!$B$19:$G$24,MATCH(C74,'Data-Input'!$A$19:$A$24,0),MATCH($B$1,'Data-Input'!$B$18:$G$18,0)),0),I74)</f>
        <v>0</v>
      </c>
      <c r="K74">
        <f t="shared" si="20"/>
        <v>0</v>
      </c>
      <c r="L74">
        <f t="shared" si="21"/>
        <v>3</v>
      </c>
      <c r="M74">
        <f t="shared" si="22"/>
        <v>50</v>
      </c>
      <c r="N74">
        <f t="shared" si="23"/>
        <v>15</v>
      </c>
      <c r="O74">
        <f t="shared" si="24"/>
        <v>3</v>
      </c>
      <c r="P74">
        <f t="shared" si="25"/>
        <v>9</v>
      </c>
      <c r="Q74">
        <f t="shared" si="26"/>
        <v>30</v>
      </c>
      <c r="R74">
        <f>IFERROR(INDEX('Data-Input'!$C$190:$C$1189,MATCH(A74&amp;"|"&amp;$A$1,'Data-Input'!$E$190:$E$1189,0)),Q74)</f>
        <v>30</v>
      </c>
      <c r="S74">
        <f t="shared" si="27"/>
        <v>30</v>
      </c>
      <c r="T74">
        <f t="shared" si="28"/>
        <v>30.000007400000001</v>
      </c>
      <c r="U74" t="str">
        <f>Heroes!$M74</f>
        <v>Gold Lane</v>
      </c>
      <c r="V74">
        <f t="shared" si="29"/>
        <v>-1000000000000000</v>
      </c>
      <c r="W74" t="str">
        <f>Heroes!$I74</f>
        <v>Shield</v>
      </c>
      <c r="X74" t="str">
        <f>Heroes!$J74</f>
        <v>Dash/Blink</v>
      </c>
      <c r="Y74">
        <f>IF($A$1="",0,MAX(IF(W74&lt;&gt;"",IFERROR(INDEX('Data-Input'!$B$164:$W$185,MATCH(W74,'Data-Input'!$A$164:$A$185,0),MATCH($K$1,'Data-Input'!$B$163:$W$163,0)),0),0),IF(AND(W74&lt;&gt;"",$L$1&lt;&gt;""),IFERROR(INDEX('Data-Input'!$B$164:$W$185,MATCH(W74,'Data-Input'!$A$164:$A$185,0),MATCH($L$1,'Data-Input'!$B$163:$W$163,0)),0),0),IF(X74&lt;&gt;"",IFERROR(INDEX('Data-Input'!$B$164:$W$185,MATCH(X74,'Data-Input'!$A$164:$A$185,0),MATCH($K$1,'Data-Input'!$B$163:$W$163,0)),0),0),IF(AND(X74&lt;&gt;"",$L$1&lt;&gt;""),IFERROR(INDEX('Data-Input'!$B$164:$W$185,MATCH(X74,'Data-Input'!$A$164:$A$185,0),MATCH($L$1,'Data-Input'!$B$163:$W$163,0)),0),0))*$M$1)</f>
        <v>0</v>
      </c>
      <c r="Z74">
        <f>IF($A$1="",0,SUMPRODUCT(('Data-Input'!$A$29:$A$128=A74)*('Data-Input'!$B$29:$B$128="Tag")*((('Data-Input'!$C$29:$C$128=$K$1)+('Data-Input'!$C$29:$C$128=$L$1))&gt;0)*('Data-Input'!$D$29:$D$128-'Data-Input'!$E$29:$E$128))+SUMPRODUCT(('Data-Input'!$A$29:$A$128=A74)*('Data-Input'!$B$29:$B$128="Hero")*('Data-Input'!$C$29:$C$128=$A$1)*('Data-Input'!$D$29:$D$128-'Data-Input'!$E$29:$E$128)))</f>
        <v>0</v>
      </c>
    </row>
    <row r="75" spans="1:26" ht="15" customHeight="1" x14ac:dyDescent="0.3">
      <c r="A75" t="str">
        <f>Heroes!$B75</f>
        <v>Minsitthar</v>
      </c>
      <c r="B75" t="str">
        <f>Heroes!$C75</f>
        <v>Fighter</v>
      </c>
      <c r="C75">
        <f>Heroes!$D75</f>
        <v>0</v>
      </c>
      <c r="D75">
        <f>Heroes!$E75</f>
        <v>40</v>
      </c>
      <c r="E75">
        <f>Heroes!$F75</f>
        <v>80</v>
      </c>
      <c r="F75">
        <f>Heroes!$H75</f>
        <v>40</v>
      </c>
      <c r="G75" t="str">
        <f>Heroes!$K75</f>
        <v>Physical</v>
      </c>
      <c r="H75">
        <f>Heroes!$Q75</f>
        <v>3</v>
      </c>
      <c r="I75">
        <f>IFERROR(INDEX('Data-Input'!$B$19:$G$24,MATCH(B75,'Data-Input'!$A$19:$A$24,0),MATCH($B$1,'Data-Input'!$B$18:$G$18,0)),0)</f>
        <v>0</v>
      </c>
      <c r="J75">
        <f>IF(C75&lt;&gt;"",IFERROR(INDEX('Data-Input'!$B$19:$G$24,MATCH(C75,'Data-Input'!$A$19:$A$24,0),MATCH($B$1,'Data-Input'!$B$18:$G$18,0)),0),I75)</f>
        <v>0</v>
      </c>
      <c r="K75">
        <f t="shared" si="20"/>
        <v>0</v>
      </c>
      <c r="L75">
        <f t="shared" si="21"/>
        <v>6</v>
      </c>
      <c r="M75">
        <f t="shared" si="22"/>
        <v>40</v>
      </c>
      <c r="N75">
        <f t="shared" si="23"/>
        <v>12</v>
      </c>
      <c r="O75">
        <f t="shared" si="24"/>
        <v>3</v>
      </c>
      <c r="P75">
        <f t="shared" si="25"/>
        <v>9</v>
      </c>
      <c r="Q75">
        <f t="shared" si="26"/>
        <v>30</v>
      </c>
      <c r="R75">
        <f>IFERROR(INDEX('Data-Input'!$C$190:$C$1189,MATCH(A75&amp;"|"&amp;$A$1,'Data-Input'!$E$190:$E$1189,0)),Q75)</f>
        <v>30</v>
      </c>
      <c r="S75">
        <f t="shared" si="27"/>
        <v>30</v>
      </c>
      <c r="T75">
        <f t="shared" si="28"/>
        <v>30.000007499999999</v>
      </c>
      <c r="U75" t="str">
        <f>Heroes!$M75</f>
        <v>EXP Lane</v>
      </c>
      <c r="V75">
        <f t="shared" si="29"/>
        <v>-1000000000000000</v>
      </c>
      <c r="W75" t="str">
        <f>Heroes!$I75</f>
        <v>Hard CC</v>
      </c>
      <c r="X75" t="str">
        <f>Heroes!$J75</f>
        <v>AoE CC</v>
      </c>
      <c r="Y75">
        <f>IF($A$1="",0,MAX(IF(W75&lt;&gt;"",IFERROR(INDEX('Data-Input'!$B$164:$W$185,MATCH(W75,'Data-Input'!$A$164:$A$185,0),MATCH($K$1,'Data-Input'!$B$163:$W$163,0)),0),0),IF(AND(W75&lt;&gt;"",$L$1&lt;&gt;""),IFERROR(INDEX('Data-Input'!$B$164:$W$185,MATCH(W75,'Data-Input'!$A$164:$A$185,0),MATCH($L$1,'Data-Input'!$B$163:$W$163,0)),0),0),IF(X75&lt;&gt;"",IFERROR(INDEX('Data-Input'!$B$164:$W$185,MATCH(X75,'Data-Input'!$A$164:$A$185,0),MATCH($K$1,'Data-Input'!$B$163:$W$163,0)),0),0),IF(AND(X75&lt;&gt;"",$L$1&lt;&gt;""),IFERROR(INDEX('Data-Input'!$B$164:$W$185,MATCH(X75,'Data-Input'!$A$164:$A$185,0),MATCH($L$1,'Data-Input'!$B$163:$W$163,0)),0),0))*$M$1)</f>
        <v>0</v>
      </c>
      <c r="Z75">
        <f>IF($A$1="",0,SUMPRODUCT(('Data-Input'!$A$29:$A$128=A75)*('Data-Input'!$B$29:$B$128="Tag")*((('Data-Input'!$C$29:$C$128=$K$1)+('Data-Input'!$C$29:$C$128=$L$1))&gt;0)*('Data-Input'!$D$29:$D$128-'Data-Input'!$E$29:$E$128))+SUMPRODUCT(('Data-Input'!$A$29:$A$128=A75)*('Data-Input'!$B$29:$B$128="Hero")*('Data-Input'!$C$29:$C$128=$A$1)*('Data-Input'!$D$29:$D$128-'Data-Input'!$E$29:$E$128)))</f>
        <v>0</v>
      </c>
    </row>
    <row r="76" spans="1:26" ht="15" customHeight="1" x14ac:dyDescent="0.3">
      <c r="A76" t="str">
        <f>Heroes!$B76</f>
        <v>Kadita</v>
      </c>
      <c r="B76" t="str">
        <f>Heroes!$C76</f>
        <v>Mage</v>
      </c>
      <c r="C76" t="str">
        <f>Heroes!$D76</f>
        <v>Assassin</v>
      </c>
      <c r="D76">
        <f>Heroes!$E76</f>
        <v>80</v>
      </c>
      <c r="E76">
        <f>Heroes!$F76</f>
        <v>80</v>
      </c>
      <c r="F76">
        <f>Heroes!$H76</f>
        <v>60</v>
      </c>
      <c r="G76" t="str">
        <f>Heroes!$K76</f>
        <v>Magic</v>
      </c>
      <c r="H76">
        <f>Heroes!$Q76</f>
        <v>2</v>
      </c>
      <c r="I76">
        <f>IFERROR(INDEX('Data-Input'!$B$19:$G$24,MATCH(B76,'Data-Input'!$A$19:$A$24,0),MATCH($B$1,'Data-Input'!$B$18:$G$18,0)),0)</f>
        <v>0</v>
      </c>
      <c r="J76">
        <f>IF(C76&lt;&gt;"",IFERROR(INDEX('Data-Input'!$B$19:$G$24,MATCH(C76,'Data-Input'!$A$19:$A$24,0),MATCH($B$1,'Data-Input'!$B$18:$G$18,0)),0),I76)</f>
        <v>0</v>
      </c>
      <c r="K76">
        <f t="shared" si="20"/>
        <v>0</v>
      </c>
      <c r="L76">
        <f t="shared" si="21"/>
        <v>8</v>
      </c>
      <c r="M76">
        <f t="shared" si="22"/>
        <v>60</v>
      </c>
      <c r="N76">
        <f t="shared" si="23"/>
        <v>18</v>
      </c>
      <c r="O76">
        <f t="shared" si="24"/>
        <v>3</v>
      </c>
      <c r="P76">
        <f t="shared" si="25"/>
        <v>6</v>
      </c>
      <c r="Q76">
        <f t="shared" si="26"/>
        <v>35</v>
      </c>
      <c r="R76">
        <f>IFERROR(INDEX('Data-Input'!$C$190:$C$1189,MATCH(A76&amp;"|"&amp;$A$1,'Data-Input'!$E$190:$E$1189,0)),Q76)</f>
        <v>35</v>
      </c>
      <c r="S76">
        <f t="shared" si="27"/>
        <v>35</v>
      </c>
      <c r="T76">
        <f t="shared" si="28"/>
        <v>35.000007600000004</v>
      </c>
      <c r="U76" t="str">
        <f>Heroes!$M76</f>
        <v>Mid Lane</v>
      </c>
      <c r="V76">
        <f t="shared" si="29"/>
        <v>-1000000000000000</v>
      </c>
      <c r="W76" t="str">
        <f>Heroes!$I76</f>
        <v>Burst</v>
      </c>
      <c r="X76" t="str">
        <f>Heroes!$J76</f>
        <v>I-Frame</v>
      </c>
      <c r="Y76">
        <f>IF($A$1="",0,MAX(IF(W76&lt;&gt;"",IFERROR(INDEX('Data-Input'!$B$164:$W$185,MATCH(W76,'Data-Input'!$A$164:$A$185,0),MATCH($K$1,'Data-Input'!$B$163:$W$163,0)),0),0),IF(AND(W76&lt;&gt;"",$L$1&lt;&gt;""),IFERROR(INDEX('Data-Input'!$B$164:$W$185,MATCH(W76,'Data-Input'!$A$164:$A$185,0),MATCH($L$1,'Data-Input'!$B$163:$W$163,0)),0),0),IF(X76&lt;&gt;"",IFERROR(INDEX('Data-Input'!$B$164:$W$185,MATCH(X76,'Data-Input'!$A$164:$A$185,0),MATCH($K$1,'Data-Input'!$B$163:$W$163,0)),0),0),IF(AND(X76&lt;&gt;"",$L$1&lt;&gt;""),IFERROR(INDEX('Data-Input'!$B$164:$W$185,MATCH(X76,'Data-Input'!$A$164:$A$185,0),MATCH($L$1,'Data-Input'!$B$163:$W$163,0)),0),0))*$M$1)</f>
        <v>0</v>
      </c>
      <c r="Z76">
        <f>IF($A$1="",0,SUMPRODUCT(('Data-Input'!$A$29:$A$128=A76)*('Data-Input'!$B$29:$B$128="Tag")*((('Data-Input'!$C$29:$C$128=$K$1)+('Data-Input'!$C$29:$C$128=$L$1))&gt;0)*('Data-Input'!$D$29:$D$128-'Data-Input'!$E$29:$E$128))+SUMPRODUCT(('Data-Input'!$A$29:$A$128=A76)*('Data-Input'!$B$29:$B$128="Hero")*('Data-Input'!$C$29:$C$128=$A$1)*('Data-Input'!$D$29:$D$128-'Data-Input'!$E$29:$E$128)))</f>
        <v>0</v>
      </c>
    </row>
    <row r="77" spans="1:26" ht="15" customHeight="1" x14ac:dyDescent="0.3">
      <c r="A77" t="str">
        <f>Heroes!$B77</f>
        <v>Faramis</v>
      </c>
      <c r="B77" t="str">
        <f>Heroes!$C77</f>
        <v>Support</v>
      </c>
      <c r="C77" t="str">
        <f>Heroes!$D77</f>
        <v>Mage</v>
      </c>
      <c r="D77">
        <f>Heroes!$E77</f>
        <v>60</v>
      </c>
      <c r="E77">
        <f>Heroes!$F77</f>
        <v>10</v>
      </c>
      <c r="F77">
        <f>Heroes!$H77</f>
        <v>40</v>
      </c>
      <c r="G77" t="str">
        <f>Heroes!$K77</f>
        <v>Magic</v>
      </c>
      <c r="H77">
        <f>Heroes!$Q77</f>
        <v>5</v>
      </c>
      <c r="I77">
        <f>IFERROR(INDEX('Data-Input'!$B$19:$G$24,MATCH(B77,'Data-Input'!$A$19:$A$24,0),MATCH($B$1,'Data-Input'!$B$18:$G$18,0)),0)</f>
        <v>0</v>
      </c>
      <c r="J77">
        <f>IF(C77&lt;&gt;"",IFERROR(INDEX('Data-Input'!$B$19:$G$24,MATCH(C77,'Data-Input'!$A$19:$A$24,0),MATCH($B$1,'Data-Input'!$B$18:$G$18,0)),0),I77)</f>
        <v>0</v>
      </c>
      <c r="K77">
        <f t="shared" si="20"/>
        <v>0</v>
      </c>
      <c r="L77">
        <f t="shared" si="21"/>
        <v>3.5</v>
      </c>
      <c r="M77">
        <f t="shared" si="22"/>
        <v>40</v>
      </c>
      <c r="N77">
        <f t="shared" si="23"/>
        <v>12</v>
      </c>
      <c r="O77">
        <f t="shared" si="24"/>
        <v>3</v>
      </c>
      <c r="P77">
        <f t="shared" si="25"/>
        <v>15</v>
      </c>
      <c r="Q77">
        <f t="shared" si="26"/>
        <v>33.5</v>
      </c>
      <c r="R77">
        <f>IFERROR(INDEX('Data-Input'!$C$190:$C$1189,MATCH(A77&amp;"|"&amp;$A$1,'Data-Input'!$E$190:$E$1189,0)),Q77)</f>
        <v>33.5</v>
      </c>
      <c r="S77">
        <f t="shared" si="27"/>
        <v>33.5</v>
      </c>
      <c r="T77">
        <f t="shared" si="28"/>
        <v>33.500007699999998</v>
      </c>
      <c r="U77" t="str">
        <f>Heroes!$M77</f>
        <v>Mid Lane</v>
      </c>
      <c r="V77">
        <f t="shared" si="29"/>
        <v>-1000000000000000</v>
      </c>
      <c r="W77" t="str">
        <f>Heroes!$I77</f>
        <v>Healing</v>
      </c>
      <c r="X77" t="str">
        <f>Heroes!$J77</f>
        <v>AoE Damage</v>
      </c>
      <c r="Y77">
        <f>IF($A$1="",0,MAX(IF(W77&lt;&gt;"",IFERROR(INDEX('Data-Input'!$B$164:$W$185,MATCH(W77,'Data-Input'!$A$164:$A$185,0),MATCH($K$1,'Data-Input'!$B$163:$W$163,0)),0),0),IF(AND(W77&lt;&gt;"",$L$1&lt;&gt;""),IFERROR(INDEX('Data-Input'!$B$164:$W$185,MATCH(W77,'Data-Input'!$A$164:$A$185,0),MATCH($L$1,'Data-Input'!$B$163:$W$163,0)),0),0),IF(X77&lt;&gt;"",IFERROR(INDEX('Data-Input'!$B$164:$W$185,MATCH(X77,'Data-Input'!$A$164:$A$185,0),MATCH($K$1,'Data-Input'!$B$163:$W$163,0)),0),0),IF(AND(X77&lt;&gt;"",$L$1&lt;&gt;""),IFERROR(INDEX('Data-Input'!$B$164:$W$185,MATCH(X77,'Data-Input'!$A$164:$A$185,0),MATCH($L$1,'Data-Input'!$B$163:$W$163,0)),0),0))*$M$1)</f>
        <v>0</v>
      </c>
      <c r="Z77">
        <f>IF($A$1="",0,SUMPRODUCT(('Data-Input'!$A$29:$A$128=A77)*('Data-Input'!$B$29:$B$128="Tag")*((('Data-Input'!$C$29:$C$128=$K$1)+('Data-Input'!$C$29:$C$128=$L$1))&gt;0)*('Data-Input'!$D$29:$D$128-'Data-Input'!$E$29:$E$128))+SUMPRODUCT(('Data-Input'!$A$29:$A$128=A77)*('Data-Input'!$B$29:$B$128="Hero")*('Data-Input'!$C$29:$C$128=$A$1)*('Data-Input'!$D$29:$D$128-'Data-Input'!$E$29:$E$128)))</f>
        <v>0</v>
      </c>
    </row>
    <row r="78" spans="1:26" ht="15" customHeight="1" x14ac:dyDescent="0.3">
      <c r="A78" t="str">
        <f>Heroes!$B78</f>
        <v>Badang</v>
      </c>
      <c r="B78" t="str">
        <f>Heroes!$C78</f>
        <v>Fighter</v>
      </c>
      <c r="C78">
        <f>Heroes!$D78</f>
        <v>0</v>
      </c>
      <c r="D78">
        <f>Heroes!$E78</f>
        <v>70</v>
      </c>
      <c r="E78">
        <f>Heroes!$F78</f>
        <v>50</v>
      </c>
      <c r="F78">
        <f>Heroes!$H78</f>
        <v>10</v>
      </c>
      <c r="G78" t="str">
        <f>Heroes!$K78</f>
        <v>Physical</v>
      </c>
      <c r="H78">
        <f>Heroes!$Q78</f>
        <v>2</v>
      </c>
      <c r="I78">
        <f>IFERROR(INDEX('Data-Input'!$B$19:$G$24,MATCH(B78,'Data-Input'!$A$19:$A$24,0),MATCH($B$1,'Data-Input'!$B$18:$G$18,0)),0)</f>
        <v>0</v>
      </c>
      <c r="J78">
        <f>IF(C78&lt;&gt;"",IFERROR(INDEX('Data-Input'!$B$19:$G$24,MATCH(C78,'Data-Input'!$A$19:$A$24,0),MATCH($B$1,'Data-Input'!$B$18:$G$18,0)),0),I78)</f>
        <v>0</v>
      </c>
      <c r="K78">
        <f t="shared" si="20"/>
        <v>0</v>
      </c>
      <c r="L78">
        <f t="shared" si="21"/>
        <v>6</v>
      </c>
      <c r="M78">
        <f t="shared" si="22"/>
        <v>10</v>
      </c>
      <c r="N78">
        <f t="shared" si="23"/>
        <v>0</v>
      </c>
      <c r="O78">
        <f t="shared" si="24"/>
        <v>3</v>
      </c>
      <c r="P78">
        <f t="shared" si="25"/>
        <v>6</v>
      </c>
      <c r="Q78">
        <f t="shared" si="26"/>
        <v>15</v>
      </c>
      <c r="R78">
        <f>IFERROR(INDEX('Data-Input'!$C$190:$C$1189,MATCH(A78&amp;"|"&amp;$A$1,'Data-Input'!$E$190:$E$1189,0)),Q78)</f>
        <v>15</v>
      </c>
      <c r="S78">
        <f t="shared" si="27"/>
        <v>15</v>
      </c>
      <c r="T78">
        <f t="shared" si="28"/>
        <v>15.000007800000001</v>
      </c>
      <c r="U78" t="str">
        <f>Heroes!$M78</f>
        <v>Roaming</v>
      </c>
      <c r="V78">
        <f t="shared" si="29"/>
        <v>-1000000000000000</v>
      </c>
      <c r="W78" t="str">
        <f>Heroes!$I78</f>
        <v>Hard CC</v>
      </c>
      <c r="X78" t="str">
        <f>Heroes!$J78</f>
        <v>Burst</v>
      </c>
      <c r="Y78">
        <f>IF($A$1="",0,MAX(IF(W78&lt;&gt;"",IFERROR(INDEX('Data-Input'!$B$164:$W$185,MATCH(W78,'Data-Input'!$A$164:$A$185,0),MATCH($K$1,'Data-Input'!$B$163:$W$163,0)),0),0),IF(AND(W78&lt;&gt;"",$L$1&lt;&gt;""),IFERROR(INDEX('Data-Input'!$B$164:$W$185,MATCH(W78,'Data-Input'!$A$164:$A$185,0),MATCH($L$1,'Data-Input'!$B$163:$W$163,0)),0),0),IF(X78&lt;&gt;"",IFERROR(INDEX('Data-Input'!$B$164:$W$185,MATCH(X78,'Data-Input'!$A$164:$A$185,0),MATCH($K$1,'Data-Input'!$B$163:$W$163,0)),0),0),IF(AND(X78&lt;&gt;"",$L$1&lt;&gt;""),IFERROR(INDEX('Data-Input'!$B$164:$W$185,MATCH(X78,'Data-Input'!$A$164:$A$185,0),MATCH($L$1,'Data-Input'!$B$163:$W$163,0)),0),0))*$M$1)</f>
        <v>0</v>
      </c>
      <c r="Z78">
        <f>IF($A$1="",0,SUMPRODUCT(('Data-Input'!$A$29:$A$128=A78)*('Data-Input'!$B$29:$B$128="Tag")*((('Data-Input'!$C$29:$C$128=$K$1)+('Data-Input'!$C$29:$C$128=$L$1))&gt;0)*('Data-Input'!$D$29:$D$128-'Data-Input'!$E$29:$E$128))+SUMPRODUCT(('Data-Input'!$A$29:$A$128=A78)*('Data-Input'!$B$29:$B$128="Hero")*('Data-Input'!$C$29:$C$128=$A$1)*('Data-Input'!$D$29:$D$128-'Data-Input'!$E$29:$E$128)))</f>
        <v>0</v>
      </c>
    </row>
    <row r="79" spans="1:26" ht="15" customHeight="1" x14ac:dyDescent="0.3">
      <c r="A79" t="str">
        <f>Heroes!$B79</f>
        <v>Khufra</v>
      </c>
      <c r="B79" t="str">
        <f>Heroes!$C79</f>
        <v>Tank</v>
      </c>
      <c r="C79">
        <f>Heroes!$D79</f>
        <v>0</v>
      </c>
      <c r="D79">
        <f>Heroes!$E79</f>
        <v>20</v>
      </c>
      <c r="E79">
        <f>Heroes!$F79</f>
        <v>100</v>
      </c>
      <c r="F79">
        <f>Heroes!$H79</f>
        <v>50</v>
      </c>
      <c r="G79" t="str">
        <f>Heroes!$K79</f>
        <v>Mixed</v>
      </c>
      <c r="H79">
        <f>Heroes!$Q79</f>
        <v>2</v>
      </c>
      <c r="I79">
        <f>IFERROR(INDEX('Data-Input'!$B$19:$G$24,MATCH(B79,'Data-Input'!$A$19:$A$24,0),MATCH($B$1,'Data-Input'!$B$18:$G$18,0)),0)</f>
        <v>0</v>
      </c>
      <c r="J79">
        <f>IF(C79&lt;&gt;"",IFERROR(INDEX('Data-Input'!$B$19:$G$24,MATCH(C79,'Data-Input'!$A$19:$A$24,0),MATCH($B$1,'Data-Input'!$B$18:$G$18,0)),0),I79)</f>
        <v>0</v>
      </c>
      <c r="K79">
        <f t="shared" si="20"/>
        <v>0</v>
      </c>
      <c r="L79">
        <f t="shared" si="21"/>
        <v>6</v>
      </c>
      <c r="M79">
        <f t="shared" si="22"/>
        <v>50</v>
      </c>
      <c r="N79">
        <f t="shared" si="23"/>
        <v>15</v>
      </c>
      <c r="O79">
        <f t="shared" si="24"/>
        <v>5</v>
      </c>
      <c r="P79">
        <f t="shared" si="25"/>
        <v>6</v>
      </c>
      <c r="Q79">
        <f t="shared" si="26"/>
        <v>32</v>
      </c>
      <c r="R79">
        <f>IFERROR(INDEX('Data-Input'!$C$190:$C$1189,MATCH(A79&amp;"|"&amp;$A$1,'Data-Input'!$E$190:$E$1189,0)),Q79)</f>
        <v>32</v>
      </c>
      <c r="S79">
        <f t="shared" si="27"/>
        <v>32</v>
      </c>
      <c r="T79">
        <f t="shared" si="28"/>
        <v>32.0000079</v>
      </c>
      <c r="U79" t="str">
        <f>Heroes!$M79</f>
        <v>Roaming</v>
      </c>
      <c r="V79">
        <f t="shared" si="29"/>
        <v>-1000000000000000</v>
      </c>
      <c r="W79" t="str">
        <f>Heroes!$I79</f>
        <v>Hard CC</v>
      </c>
      <c r="X79" t="str">
        <f>Heroes!$J79</f>
        <v>Damage Reduction</v>
      </c>
      <c r="Y79">
        <f>IF($A$1="",0,MAX(IF(W79&lt;&gt;"",IFERROR(INDEX('Data-Input'!$B$164:$W$185,MATCH(W79,'Data-Input'!$A$164:$A$185,0),MATCH($K$1,'Data-Input'!$B$163:$W$163,0)),0),0),IF(AND(W79&lt;&gt;"",$L$1&lt;&gt;""),IFERROR(INDEX('Data-Input'!$B$164:$W$185,MATCH(W79,'Data-Input'!$A$164:$A$185,0),MATCH($L$1,'Data-Input'!$B$163:$W$163,0)),0),0),IF(X79&lt;&gt;"",IFERROR(INDEX('Data-Input'!$B$164:$W$185,MATCH(X79,'Data-Input'!$A$164:$A$185,0),MATCH($K$1,'Data-Input'!$B$163:$W$163,0)),0),0),IF(AND(X79&lt;&gt;"",$L$1&lt;&gt;""),IFERROR(INDEX('Data-Input'!$B$164:$W$185,MATCH(X79,'Data-Input'!$A$164:$A$185,0),MATCH($L$1,'Data-Input'!$B$163:$W$163,0)),0),0))*$M$1)</f>
        <v>0</v>
      </c>
      <c r="Z79">
        <f>IF($A$1="",0,SUMPRODUCT(('Data-Input'!$A$29:$A$128=A79)*('Data-Input'!$B$29:$B$128="Tag")*((('Data-Input'!$C$29:$C$128=$K$1)+('Data-Input'!$C$29:$C$128=$L$1))&gt;0)*('Data-Input'!$D$29:$D$128-'Data-Input'!$E$29:$E$128))+SUMPRODUCT(('Data-Input'!$A$29:$A$128=A79)*('Data-Input'!$B$29:$B$128="Hero")*('Data-Input'!$C$29:$C$128=$A$1)*('Data-Input'!$D$29:$D$128-'Data-Input'!$E$29:$E$128)))</f>
        <v>0</v>
      </c>
    </row>
    <row r="80" spans="1:26" ht="15" customHeight="1" x14ac:dyDescent="0.3">
      <c r="A80" t="str">
        <f>Heroes!$B80</f>
        <v>Granger</v>
      </c>
      <c r="B80" t="str">
        <f>Heroes!$C80</f>
        <v>Marksman</v>
      </c>
      <c r="C80">
        <f>Heroes!$D80</f>
        <v>0</v>
      </c>
      <c r="D80">
        <f>Heroes!$E80</f>
        <v>70</v>
      </c>
      <c r="E80">
        <f>Heroes!$F80</f>
        <v>10</v>
      </c>
      <c r="F80">
        <f>Heroes!$H80</f>
        <v>40</v>
      </c>
      <c r="G80" t="str">
        <f>Heroes!$K80</f>
        <v>Physical</v>
      </c>
      <c r="H80">
        <f>Heroes!$Q80</f>
        <v>4</v>
      </c>
      <c r="I80">
        <f>IFERROR(INDEX('Data-Input'!$B$19:$G$24,MATCH(B80,'Data-Input'!$A$19:$A$24,0),MATCH($B$1,'Data-Input'!$B$18:$G$18,0)),0)</f>
        <v>0</v>
      </c>
      <c r="J80">
        <f>IF(C80&lt;&gt;"",IFERROR(INDEX('Data-Input'!$B$19:$G$24,MATCH(C80,'Data-Input'!$A$19:$A$24,0),MATCH($B$1,'Data-Input'!$B$18:$G$18,0)),0),I80)</f>
        <v>0</v>
      </c>
      <c r="K80">
        <f t="shared" si="20"/>
        <v>0</v>
      </c>
      <c r="L80">
        <f t="shared" si="21"/>
        <v>4</v>
      </c>
      <c r="M80">
        <f t="shared" si="22"/>
        <v>40</v>
      </c>
      <c r="N80">
        <f t="shared" si="23"/>
        <v>12</v>
      </c>
      <c r="O80">
        <f t="shared" si="24"/>
        <v>3</v>
      </c>
      <c r="P80">
        <f t="shared" si="25"/>
        <v>12</v>
      </c>
      <c r="Q80">
        <f t="shared" si="26"/>
        <v>31</v>
      </c>
      <c r="R80">
        <f>IFERROR(INDEX('Data-Input'!$C$190:$C$1189,MATCH(A80&amp;"|"&amp;$A$1,'Data-Input'!$E$190:$E$1189,0)),Q80)</f>
        <v>31</v>
      </c>
      <c r="S80">
        <f t="shared" si="27"/>
        <v>31</v>
      </c>
      <c r="T80">
        <f t="shared" si="28"/>
        <v>31.000008000000001</v>
      </c>
      <c r="U80" t="str">
        <f>Heroes!$M80</f>
        <v>Gold Lane</v>
      </c>
      <c r="V80">
        <f t="shared" si="29"/>
        <v>-1000000000000000</v>
      </c>
      <c r="W80" t="str">
        <f>Heroes!$I80</f>
        <v>Burst</v>
      </c>
      <c r="X80" t="str">
        <f>Heroes!$J80</f>
        <v>Dash/Blink</v>
      </c>
      <c r="Y80">
        <f>IF($A$1="",0,MAX(IF(W80&lt;&gt;"",IFERROR(INDEX('Data-Input'!$B$164:$W$185,MATCH(W80,'Data-Input'!$A$164:$A$185,0),MATCH($K$1,'Data-Input'!$B$163:$W$163,0)),0),0),IF(AND(W80&lt;&gt;"",$L$1&lt;&gt;""),IFERROR(INDEX('Data-Input'!$B$164:$W$185,MATCH(W80,'Data-Input'!$A$164:$A$185,0),MATCH($L$1,'Data-Input'!$B$163:$W$163,0)),0),0),IF(X80&lt;&gt;"",IFERROR(INDEX('Data-Input'!$B$164:$W$185,MATCH(X80,'Data-Input'!$A$164:$A$185,0),MATCH($K$1,'Data-Input'!$B$163:$W$163,0)),0),0),IF(AND(X80&lt;&gt;"",$L$1&lt;&gt;""),IFERROR(INDEX('Data-Input'!$B$164:$W$185,MATCH(X80,'Data-Input'!$A$164:$A$185,0),MATCH($L$1,'Data-Input'!$B$163:$W$163,0)),0),0))*$M$1)</f>
        <v>0</v>
      </c>
      <c r="Z80">
        <f>IF($A$1="",0,SUMPRODUCT(('Data-Input'!$A$29:$A$128=A80)*('Data-Input'!$B$29:$B$128="Tag")*((('Data-Input'!$C$29:$C$128=$K$1)+('Data-Input'!$C$29:$C$128=$L$1))&gt;0)*('Data-Input'!$D$29:$D$128-'Data-Input'!$E$29:$E$128))+SUMPRODUCT(('Data-Input'!$A$29:$A$128=A80)*('Data-Input'!$B$29:$B$128="Hero")*('Data-Input'!$C$29:$C$128=$A$1)*('Data-Input'!$D$29:$D$128-'Data-Input'!$E$29:$E$128)))</f>
        <v>0</v>
      </c>
    </row>
    <row r="81" spans="1:26" ht="15" customHeight="1" x14ac:dyDescent="0.3">
      <c r="A81" t="str">
        <f>Heroes!$B81</f>
        <v>Guinevere</v>
      </c>
      <c r="B81" t="str">
        <f>Heroes!$C81</f>
        <v>Fighter</v>
      </c>
      <c r="C81">
        <f>Heroes!$D81</f>
        <v>0</v>
      </c>
      <c r="D81">
        <f>Heroes!$E81</f>
        <v>50</v>
      </c>
      <c r="E81">
        <f>Heroes!$F81</f>
        <v>70</v>
      </c>
      <c r="F81">
        <f>Heroes!$H81</f>
        <v>40</v>
      </c>
      <c r="G81" t="str">
        <f>Heroes!$K81</f>
        <v>Magic</v>
      </c>
      <c r="H81">
        <f>Heroes!$Q81</f>
        <v>3</v>
      </c>
      <c r="I81">
        <f>IFERROR(INDEX('Data-Input'!$B$19:$G$24,MATCH(B81,'Data-Input'!$A$19:$A$24,0),MATCH($B$1,'Data-Input'!$B$18:$G$18,0)),0)</f>
        <v>0</v>
      </c>
      <c r="J81">
        <f>IF(C81&lt;&gt;"",IFERROR(INDEX('Data-Input'!$B$19:$G$24,MATCH(C81,'Data-Input'!$A$19:$A$24,0),MATCH($B$1,'Data-Input'!$B$18:$G$18,0)),0),I81)</f>
        <v>0</v>
      </c>
      <c r="K81">
        <f t="shared" si="20"/>
        <v>0</v>
      </c>
      <c r="L81">
        <f t="shared" si="21"/>
        <v>6</v>
      </c>
      <c r="M81">
        <f t="shared" si="22"/>
        <v>40</v>
      </c>
      <c r="N81">
        <f t="shared" si="23"/>
        <v>12</v>
      </c>
      <c r="O81">
        <f t="shared" si="24"/>
        <v>3</v>
      </c>
      <c r="P81">
        <f t="shared" si="25"/>
        <v>9</v>
      </c>
      <c r="Q81">
        <f t="shared" si="26"/>
        <v>30</v>
      </c>
      <c r="R81">
        <f>IFERROR(INDEX('Data-Input'!$C$190:$C$1189,MATCH(A81&amp;"|"&amp;$A$1,'Data-Input'!$E$190:$E$1189,0)),Q81)</f>
        <v>30</v>
      </c>
      <c r="S81">
        <f t="shared" si="27"/>
        <v>30</v>
      </c>
      <c r="T81">
        <f t="shared" si="28"/>
        <v>30.000008099999999</v>
      </c>
      <c r="U81" t="str">
        <f>Heroes!$M81</f>
        <v>EXP Lane</v>
      </c>
      <c r="V81">
        <f t="shared" si="29"/>
        <v>-1000000000000000</v>
      </c>
      <c r="W81" t="str">
        <f>Heroes!$I81</f>
        <v>Hard CC</v>
      </c>
      <c r="X81" t="str">
        <f>Heroes!$J81</f>
        <v>Burst</v>
      </c>
      <c r="Y81">
        <f>IF($A$1="",0,MAX(IF(W81&lt;&gt;"",IFERROR(INDEX('Data-Input'!$B$164:$W$185,MATCH(W81,'Data-Input'!$A$164:$A$185,0),MATCH($K$1,'Data-Input'!$B$163:$W$163,0)),0),0),IF(AND(W81&lt;&gt;"",$L$1&lt;&gt;""),IFERROR(INDEX('Data-Input'!$B$164:$W$185,MATCH(W81,'Data-Input'!$A$164:$A$185,0),MATCH($L$1,'Data-Input'!$B$163:$W$163,0)),0),0),IF(X81&lt;&gt;"",IFERROR(INDEX('Data-Input'!$B$164:$W$185,MATCH(X81,'Data-Input'!$A$164:$A$185,0),MATCH($K$1,'Data-Input'!$B$163:$W$163,0)),0),0),IF(AND(X81&lt;&gt;"",$L$1&lt;&gt;""),IFERROR(INDEX('Data-Input'!$B$164:$W$185,MATCH(X81,'Data-Input'!$A$164:$A$185,0),MATCH($L$1,'Data-Input'!$B$163:$W$163,0)),0),0))*$M$1)</f>
        <v>0</v>
      </c>
      <c r="Z81">
        <f>IF($A$1="",0,SUMPRODUCT(('Data-Input'!$A$29:$A$128=A81)*('Data-Input'!$B$29:$B$128="Tag")*((('Data-Input'!$C$29:$C$128=$K$1)+('Data-Input'!$C$29:$C$128=$L$1))&gt;0)*('Data-Input'!$D$29:$D$128-'Data-Input'!$E$29:$E$128))+SUMPRODUCT(('Data-Input'!$A$29:$A$128=A81)*('Data-Input'!$B$29:$B$128="Hero")*('Data-Input'!$C$29:$C$128=$A$1)*('Data-Input'!$D$29:$D$128-'Data-Input'!$E$29:$E$128)))</f>
        <v>0</v>
      </c>
    </row>
    <row r="82" spans="1:26" ht="15" customHeight="1" x14ac:dyDescent="0.3">
      <c r="A82" t="str">
        <f>Heroes!$B82</f>
        <v>Esmeralda</v>
      </c>
      <c r="B82" t="str">
        <f>Heroes!$C82</f>
        <v>Mage</v>
      </c>
      <c r="C82">
        <f>Heroes!$D82</f>
        <v>0</v>
      </c>
      <c r="D82">
        <f>Heroes!$E82</f>
        <v>30</v>
      </c>
      <c r="E82">
        <f>Heroes!$F82</f>
        <v>60</v>
      </c>
      <c r="F82">
        <f>Heroes!$H82</f>
        <v>60</v>
      </c>
      <c r="G82" t="str">
        <f>Heroes!$K82</f>
        <v>Mixed</v>
      </c>
      <c r="H82">
        <f>Heroes!$Q82</f>
        <v>3</v>
      </c>
      <c r="I82">
        <f>IFERROR(INDEX('Data-Input'!$B$19:$G$24,MATCH(B82,'Data-Input'!$A$19:$A$24,0),MATCH($B$1,'Data-Input'!$B$18:$G$18,0)),0)</f>
        <v>0</v>
      </c>
      <c r="J82">
        <f>IF(C82&lt;&gt;"",IFERROR(INDEX('Data-Input'!$B$19:$G$24,MATCH(C82,'Data-Input'!$A$19:$A$24,0),MATCH($B$1,'Data-Input'!$B$18:$G$18,0)),0),I82)</f>
        <v>0</v>
      </c>
      <c r="K82">
        <f t="shared" si="20"/>
        <v>0</v>
      </c>
      <c r="L82">
        <f t="shared" si="21"/>
        <v>4.5</v>
      </c>
      <c r="M82">
        <f t="shared" si="22"/>
        <v>60</v>
      </c>
      <c r="N82">
        <f t="shared" si="23"/>
        <v>18</v>
      </c>
      <c r="O82">
        <f t="shared" si="24"/>
        <v>5</v>
      </c>
      <c r="P82">
        <f t="shared" si="25"/>
        <v>9</v>
      </c>
      <c r="Q82">
        <f t="shared" si="26"/>
        <v>36.5</v>
      </c>
      <c r="R82">
        <f>IFERROR(INDEX('Data-Input'!$C$190:$C$1189,MATCH(A82&amp;"|"&amp;$A$1,'Data-Input'!$E$190:$E$1189,0)),Q82)</f>
        <v>36.5</v>
      </c>
      <c r="S82">
        <f t="shared" si="27"/>
        <v>36.5</v>
      </c>
      <c r="T82">
        <f t="shared" si="28"/>
        <v>36.500008200000003</v>
      </c>
      <c r="U82" t="str">
        <f>Heroes!$M82</f>
        <v>EXP Lane</v>
      </c>
      <c r="V82">
        <f t="shared" si="29"/>
        <v>-1000000000000000</v>
      </c>
      <c r="W82" t="str">
        <f>Heroes!$I82</f>
        <v>Shield</v>
      </c>
      <c r="X82" t="str">
        <f>Heroes!$J82</f>
        <v>Sustain</v>
      </c>
      <c r="Y82">
        <f>IF($A$1="",0,MAX(IF(W82&lt;&gt;"",IFERROR(INDEX('Data-Input'!$B$164:$W$185,MATCH(W82,'Data-Input'!$A$164:$A$185,0),MATCH($K$1,'Data-Input'!$B$163:$W$163,0)),0),0),IF(AND(W82&lt;&gt;"",$L$1&lt;&gt;""),IFERROR(INDEX('Data-Input'!$B$164:$W$185,MATCH(W82,'Data-Input'!$A$164:$A$185,0),MATCH($L$1,'Data-Input'!$B$163:$W$163,0)),0),0),IF(X82&lt;&gt;"",IFERROR(INDEX('Data-Input'!$B$164:$W$185,MATCH(X82,'Data-Input'!$A$164:$A$185,0),MATCH($K$1,'Data-Input'!$B$163:$W$163,0)),0),0),IF(AND(X82&lt;&gt;"",$L$1&lt;&gt;""),IFERROR(INDEX('Data-Input'!$B$164:$W$185,MATCH(X82,'Data-Input'!$A$164:$A$185,0),MATCH($L$1,'Data-Input'!$B$163:$W$163,0)),0),0))*$M$1)</f>
        <v>0</v>
      </c>
      <c r="Z82">
        <f>IF($A$1="",0,SUMPRODUCT(('Data-Input'!$A$29:$A$128=A82)*('Data-Input'!$B$29:$B$128="Tag")*((('Data-Input'!$C$29:$C$128=$K$1)+('Data-Input'!$C$29:$C$128=$L$1))&gt;0)*('Data-Input'!$D$29:$D$128-'Data-Input'!$E$29:$E$128))+SUMPRODUCT(('Data-Input'!$A$29:$A$128=A82)*('Data-Input'!$B$29:$B$128="Hero")*('Data-Input'!$C$29:$C$128=$A$1)*('Data-Input'!$D$29:$D$128-'Data-Input'!$E$29:$E$128)))</f>
        <v>0</v>
      </c>
    </row>
    <row r="83" spans="1:26" ht="15" customHeight="1" x14ac:dyDescent="0.3">
      <c r="A83" t="str">
        <f>Heroes!$B83</f>
        <v>Terizla</v>
      </c>
      <c r="B83" t="str">
        <f>Heroes!$C83</f>
        <v>Fighter</v>
      </c>
      <c r="C83" t="str">
        <f>Heroes!$D83</f>
        <v>Tank</v>
      </c>
      <c r="D83">
        <f>Heroes!$E83</f>
        <v>30</v>
      </c>
      <c r="E83">
        <f>Heroes!$F83</f>
        <v>40</v>
      </c>
      <c r="F83">
        <f>Heroes!$H83</f>
        <v>20</v>
      </c>
      <c r="G83" t="str">
        <f>Heroes!$K83</f>
        <v>Physical</v>
      </c>
      <c r="H83">
        <f>Heroes!$Q83</f>
        <v>3</v>
      </c>
      <c r="I83">
        <f>IFERROR(INDEX('Data-Input'!$B$19:$G$24,MATCH(B83,'Data-Input'!$A$19:$A$24,0),MATCH($B$1,'Data-Input'!$B$18:$G$18,0)),0)</f>
        <v>0</v>
      </c>
      <c r="J83">
        <f>IF(C83&lt;&gt;"",IFERROR(INDEX('Data-Input'!$B$19:$G$24,MATCH(C83,'Data-Input'!$A$19:$A$24,0),MATCH($B$1,'Data-Input'!$B$18:$G$18,0)),0),I83)</f>
        <v>0</v>
      </c>
      <c r="K83">
        <f t="shared" si="20"/>
        <v>0</v>
      </c>
      <c r="L83">
        <f t="shared" si="21"/>
        <v>3.5</v>
      </c>
      <c r="M83">
        <f t="shared" si="22"/>
        <v>20</v>
      </c>
      <c r="N83">
        <f t="shared" si="23"/>
        <v>0</v>
      </c>
      <c r="O83">
        <f t="shared" si="24"/>
        <v>3</v>
      </c>
      <c r="P83">
        <f t="shared" si="25"/>
        <v>9</v>
      </c>
      <c r="Q83">
        <f t="shared" si="26"/>
        <v>15.5</v>
      </c>
      <c r="R83">
        <f>IFERROR(INDEX('Data-Input'!$C$190:$C$1189,MATCH(A83&amp;"|"&amp;$A$1,'Data-Input'!$E$190:$E$1189,0)),Q83)</f>
        <v>15.5</v>
      </c>
      <c r="S83">
        <f t="shared" si="27"/>
        <v>15.5</v>
      </c>
      <c r="T83">
        <f t="shared" si="28"/>
        <v>15.500008299999999</v>
      </c>
      <c r="U83" t="str">
        <f>Heroes!$M83</f>
        <v>EXP Lane</v>
      </c>
      <c r="V83">
        <f t="shared" si="29"/>
        <v>-1000000000000000</v>
      </c>
      <c r="W83" t="str">
        <f>Heroes!$I83</f>
        <v>Damage Reduction</v>
      </c>
      <c r="X83" t="str">
        <f>Heroes!$J83</f>
        <v>AoE Damage</v>
      </c>
      <c r="Y83">
        <f>IF($A$1="",0,MAX(IF(W83&lt;&gt;"",IFERROR(INDEX('Data-Input'!$B$164:$W$185,MATCH(W83,'Data-Input'!$A$164:$A$185,0),MATCH($K$1,'Data-Input'!$B$163:$W$163,0)),0),0),IF(AND(W83&lt;&gt;"",$L$1&lt;&gt;""),IFERROR(INDEX('Data-Input'!$B$164:$W$185,MATCH(W83,'Data-Input'!$A$164:$A$185,0),MATCH($L$1,'Data-Input'!$B$163:$W$163,0)),0),0),IF(X83&lt;&gt;"",IFERROR(INDEX('Data-Input'!$B$164:$W$185,MATCH(X83,'Data-Input'!$A$164:$A$185,0),MATCH($K$1,'Data-Input'!$B$163:$W$163,0)),0),0),IF(AND(X83&lt;&gt;"",$L$1&lt;&gt;""),IFERROR(INDEX('Data-Input'!$B$164:$W$185,MATCH(X83,'Data-Input'!$A$164:$A$185,0),MATCH($L$1,'Data-Input'!$B$163:$W$163,0)),0),0))*$M$1)</f>
        <v>0</v>
      </c>
      <c r="Z83">
        <f>IF($A$1="",0,SUMPRODUCT(('Data-Input'!$A$29:$A$128=A83)*('Data-Input'!$B$29:$B$128="Tag")*((('Data-Input'!$C$29:$C$128=$K$1)+('Data-Input'!$C$29:$C$128=$L$1))&gt;0)*('Data-Input'!$D$29:$D$128-'Data-Input'!$E$29:$E$128))+SUMPRODUCT(('Data-Input'!$A$29:$A$128=A83)*('Data-Input'!$B$29:$B$128="Hero")*('Data-Input'!$C$29:$C$128=$A$1)*('Data-Input'!$D$29:$D$128-'Data-Input'!$E$29:$E$128)))</f>
        <v>0</v>
      </c>
    </row>
    <row r="84" spans="1:26" ht="15" customHeight="1" x14ac:dyDescent="0.3">
      <c r="A84" t="str">
        <f>Heroes!$B84</f>
        <v>X.Borg</v>
      </c>
      <c r="B84" t="str">
        <f>Heroes!$C84</f>
        <v>Fighter</v>
      </c>
      <c r="C84">
        <f>Heroes!$D84</f>
        <v>0</v>
      </c>
      <c r="D84">
        <f>Heroes!$E84</f>
        <v>30</v>
      </c>
      <c r="E84">
        <f>Heroes!$F84</f>
        <v>10</v>
      </c>
      <c r="F84">
        <f>Heroes!$H84</f>
        <v>40</v>
      </c>
      <c r="G84" t="str">
        <f>Heroes!$K84</f>
        <v>Physical</v>
      </c>
      <c r="H84">
        <f>Heroes!$Q84</f>
        <v>3</v>
      </c>
      <c r="I84">
        <f>IFERROR(INDEX('Data-Input'!$B$19:$G$24,MATCH(B84,'Data-Input'!$A$19:$A$24,0),MATCH($B$1,'Data-Input'!$B$18:$G$18,0)),0)</f>
        <v>0</v>
      </c>
      <c r="J84">
        <f>IF(C84&lt;&gt;"",IFERROR(INDEX('Data-Input'!$B$19:$G$24,MATCH(C84,'Data-Input'!$A$19:$A$24,0),MATCH($B$1,'Data-Input'!$B$18:$G$18,0)),0),I84)</f>
        <v>0</v>
      </c>
      <c r="K84">
        <f t="shared" si="20"/>
        <v>0</v>
      </c>
      <c r="L84">
        <f t="shared" si="21"/>
        <v>2</v>
      </c>
      <c r="M84">
        <f t="shared" si="22"/>
        <v>40</v>
      </c>
      <c r="N84">
        <f t="shared" si="23"/>
        <v>12</v>
      </c>
      <c r="O84">
        <f t="shared" si="24"/>
        <v>3</v>
      </c>
      <c r="P84">
        <f t="shared" si="25"/>
        <v>9</v>
      </c>
      <c r="Q84">
        <f t="shared" si="26"/>
        <v>26</v>
      </c>
      <c r="R84">
        <f>IFERROR(INDEX('Data-Input'!$C$190:$C$1189,MATCH(A84&amp;"|"&amp;$A$1,'Data-Input'!$E$190:$E$1189,0)),Q84)</f>
        <v>26</v>
      </c>
      <c r="S84">
        <f t="shared" si="27"/>
        <v>26</v>
      </c>
      <c r="T84">
        <f t="shared" si="28"/>
        <v>26.000008399999999</v>
      </c>
      <c r="U84" t="str">
        <f>Heroes!$M84</f>
        <v>EXP Lane</v>
      </c>
      <c r="V84">
        <f t="shared" si="29"/>
        <v>-1000000000000000</v>
      </c>
      <c r="W84" t="str">
        <f>Heroes!$I84</f>
        <v>True Damage</v>
      </c>
      <c r="X84" t="str">
        <f>Heroes!$J84</f>
        <v>Sustain</v>
      </c>
      <c r="Y84">
        <f>IF($A$1="",0,MAX(IF(W84&lt;&gt;"",IFERROR(INDEX('Data-Input'!$B$164:$W$185,MATCH(W84,'Data-Input'!$A$164:$A$185,0),MATCH($K$1,'Data-Input'!$B$163:$W$163,0)),0),0),IF(AND(W84&lt;&gt;"",$L$1&lt;&gt;""),IFERROR(INDEX('Data-Input'!$B$164:$W$185,MATCH(W84,'Data-Input'!$A$164:$A$185,0),MATCH($L$1,'Data-Input'!$B$163:$W$163,0)),0),0),IF(X84&lt;&gt;"",IFERROR(INDEX('Data-Input'!$B$164:$W$185,MATCH(X84,'Data-Input'!$A$164:$A$185,0),MATCH($K$1,'Data-Input'!$B$163:$W$163,0)),0),0),IF(AND(X84&lt;&gt;"",$L$1&lt;&gt;""),IFERROR(INDEX('Data-Input'!$B$164:$W$185,MATCH(X84,'Data-Input'!$A$164:$A$185,0),MATCH($L$1,'Data-Input'!$B$163:$W$163,0)),0),0))*$M$1)</f>
        <v>0</v>
      </c>
      <c r="Z84">
        <f>IF($A$1="",0,SUMPRODUCT(('Data-Input'!$A$29:$A$128=A84)*('Data-Input'!$B$29:$B$128="Tag")*((('Data-Input'!$C$29:$C$128=$K$1)+('Data-Input'!$C$29:$C$128=$L$1))&gt;0)*('Data-Input'!$D$29:$D$128-'Data-Input'!$E$29:$E$128))+SUMPRODUCT(('Data-Input'!$A$29:$A$128=A84)*('Data-Input'!$B$29:$B$128="Hero")*('Data-Input'!$C$29:$C$128=$A$1)*('Data-Input'!$D$29:$D$128-'Data-Input'!$E$29:$E$128)))</f>
        <v>0</v>
      </c>
    </row>
    <row r="85" spans="1:26" ht="15" customHeight="1" x14ac:dyDescent="0.3">
      <c r="A85" t="str">
        <f>Heroes!$B85</f>
        <v>Ling</v>
      </c>
      <c r="B85" t="str">
        <f>Heroes!$C85</f>
        <v>Assassin</v>
      </c>
      <c r="C85">
        <f>Heroes!$D85</f>
        <v>0</v>
      </c>
      <c r="D85">
        <f>Heroes!$E85</f>
        <v>60</v>
      </c>
      <c r="E85">
        <f>Heroes!$F85</f>
        <v>30</v>
      </c>
      <c r="F85">
        <f>Heroes!$H85</f>
        <v>70</v>
      </c>
      <c r="G85" t="str">
        <f>Heroes!$K85</f>
        <v>Physical</v>
      </c>
      <c r="H85">
        <f>Heroes!$Q85</f>
        <v>2</v>
      </c>
      <c r="I85">
        <f>IFERROR(INDEX('Data-Input'!$B$19:$G$24,MATCH(B85,'Data-Input'!$A$19:$A$24,0),MATCH($B$1,'Data-Input'!$B$18:$G$18,0)),0)</f>
        <v>0</v>
      </c>
      <c r="J85">
        <f>IF(C85&lt;&gt;"",IFERROR(INDEX('Data-Input'!$B$19:$G$24,MATCH(C85,'Data-Input'!$A$19:$A$24,0),MATCH($B$1,'Data-Input'!$B$18:$G$18,0)),0),I85)</f>
        <v>0</v>
      </c>
      <c r="K85">
        <f t="shared" si="20"/>
        <v>0</v>
      </c>
      <c r="L85">
        <f t="shared" si="21"/>
        <v>4.5</v>
      </c>
      <c r="M85">
        <f t="shared" si="22"/>
        <v>70</v>
      </c>
      <c r="N85">
        <f t="shared" si="23"/>
        <v>21</v>
      </c>
      <c r="O85">
        <f t="shared" si="24"/>
        <v>3</v>
      </c>
      <c r="P85">
        <f t="shared" si="25"/>
        <v>6</v>
      </c>
      <c r="Q85">
        <f t="shared" si="26"/>
        <v>34.5</v>
      </c>
      <c r="R85">
        <f>IFERROR(INDEX('Data-Input'!$C$190:$C$1189,MATCH(A85&amp;"|"&amp;$A$1,'Data-Input'!$E$190:$E$1189,0)),Q85)</f>
        <v>34.5</v>
      </c>
      <c r="S85">
        <f t="shared" si="27"/>
        <v>34.5</v>
      </c>
      <c r="T85">
        <f t="shared" si="28"/>
        <v>34.5000085</v>
      </c>
      <c r="U85" t="str">
        <f>Heroes!$M85</f>
        <v>Jungle</v>
      </c>
      <c r="V85">
        <f t="shared" si="29"/>
        <v>-1000000000000000</v>
      </c>
      <c r="W85" t="str">
        <f>Heroes!$I85</f>
        <v>High Mobility</v>
      </c>
      <c r="X85" t="str">
        <f>Heroes!$J85</f>
        <v>Burst</v>
      </c>
      <c r="Y85">
        <f>IF($A$1="",0,MAX(IF(W85&lt;&gt;"",IFERROR(INDEX('Data-Input'!$B$164:$W$185,MATCH(W85,'Data-Input'!$A$164:$A$185,0),MATCH($K$1,'Data-Input'!$B$163:$W$163,0)),0),0),IF(AND(W85&lt;&gt;"",$L$1&lt;&gt;""),IFERROR(INDEX('Data-Input'!$B$164:$W$185,MATCH(W85,'Data-Input'!$A$164:$A$185,0),MATCH($L$1,'Data-Input'!$B$163:$W$163,0)),0),0),IF(X85&lt;&gt;"",IFERROR(INDEX('Data-Input'!$B$164:$W$185,MATCH(X85,'Data-Input'!$A$164:$A$185,0),MATCH($K$1,'Data-Input'!$B$163:$W$163,0)),0),0),IF(AND(X85&lt;&gt;"",$L$1&lt;&gt;""),IFERROR(INDEX('Data-Input'!$B$164:$W$185,MATCH(X85,'Data-Input'!$A$164:$A$185,0),MATCH($L$1,'Data-Input'!$B$163:$W$163,0)),0),0))*$M$1)</f>
        <v>0</v>
      </c>
      <c r="Z85">
        <f>IF($A$1="",0,SUMPRODUCT(('Data-Input'!$A$29:$A$128=A85)*('Data-Input'!$B$29:$B$128="Tag")*((('Data-Input'!$C$29:$C$128=$K$1)+('Data-Input'!$C$29:$C$128=$L$1))&gt;0)*('Data-Input'!$D$29:$D$128-'Data-Input'!$E$29:$E$128))+SUMPRODUCT(('Data-Input'!$A$29:$A$128=A85)*('Data-Input'!$B$29:$B$128="Hero")*('Data-Input'!$C$29:$C$128=$A$1)*('Data-Input'!$D$29:$D$128-'Data-Input'!$E$29:$E$128)))</f>
        <v>0</v>
      </c>
    </row>
    <row r="86" spans="1:26" ht="15" customHeight="1" x14ac:dyDescent="0.3">
      <c r="A86" t="str">
        <f>Heroes!$B86</f>
        <v>Dyrroth</v>
      </c>
      <c r="B86" t="str">
        <f>Heroes!$C86</f>
        <v>Fighter</v>
      </c>
      <c r="C86">
        <f>Heroes!$D86</f>
        <v>0</v>
      </c>
      <c r="D86">
        <f>Heroes!$E86</f>
        <v>50</v>
      </c>
      <c r="E86">
        <f>Heroes!$F86</f>
        <v>20</v>
      </c>
      <c r="F86">
        <f>Heroes!$H86</f>
        <v>40</v>
      </c>
      <c r="G86" t="str">
        <f>Heroes!$K86</f>
        <v>Physical</v>
      </c>
      <c r="H86">
        <f>Heroes!$Q86</f>
        <v>3</v>
      </c>
      <c r="I86">
        <f>IFERROR(INDEX('Data-Input'!$B$19:$G$24,MATCH(B86,'Data-Input'!$A$19:$A$24,0),MATCH($B$1,'Data-Input'!$B$18:$G$18,0)),0)</f>
        <v>0</v>
      </c>
      <c r="J86">
        <f>IF(C86&lt;&gt;"",IFERROR(INDEX('Data-Input'!$B$19:$G$24,MATCH(C86,'Data-Input'!$A$19:$A$24,0),MATCH($B$1,'Data-Input'!$B$18:$G$18,0)),0),I86)</f>
        <v>0</v>
      </c>
      <c r="K86">
        <f t="shared" si="20"/>
        <v>0</v>
      </c>
      <c r="L86">
        <f t="shared" si="21"/>
        <v>3.5</v>
      </c>
      <c r="M86">
        <f t="shared" si="22"/>
        <v>40</v>
      </c>
      <c r="N86">
        <f t="shared" si="23"/>
        <v>12</v>
      </c>
      <c r="O86">
        <f t="shared" si="24"/>
        <v>3</v>
      </c>
      <c r="P86">
        <f t="shared" si="25"/>
        <v>9</v>
      </c>
      <c r="Q86">
        <f t="shared" si="26"/>
        <v>27.5</v>
      </c>
      <c r="R86">
        <f>IFERROR(INDEX('Data-Input'!$C$190:$C$1189,MATCH(A86&amp;"|"&amp;$A$1,'Data-Input'!$E$190:$E$1189,0)),Q86)</f>
        <v>27.5</v>
      </c>
      <c r="S86">
        <f t="shared" si="27"/>
        <v>27.5</v>
      </c>
      <c r="T86">
        <f t="shared" si="28"/>
        <v>27.500008600000001</v>
      </c>
      <c r="U86" t="str">
        <f>Heroes!$M86</f>
        <v>EXP Lane</v>
      </c>
      <c r="V86">
        <f t="shared" si="29"/>
        <v>-1000000000000000</v>
      </c>
      <c r="W86" t="str">
        <f>Heroes!$I86</f>
        <v>Burst</v>
      </c>
      <c r="X86" t="str">
        <f>Heroes!$J86</f>
        <v>Sustain</v>
      </c>
      <c r="Y86">
        <f>IF($A$1="",0,MAX(IF(W86&lt;&gt;"",IFERROR(INDEX('Data-Input'!$B$164:$W$185,MATCH(W86,'Data-Input'!$A$164:$A$185,0),MATCH($K$1,'Data-Input'!$B$163:$W$163,0)),0),0),IF(AND(W86&lt;&gt;"",$L$1&lt;&gt;""),IFERROR(INDEX('Data-Input'!$B$164:$W$185,MATCH(W86,'Data-Input'!$A$164:$A$185,0),MATCH($L$1,'Data-Input'!$B$163:$W$163,0)),0),0),IF(X86&lt;&gt;"",IFERROR(INDEX('Data-Input'!$B$164:$W$185,MATCH(X86,'Data-Input'!$A$164:$A$185,0),MATCH($K$1,'Data-Input'!$B$163:$W$163,0)),0),0),IF(AND(X86&lt;&gt;"",$L$1&lt;&gt;""),IFERROR(INDEX('Data-Input'!$B$164:$W$185,MATCH(X86,'Data-Input'!$A$164:$A$185,0),MATCH($L$1,'Data-Input'!$B$163:$W$163,0)),0),0))*$M$1)</f>
        <v>0</v>
      </c>
      <c r="Z86">
        <f>IF($A$1="",0,SUMPRODUCT(('Data-Input'!$A$29:$A$128=A86)*('Data-Input'!$B$29:$B$128="Tag")*((('Data-Input'!$C$29:$C$128=$K$1)+('Data-Input'!$C$29:$C$128=$L$1))&gt;0)*('Data-Input'!$D$29:$D$128-'Data-Input'!$E$29:$E$128))+SUMPRODUCT(('Data-Input'!$A$29:$A$128=A86)*('Data-Input'!$B$29:$B$128="Hero")*('Data-Input'!$C$29:$C$128=$A$1)*('Data-Input'!$D$29:$D$128-'Data-Input'!$E$29:$E$128)))</f>
        <v>0</v>
      </c>
    </row>
    <row r="87" spans="1:26" ht="15" customHeight="1" x14ac:dyDescent="0.3">
      <c r="A87" t="str">
        <f>Heroes!$B87</f>
        <v>Lylia</v>
      </c>
      <c r="B87" t="str">
        <f>Heroes!$C87</f>
        <v>Mage</v>
      </c>
      <c r="C87">
        <f>Heroes!$D87</f>
        <v>0</v>
      </c>
      <c r="D87">
        <f>Heroes!$E87</f>
        <v>100</v>
      </c>
      <c r="E87">
        <f>Heroes!$F87</f>
        <v>20</v>
      </c>
      <c r="F87">
        <f>Heroes!$H87</f>
        <v>50</v>
      </c>
      <c r="G87" t="str">
        <f>Heroes!$K87</f>
        <v>Magic</v>
      </c>
      <c r="H87">
        <f>Heroes!$Q87</f>
        <v>3</v>
      </c>
      <c r="I87">
        <f>IFERROR(INDEX('Data-Input'!$B$19:$G$24,MATCH(B87,'Data-Input'!$A$19:$A$24,0),MATCH($B$1,'Data-Input'!$B$18:$G$18,0)),0)</f>
        <v>0</v>
      </c>
      <c r="J87">
        <f>IF(C87&lt;&gt;"",IFERROR(INDEX('Data-Input'!$B$19:$G$24,MATCH(C87,'Data-Input'!$A$19:$A$24,0),MATCH($B$1,'Data-Input'!$B$18:$G$18,0)),0),I87)</f>
        <v>0</v>
      </c>
      <c r="K87">
        <f t="shared" si="20"/>
        <v>0</v>
      </c>
      <c r="L87">
        <f t="shared" si="21"/>
        <v>6</v>
      </c>
      <c r="M87">
        <f t="shared" si="22"/>
        <v>50</v>
      </c>
      <c r="N87">
        <f t="shared" si="23"/>
        <v>15</v>
      </c>
      <c r="O87">
        <f t="shared" si="24"/>
        <v>3</v>
      </c>
      <c r="P87">
        <f t="shared" si="25"/>
        <v>9</v>
      </c>
      <c r="Q87">
        <f t="shared" si="26"/>
        <v>33</v>
      </c>
      <c r="R87">
        <f>IFERROR(INDEX('Data-Input'!$C$190:$C$1189,MATCH(A87&amp;"|"&amp;$A$1,'Data-Input'!$E$190:$E$1189,0)),Q87)</f>
        <v>33</v>
      </c>
      <c r="S87">
        <f t="shared" si="27"/>
        <v>33</v>
      </c>
      <c r="T87">
        <f t="shared" si="28"/>
        <v>33.000008700000002</v>
      </c>
      <c r="U87" t="str">
        <f>Heroes!$M87</f>
        <v>Mid Lane</v>
      </c>
      <c r="V87">
        <f t="shared" si="29"/>
        <v>-1000000000000000</v>
      </c>
      <c r="W87" t="str">
        <f>Heroes!$I87</f>
        <v>Poke</v>
      </c>
      <c r="X87" t="str">
        <f>Heroes!$J87</f>
        <v>AoE Damage</v>
      </c>
      <c r="Y87">
        <f>IF($A$1="",0,MAX(IF(W87&lt;&gt;"",IFERROR(INDEX('Data-Input'!$B$164:$W$185,MATCH(W87,'Data-Input'!$A$164:$A$185,0),MATCH($K$1,'Data-Input'!$B$163:$W$163,0)),0),0),IF(AND(W87&lt;&gt;"",$L$1&lt;&gt;""),IFERROR(INDEX('Data-Input'!$B$164:$W$185,MATCH(W87,'Data-Input'!$A$164:$A$185,0),MATCH($L$1,'Data-Input'!$B$163:$W$163,0)),0),0),IF(X87&lt;&gt;"",IFERROR(INDEX('Data-Input'!$B$164:$W$185,MATCH(X87,'Data-Input'!$A$164:$A$185,0),MATCH($K$1,'Data-Input'!$B$163:$W$163,0)),0),0),IF(AND(X87&lt;&gt;"",$L$1&lt;&gt;""),IFERROR(INDEX('Data-Input'!$B$164:$W$185,MATCH(X87,'Data-Input'!$A$164:$A$185,0),MATCH($L$1,'Data-Input'!$B$163:$W$163,0)),0),0))*$M$1)</f>
        <v>0</v>
      </c>
      <c r="Z87">
        <f>IF($A$1="",0,SUMPRODUCT(('Data-Input'!$A$29:$A$128=A87)*('Data-Input'!$B$29:$B$128="Tag")*((('Data-Input'!$C$29:$C$128=$K$1)+('Data-Input'!$C$29:$C$128=$L$1))&gt;0)*('Data-Input'!$D$29:$D$128-'Data-Input'!$E$29:$E$128))+SUMPRODUCT(('Data-Input'!$A$29:$A$128=A87)*('Data-Input'!$B$29:$B$128="Hero")*('Data-Input'!$C$29:$C$128=$A$1)*('Data-Input'!$D$29:$D$128-'Data-Input'!$E$29:$E$128)))</f>
        <v>0</v>
      </c>
    </row>
    <row r="88" spans="1:26" ht="15" customHeight="1" x14ac:dyDescent="0.3">
      <c r="A88" t="str">
        <f>Heroes!$B88</f>
        <v>Baxia</v>
      </c>
      <c r="B88" t="str">
        <f>Heroes!$C88</f>
        <v>Tank</v>
      </c>
      <c r="C88">
        <f>Heroes!$D88</f>
        <v>0</v>
      </c>
      <c r="D88">
        <f>Heroes!$E88</f>
        <v>30</v>
      </c>
      <c r="E88">
        <f>Heroes!$F88</f>
        <v>60</v>
      </c>
      <c r="F88">
        <f>Heroes!$H88</f>
        <v>20</v>
      </c>
      <c r="G88" t="str">
        <f>Heroes!$K88</f>
        <v>Magic</v>
      </c>
      <c r="H88">
        <f>Heroes!$Q88</f>
        <v>3</v>
      </c>
      <c r="I88">
        <f>IFERROR(INDEX('Data-Input'!$B$19:$G$24,MATCH(B88,'Data-Input'!$A$19:$A$24,0),MATCH($B$1,'Data-Input'!$B$18:$G$18,0)),0)</f>
        <v>0</v>
      </c>
      <c r="J88">
        <f>IF(C88&lt;&gt;"",IFERROR(INDEX('Data-Input'!$B$19:$G$24,MATCH(C88,'Data-Input'!$A$19:$A$24,0),MATCH($B$1,'Data-Input'!$B$18:$G$18,0)),0),I88)</f>
        <v>0</v>
      </c>
      <c r="K88">
        <f t="shared" si="20"/>
        <v>0</v>
      </c>
      <c r="L88">
        <f t="shared" si="21"/>
        <v>4.5</v>
      </c>
      <c r="M88">
        <f t="shared" si="22"/>
        <v>20</v>
      </c>
      <c r="N88">
        <f t="shared" si="23"/>
        <v>0</v>
      </c>
      <c r="O88">
        <f t="shared" si="24"/>
        <v>3</v>
      </c>
      <c r="P88">
        <f t="shared" si="25"/>
        <v>9</v>
      </c>
      <c r="Q88">
        <f t="shared" si="26"/>
        <v>16.5</v>
      </c>
      <c r="R88">
        <f>IFERROR(INDEX('Data-Input'!$C$190:$C$1189,MATCH(A88&amp;"|"&amp;$A$1,'Data-Input'!$E$190:$E$1189,0)),Q88)</f>
        <v>16.5</v>
      </c>
      <c r="S88">
        <f t="shared" si="27"/>
        <v>16.5</v>
      </c>
      <c r="T88">
        <f t="shared" si="28"/>
        <v>16.5000088</v>
      </c>
      <c r="U88" t="str">
        <f>Heroes!$M88</f>
        <v>Jungle</v>
      </c>
      <c r="V88">
        <f t="shared" si="29"/>
        <v>-1000000000000000</v>
      </c>
      <c r="W88" t="str">
        <f>Heroes!$I88</f>
        <v>Anti-Heal</v>
      </c>
      <c r="X88" t="str">
        <f>Heroes!$J88</f>
        <v>Mobility</v>
      </c>
      <c r="Y88">
        <f>IF($A$1="",0,MAX(IF(W88&lt;&gt;"",IFERROR(INDEX('Data-Input'!$B$164:$W$185,MATCH(W88,'Data-Input'!$A$164:$A$185,0),MATCH($K$1,'Data-Input'!$B$163:$W$163,0)),0),0),IF(AND(W88&lt;&gt;"",$L$1&lt;&gt;""),IFERROR(INDEX('Data-Input'!$B$164:$W$185,MATCH(W88,'Data-Input'!$A$164:$A$185,0),MATCH($L$1,'Data-Input'!$B$163:$W$163,0)),0),0),IF(X88&lt;&gt;"",IFERROR(INDEX('Data-Input'!$B$164:$W$185,MATCH(X88,'Data-Input'!$A$164:$A$185,0),MATCH($K$1,'Data-Input'!$B$163:$W$163,0)),0),0),IF(AND(X88&lt;&gt;"",$L$1&lt;&gt;""),IFERROR(INDEX('Data-Input'!$B$164:$W$185,MATCH(X88,'Data-Input'!$A$164:$A$185,0),MATCH($L$1,'Data-Input'!$B$163:$W$163,0)),0),0))*$M$1)</f>
        <v>0</v>
      </c>
      <c r="Z88">
        <f>IF($A$1="",0,SUMPRODUCT(('Data-Input'!$A$29:$A$128=A88)*('Data-Input'!$B$29:$B$128="Tag")*((('Data-Input'!$C$29:$C$128=$K$1)+('Data-Input'!$C$29:$C$128=$L$1))&gt;0)*('Data-Input'!$D$29:$D$128-'Data-Input'!$E$29:$E$128))+SUMPRODUCT(('Data-Input'!$A$29:$A$128=A88)*('Data-Input'!$B$29:$B$128="Hero")*('Data-Input'!$C$29:$C$128=$A$1)*('Data-Input'!$D$29:$D$128-'Data-Input'!$E$29:$E$128)))</f>
        <v>0</v>
      </c>
    </row>
    <row r="89" spans="1:26" ht="15" customHeight="1" x14ac:dyDescent="0.3">
      <c r="A89" t="str">
        <f>Heroes!$B89</f>
        <v>Masha</v>
      </c>
      <c r="B89" t="str">
        <f>Heroes!$C89</f>
        <v>Fighter</v>
      </c>
      <c r="C89" t="str">
        <f>Heroes!$D89</f>
        <v>Tank</v>
      </c>
      <c r="D89">
        <f>Heroes!$E89</f>
        <v>70</v>
      </c>
      <c r="E89">
        <f>Heroes!$F89</f>
        <v>30</v>
      </c>
      <c r="F89">
        <f>Heroes!$H89</f>
        <v>30</v>
      </c>
      <c r="G89" t="str">
        <f>Heroes!$K89</f>
        <v>Physical</v>
      </c>
      <c r="H89">
        <f>Heroes!$Q89</f>
        <v>2</v>
      </c>
      <c r="I89">
        <f>IFERROR(INDEX('Data-Input'!$B$19:$G$24,MATCH(B89,'Data-Input'!$A$19:$A$24,0),MATCH($B$1,'Data-Input'!$B$18:$G$18,0)),0)</f>
        <v>0</v>
      </c>
      <c r="J89">
        <f>IF(C89&lt;&gt;"",IFERROR(INDEX('Data-Input'!$B$19:$G$24,MATCH(C89,'Data-Input'!$A$19:$A$24,0),MATCH($B$1,'Data-Input'!$B$18:$G$18,0)),0),I89)</f>
        <v>0</v>
      </c>
      <c r="K89">
        <f t="shared" si="20"/>
        <v>0</v>
      </c>
      <c r="L89">
        <f t="shared" si="21"/>
        <v>5</v>
      </c>
      <c r="M89">
        <f t="shared" si="22"/>
        <v>30</v>
      </c>
      <c r="N89">
        <f t="shared" si="23"/>
        <v>9</v>
      </c>
      <c r="O89">
        <f t="shared" si="24"/>
        <v>3</v>
      </c>
      <c r="P89">
        <f t="shared" si="25"/>
        <v>6</v>
      </c>
      <c r="Q89">
        <f t="shared" si="26"/>
        <v>23</v>
      </c>
      <c r="R89">
        <f>IFERROR(INDEX('Data-Input'!$C$190:$C$1189,MATCH(A89&amp;"|"&amp;$A$1,'Data-Input'!$E$190:$E$1189,0)),Q89)</f>
        <v>23</v>
      </c>
      <c r="S89">
        <f t="shared" si="27"/>
        <v>23</v>
      </c>
      <c r="T89">
        <f t="shared" si="28"/>
        <v>23.000008900000001</v>
      </c>
      <c r="U89" t="str">
        <f>Heroes!$M89</f>
        <v>EXP Lane</v>
      </c>
      <c r="V89">
        <f t="shared" si="29"/>
        <v>-1000000000000000</v>
      </c>
      <c r="W89" t="str">
        <f>Heroes!$I89</f>
        <v>DPS</v>
      </c>
      <c r="X89" t="str">
        <f>Heroes!$J89</f>
        <v>Sustain</v>
      </c>
      <c r="Y89">
        <f>IF($A$1="",0,MAX(IF(W89&lt;&gt;"",IFERROR(INDEX('Data-Input'!$B$164:$W$185,MATCH(W89,'Data-Input'!$A$164:$A$185,0),MATCH($K$1,'Data-Input'!$B$163:$W$163,0)),0),0),IF(AND(W89&lt;&gt;"",$L$1&lt;&gt;""),IFERROR(INDEX('Data-Input'!$B$164:$W$185,MATCH(W89,'Data-Input'!$A$164:$A$185,0),MATCH($L$1,'Data-Input'!$B$163:$W$163,0)),0),0),IF(X89&lt;&gt;"",IFERROR(INDEX('Data-Input'!$B$164:$W$185,MATCH(X89,'Data-Input'!$A$164:$A$185,0),MATCH($K$1,'Data-Input'!$B$163:$W$163,0)),0),0),IF(AND(X89&lt;&gt;"",$L$1&lt;&gt;""),IFERROR(INDEX('Data-Input'!$B$164:$W$185,MATCH(X89,'Data-Input'!$A$164:$A$185,0),MATCH($L$1,'Data-Input'!$B$163:$W$163,0)),0),0))*$M$1)</f>
        <v>0</v>
      </c>
      <c r="Z89">
        <f>IF($A$1="",0,SUMPRODUCT(('Data-Input'!$A$29:$A$128=A89)*('Data-Input'!$B$29:$B$128="Tag")*((('Data-Input'!$C$29:$C$128=$K$1)+('Data-Input'!$C$29:$C$128=$L$1))&gt;0)*('Data-Input'!$D$29:$D$128-'Data-Input'!$E$29:$E$128))+SUMPRODUCT(('Data-Input'!$A$29:$A$128=A89)*('Data-Input'!$B$29:$B$128="Hero")*('Data-Input'!$C$29:$C$128=$A$1)*('Data-Input'!$D$29:$D$128-'Data-Input'!$E$29:$E$128)))</f>
        <v>0</v>
      </c>
    </row>
    <row r="90" spans="1:26" ht="15" customHeight="1" x14ac:dyDescent="0.3">
      <c r="A90" t="str">
        <f>Heroes!$B90</f>
        <v>Wanwan</v>
      </c>
      <c r="B90" t="str">
        <f>Heroes!$C90</f>
        <v>Marksman</v>
      </c>
      <c r="C90">
        <f>Heroes!$D90</f>
        <v>0</v>
      </c>
      <c r="D90">
        <f>Heroes!$E90</f>
        <v>60</v>
      </c>
      <c r="E90">
        <f>Heroes!$F90</f>
        <v>30</v>
      </c>
      <c r="F90">
        <f>Heroes!$H90</f>
        <v>60</v>
      </c>
      <c r="G90" t="str">
        <f>Heroes!$K90</f>
        <v>Physical</v>
      </c>
      <c r="H90">
        <f>Heroes!$Q90</f>
        <v>4</v>
      </c>
      <c r="I90">
        <f>IFERROR(INDEX('Data-Input'!$B$19:$G$24,MATCH(B90,'Data-Input'!$A$19:$A$24,0),MATCH($B$1,'Data-Input'!$B$18:$G$18,0)),0)</f>
        <v>0</v>
      </c>
      <c r="J90">
        <f>IF(C90&lt;&gt;"",IFERROR(INDEX('Data-Input'!$B$19:$G$24,MATCH(C90,'Data-Input'!$A$19:$A$24,0),MATCH($B$1,'Data-Input'!$B$18:$G$18,0)),0),I90)</f>
        <v>0</v>
      </c>
      <c r="K90">
        <f t="shared" si="20"/>
        <v>0</v>
      </c>
      <c r="L90">
        <f t="shared" si="21"/>
        <v>4.5</v>
      </c>
      <c r="M90">
        <f t="shared" si="22"/>
        <v>60</v>
      </c>
      <c r="N90">
        <f t="shared" si="23"/>
        <v>18</v>
      </c>
      <c r="O90">
        <f t="shared" si="24"/>
        <v>3</v>
      </c>
      <c r="P90">
        <f t="shared" si="25"/>
        <v>12</v>
      </c>
      <c r="Q90">
        <f t="shared" si="26"/>
        <v>37.5</v>
      </c>
      <c r="R90">
        <f>IFERROR(INDEX('Data-Input'!$C$190:$C$1189,MATCH(A90&amp;"|"&amp;$A$1,'Data-Input'!$E$190:$E$1189,0)),Q90)</f>
        <v>37.5</v>
      </c>
      <c r="S90">
        <f t="shared" si="27"/>
        <v>37.5</v>
      </c>
      <c r="T90">
        <f t="shared" si="28"/>
        <v>37.500008999999999</v>
      </c>
      <c r="U90" t="str">
        <f>Heroes!$M90</f>
        <v>Gold Lane</v>
      </c>
      <c r="V90">
        <f t="shared" si="29"/>
        <v>-1000000000000000</v>
      </c>
      <c r="W90" t="str">
        <f>Heroes!$I90</f>
        <v>I-Frame</v>
      </c>
      <c r="X90" t="str">
        <f>Heroes!$J90</f>
        <v>High Mobility</v>
      </c>
      <c r="Y90">
        <f>IF($A$1="",0,MAX(IF(W90&lt;&gt;"",IFERROR(INDEX('Data-Input'!$B$164:$W$185,MATCH(W90,'Data-Input'!$A$164:$A$185,0),MATCH($K$1,'Data-Input'!$B$163:$W$163,0)),0),0),IF(AND(W90&lt;&gt;"",$L$1&lt;&gt;""),IFERROR(INDEX('Data-Input'!$B$164:$W$185,MATCH(W90,'Data-Input'!$A$164:$A$185,0),MATCH($L$1,'Data-Input'!$B$163:$W$163,0)),0),0),IF(X90&lt;&gt;"",IFERROR(INDEX('Data-Input'!$B$164:$W$185,MATCH(X90,'Data-Input'!$A$164:$A$185,0),MATCH($K$1,'Data-Input'!$B$163:$W$163,0)),0),0),IF(AND(X90&lt;&gt;"",$L$1&lt;&gt;""),IFERROR(INDEX('Data-Input'!$B$164:$W$185,MATCH(X90,'Data-Input'!$A$164:$A$185,0),MATCH($L$1,'Data-Input'!$B$163:$W$163,0)),0),0))*$M$1)</f>
        <v>0</v>
      </c>
      <c r="Z90">
        <f>IF($A$1="",0,SUMPRODUCT(('Data-Input'!$A$29:$A$128=A90)*('Data-Input'!$B$29:$B$128="Tag")*((('Data-Input'!$C$29:$C$128=$K$1)+('Data-Input'!$C$29:$C$128=$L$1))&gt;0)*('Data-Input'!$D$29:$D$128-'Data-Input'!$E$29:$E$128))+SUMPRODUCT(('Data-Input'!$A$29:$A$128=A90)*('Data-Input'!$B$29:$B$128="Hero")*('Data-Input'!$C$29:$C$128=$A$1)*('Data-Input'!$D$29:$D$128-'Data-Input'!$E$29:$E$128)))</f>
        <v>0</v>
      </c>
    </row>
    <row r="91" spans="1:26" ht="15" customHeight="1" x14ac:dyDescent="0.3">
      <c r="A91" t="str">
        <f>Heroes!$B91</f>
        <v>Silvanna</v>
      </c>
      <c r="B91" t="str">
        <f>Heroes!$C91</f>
        <v>Fighter</v>
      </c>
      <c r="C91">
        <f>Heroes!$D91</f>
        <v>0</v>
      </c>
      <c r="D91">
        <f>Heroes!$E91</f>
        <v>40</v>
      </c>
      <c r="E91">
        <f>Heroes!$F91</f>
        <v>70</v>
      </c>
      <c r="F91">
        <f>Heroes!$H91</f>
        <v>20</v>
      </c>
      <c r="G91" t="str">
        <f>Heroes!$K91</f>
        <v>Magic</v>
      </c>
      <c r="H91">
        <f>Heroes!$Q91</f>
        <v>3</v>
      </c>
      <c r="I91">
        <f>IFERROR(INDEX('Data-Input'!$B$19:$G$24,MATCH(B91,'Data-Input'!$A$19:$A$24,0),MATCH($B$1,'Data-Input'!$B$18:$G$18,0)),0)</f>
        <v>0</v>
      </c>
      <c r="J91">
        <f>IF(C91&lt;&gt;"",IFERROR(INDEX('Data-Input'!$B$19:$G$24,MATCH(C91,'Data-Input'!$A$19:$A$24,0),MATCH($B$1,'Data-Input'!$B$18:$G$18,0)),0),I91)</f>
        <v>0</v>
      </c>
      <c r="K91">
        <f t="shared" si="20"/>
        <v>0</v>
      </c>
      <c r="L91">
        <f t="shared" si="21"/>
        <v>5.5</v>
      </c>
      <c r="M91">
        <f t="shared" si="22"/>
        <v>20</v>
      </c>
      <c r="N91">
        <f t="shared" si="23"/>
        <v>0</v>
      </c>
      <c r="O91">
        <f t="shared" si="24"/>
        <v>3</v>
      </c>
      <c r="P91">
        <f t="shared" si="25"/>
        <v>9</v>
      </c>
      <c r="Q91">
        <f t="shared" si="26"/>
        <v>17.5</v>
      </c>
      <c r="R91">
        <f>IFERROR(INDEX('Data-Input'!$C$190:$C$1189,MATCH(A91&amp;"|"&amp;$A$1,'Data-Input'!$E$190:$E$1189,0)),Q91)</f>
        <v>17.5</v>
      </c>
      <c r="S91">
        <f t="shared" si="27"/>
        <v>17.5</v>
      </c>
      <c r="T91">
        <f t="shared" si="28"/>
        <v>17.5000091</v>
      </c>
      <c r="U91" t="str">
        <f>Heroes!$M91</f>
        <v>EXP Lane</v>
      </c>
      <c r="V91">
        <f t="shared" si="29"/>
        <v>-1000000000000000</v>
      </c>
      <c r="W91" t="str">
        <f>Heroes!$I91</f>
        <v>Targeted CC</v>
      </c>
      <c r="X91" t="str">
        <f>Heroes!$J91</f>
        <v>Sustain</v>
      </c>
      <c r="Y91">
        <f>IF($A$1="",0,MAX(IF(W91&lt;&gt;"",IFERROR(INDEX('Data-Input'!$B$164:$W$185,MATCH(W91,'Data-Input'!$A$164:$A$185,0),MATCH($K$1,'Data-Input'!$B$163:$W$163,0)),0),0),IF(AND(W91&lt;&gt;"",$L$1&lt;&gt;""),IFERROR(INDEX('Data-Input'!$B$164:$W$185,MATCH(W91,'Data-Input'!$A$164:$A$185,0),MATCH($L$1,'Data-Input'!$B$163:$W$163,0)),0),0),IF(X91&lt;&gt;"",IFERROR(INDEX('Data-Input'!$B$164:$W$185,MATCH(X91,'Data-Input'!$A$164:$A$185,0),MATCH($K$1,'Data-Input'!$B$163:$W$163,0)),0),0),IF(AND(X91&lt;&gt;"",$L$1&lt;&gt;""),IFERROR(INDEX('Data-Input'!$B$164:$W$185,MATCH(X91,'Data-Input'!$A$164:$A$185,0),MATCH($L$1,'Data-Input'!$B$163:$W$163,0)),0),0))*$M$1)</f>
        <v>0</v>
      </c>
      <c r="Z91">
        <f>IF($A$1="",0,SUMPRODUCT(('Data-Input'!$A$29:$A$128=A91)*('Data-Input'!$B$29:$B$128="Tag")*((('Data-Input'!$C$29:$C$128=$K$1)+('Data-Input'!$C$29:$C$128=$L$1))&gt;0)*('Data-Input'!$D$29:$D$128-'Data-Input'!$E$29:$E$128))+SUMPRODUCT(('Data-Input'!$A$29:$A$128=A91)*('Data-Input'!$B$29:$B$128="Hero")*('Data-Input'!$C$29:$C$128=$A$1)*('Data-Input'!$D$29:$D$128-'Data-Input'!$E$29:$E$128)))</f>
        <v>0</v>
      </c>
    </row>
    <row r="92" spans="1:26" ht="15" customHeight="1" x14ac:dyDescent="0.3">
      <c r="A92" t="str">
        <f>Heroes!$B92</f>
        <v>Cecilion</v>
      </c>
      <c r="B92" t="str">
        <f>Heroes!$C92</f>
        <v>Mage</v>
      </c>
      <c r="C92">
        <f>Heroes!$D92</f>
        <v>0</v>
      </c>
      <c r="D92">
        <f>Heroes!$E92</f>
        <v>100</v>
      </c>
      <c r="E92">
        <f>Heroes!$F92</f>
        <v>50</v>
      </c>
      <c r="F92">
        <f>Heroes!$H92</f>
        <v>40</v>
      </c>
      <c r="G92" t="str">
        <f>Heroes!$K92</f>
        <v>Magic</v>
      </c>
      <c r="H92">
        <f>Heroes!$Q92</f>
        <v>5</v>
      </c>
      <c r="I92">
        <f>IFERROR(INDEX('Data-Input'!$B$19:$G$24,MATCH(B92,'Data-Input'!$A$19:$A$24,0),MATCH($B$1,'Data-Input'!$B$18:$G$18,0)),0)</f>
        <v>0</v>
      </c>
      <c r="J92">
        <f>IF(C92&lt;&gt;"",IFERROR(INDEX('Data-Input'!$B$19:$G$24,MATCH(C92,'Data-Input'!$A$19:$A$24,0),MATCH($B$1,'Data-Input'!$B$18:$G$18,0)),0),I92)</f>
        <v>0</v>
      </c>
      <c r="K92">
        <f t="shared" si="20"/>
        <v>0</v>
      </c>
      <c r="L92">
        <f t="shared" si="21"/>
        <v>7.5</v>
      </c>
      <c r="M92">
        <f t="shared" si="22"/>
        <v>40</v>
      </c>
      <c r="N92">
        <f t="shared" si="23"/>
        <v>12</v>
      </c>
      <c r="O92">
        <f t="shared" si="24"/>
        <v>3</v>
      </c>
      <c r="P92">
        <f t="shared" si="25"/>
        <v>15</v>
      </c>
      <c r="Q92">
        <f t="shared" si="26"/>
        <v>37.5</v>
      </c>
      <c r="R92">
        <f>IFERROR(INDEX('Data-Input'!$C$190:$C$1189,MATCH(A92&amp;"|"&amp;$A$1,'Data-Input'!$E$190:$E$1189,0)),Q92)</f>
        <v>37.5</v>
      </c>
      <c r="S92">
        <f t="shared" si="27"/>
        <v>37.5</v>
      </c>
      <c r="T92">
        <f t="shared" si="28"/>
        <v>37.500009200000001</v>
      </c>
      <c r="U92" t="str">
        <f>Heroes!$M92</f>
        <v>Mid Lane</v>
      </c>
      <c r="V92">
        <f t="shared" si="29"/>
        <v>-1000000000000000</v>
      </c>
      <c r="W92" t="str">
        <f>Heroes!$I92</f>
        <v>Poke</v>
      </c>
      <c r="X92" t="str">
        <f>Heroes!$J92</f>
        <v>AoE Damage</v>
      </c>
      <c r="Y92">
        <f>IF($A$1="",0,MAX(IF(W92&lt;&gt;"",IFERROR(INDEX('Data-Input'!$B$164:$W$185,MATCH(W92,'Data-Input'!$A$164:$A$185,0),MATCH($K$1,'Data-Input'!$B$163:$W$163,0)),0),0),IF(AND(W92&lt;&gt;"",$L$1&lt;&gt;""),IFERROR(INDEX('Data-Input'!$B$164:$W$185,MATCH(W92,'Data-Input'!$A$164:$A$185,0),MATCH($L$1,'Data-Input'!$B$163:$W$163,0)),0),0),IF(X92&lt;&gt;"",IFERROR(INDEX('Data-Input'!$B$164:$W$185,MATCH(X92,'Data-Input'!$A$164:$A$185,0),MATCH($K$1,'Data-Input'!$B$163:$W$163,0)),0),0),IF(AND(X92&lt;&gt;"",$L$1&lt;&gt;""),IFERROR(INDEX('Data-Input'!$B$164:$W$185,MATCH(X92,'Data-Input'!$A$164:$A$185,0),MATCH($L$1,'Data-Input'!$B$163:$W$163,0)),0),0))*$M$1)</f>
        <v>0</v>
      </c>
      <c r="Z92">
        <f>IF($A$1="",0,SUMPRODUCT(('Data-Input'!$A$29:$A$128=A92)*('Data-Input'!$B$29:$B$128="Tag")*((('Data-Input'!$C$29:$C$128=$K$1)+('Data-Input'!$C$29:$C$128=$L$1))&gt;0)*('Data-Input'!$D$29:$D$128-'Data-Input'!$E$29:$E$128))+SUMPRODUCT(('Data-Input'!$A$29:$A$128=A92)*('Data-Input'!$B$29:$B$128="Hero")*('Data-Input'!$C$29:$C$128=$A$1)*('Data-Input'!$D$29:$D$128-'Data-Input'!$E$29:$E$128)))</f>
        <v>0</v>
      </c>
    </row>
    <row r="93" spans="1:26" ht="15" customHeight="1" x14ac:dyDescent="0.3">
      <c r="A93" t="str">
        <f>Heroes!$B93</f>
        <v>Carmilla</v>
      </c>
      <c r="B93" t="str">
        <f>Heroes!$C93</f>
        <v>Support</v>
      </c>
      <c r="C93" t="str">
        <f>Heroes!$D93</f>
        <v>Tank</v>
      </c>
      <c r="D93">
        <f>Heroes!$E93</f>
        <v>20</v>
      </c>
      <c r="E93">
        <f>Heroes!$F93</f>
        <v>80</v>
      </c>
      <c r="F93">
        <f>Heroes!$H93</f>
        <v>40</v>
      </c>
      <c r="G93" t="str">
        <f>Heroes!$K93</f>
        <v>Magic</v>
      </c>
      <c r="H93">
        <f>Heroes!$Q93</f>
        <v>2</v>
      </c>
      <c r="I93">
        <f>IFERROR(INDEX('Data-Input'!$B$19:$G$24,MATCH(B93,'Data-Input'!$A$19:$A$24,0),MATCH($B$1,'Data-Input'!$B$18:$G$18,0)),0)</f>
        <v>0</v>
      </c>
      <c r="J93">
        <f>IF(C93&lt;&gt;"",IFERROR(INDEX('Data-Input'!$B$19:$G$24,MATCH(C93,'Data-Input'!$A$19:$A$24,0),MATCH($B$1,'Data-Input'!$B$18:$G$18,0)),0),I93)</f>
        <v>0</v>
      </c>
      <c r="K93">
        <f t="shared" si="20"/>
        <v>0</v>
      </c>
      <c r="L93">
        <f t="shared" si="21"/>
        <v>5</v>
      </c>
      <c r="M93">
        <f t="shared" si="22"/>
        <v>40</v>
      </c>
      <c r="N93">
        <f t="shared" si="23"/>
        <v>12</v>
      </c>
      <c r="O93">
        <f t="shared" si="24"/>
        <v>3</v>
      </c>
      <c r="P93">
        <f t="shared" si="25"/>
        <v>6</v>
      </c>
      <c r="Q93">
        <f t="shared" si="26"/>
        <v>26</v>
      </c>
      <c r="R93">
        <f>IFERROR(INDEX('Data-Input'!$C$190:$C$1189,MATCH(A93&amp;"|"&amp;$A$1,'Data-Input'!$E$190:$E$1189,0)),Q93)</f>
        <v>26</v>
      </c>
      <c r="S93">
        <f t="shared" si="27"/>
        <v>26</v>
      </c>
      <c r="T93">
        <f t="shared" si="28"/>
        <v>26.000009299999999</v>
      </c>
      <c r="U93" t="str">
        <f>Heroes!$M93</f>
        <v>Roaming</v>
      </c>
      <c r="V93">
        <f t="shared" si="29"/>
        <v>-1000000000000000</v>
      </c>
      <c r="W93" t="str">
        <f>Heroes!$I93</f>
        <v>AoE CC</v>
      </c>
      <c r="X93" t="str">
        <f>Heroes!$J93</f>
        <v>Sustain</v>
      </c>
      <c r="Y93">
        <f>IF($A$1="",0,MAX(IF(W93&lt;&gt;"",IFERROR(INDEX('Data-Input'!$B$164:$W$185,MATCH(W93,'Data-Input'!$A$164:$A$185,0),MATCH($K$1,'Data-Input'!$B$163:$W$163,0)),0),0),IF(AND(W93&lt;&gt;"",$L$1&lt;&gt;""),IFERROR(INDEX('Data-Input'!$B$164:$W$185,MATCH(W93,'Data-Input'!$A$164:$A$185,0),MATCH($L$1,'Data-Input'!$B$163:$W$163,0)),0),0),IF(X93&lt;&gt;"",IFERROR(INDEX('Data-Input'!$B$164:$W$185,MATCH(X93,'Data-Input'!$A$164:$A$185,0),MATCH($K$1,'Data-Input'!$B$163:$W$163,0)),0),0),IF(AND(X93&lt;&gt;"",$L$1&lt;&gt;""),IFERROR(INDEX('Data-Input'!$B$164:$W$185,MATCH(X93,'Data-Input'!$A$164:$A$185,0),MATCH($L$1,'Data-Input'!$B$163:$W$163,0)),0),0))*$M$1)</f>
        <v>0</v>
      </c>
      <c r="Z93">
        <f>IF($A$1="",0,SUMPRODUCT(('Data-Input'!$A$29:$A$128=A93)*('Data-Input'!$B$29:$B$128="Tag")*((('Data-Input'!$C$29:$C$128=$K$1)+('Data-Input'!$C$29:$C$128=$L$1))&gt;0)*('Data-Input'!$D$29:$D$128-'Data-Input'!$E$29:$E$128))+SUMPRODUCT(('Data-Input'!$A$29:$A$128=A93)*('Data-Input'!$B$29:$B$128="Hero")*('Data-Input'!$C$29:$C$128=$A$1)*('Data-Input'!$D$29:$D$128-'Data-Input'!$E$29:$E$128)))</f>
        <v>0</v>
      </c>
    </row>
    <row r="94" spans="1:26" ht="15" customHeight="1" x14ac:dyDescent="0.3">
      <c r="A94" t="str">
        <f>Heroes!$B94</f>
        <v>Atlas</v>
      </c>
      <c r="B94" t="str">
        <f>Heroes!$C94</f>
        <v>Tank</v>
      </c>
      <c r="C94">
        <f>Heroes!$D94</f>
        <v>0</v>
      </c>
      <c r="D94">
        <f>Heroes!$E94</f>
        <v>10</v>
      </c>
      <c r="E94">
        <f>Heroes!$F94</f>
        <v>90</v>
      </c>
      <c r="F94">
        <f>Heroes!$H94</f>
        <v>50</v>
      </c>
      <c r="G94" t="str">
        <f>Heroes!$K94</f>
        <v>Magic</v>
      </c>
      <c r="H94">
        <f>Heroes!$Q94</f>
        <v>2</v>
      </c>
      <c r="I94">
        <f>IFERROR(INDEX('Data-Input'!$B$19:$G$24,MATCH(B94,'Data-Input'!$A$19:$A$24,0),MATCH($B$1,'Data-Input'!$B$18:$G$18,0)),0)</f>
        <v>0</v>
      </c>
      <c r="J94">
        <f>IF(C94&lt;&gt;"",IFERROR(INDEX('Data-Input'!$B$19:$G$24,MATCH(C94,'Data-Input'!$A$19:$A$24,0),MATCH($B$1,'Data-Input'!$B$18:$G$18,0)),0),I94)</f>
        <v>0</v>
      </c>
      <c r="K94">
        <f t="shared" si="20"/>
        <v>0</v>
      </c>
      <c r="L94">
        <f t="shared" si="21"/>
        <v>5</v>
      </c>
      <c r="M94">
        <f t="shared" si="22"/>
        <v>50</v>
      </c>
      <c r="N94">
        <f t="shared" si="23"/>
        <v>15</v>
      </c>
      <c r="O94">
        <f t="shared" si="24"/>
        <v>3</v>
      </c>
      <c r="P94">
        <f t="shared" si="25"/>
        <v>6</v>
      </c>
      <c r="Q94">
        <f t="shared" si="26"/>
        <v>29</v>
      </c>
      <c r="R94">
        <f>IFERROR(INDEX('Data-Input'!$C$190:$C$1189,MATCH(A94&amp;"|"&amp;$A$1,'Data-Input'!$E$190:$E$1189,0)),Q94)</f>
        <v>29</v>
      </c>
      <c r="S94">
        <f t="shared" si="27"/>
        <v>29</v>
      </c>
      <c r="T94">
        <f t="shared" si="28"/>
        <v>29.0000094</v>
      </c>
      <c r="U94" t="str">
        <f>Heroes!$M94</f>
        <v>Roaming</v>
      </c>
      <c r="V94">
        <f t="shared" si="29"/>
        <v>-1000000000000000</v>
      </c>
      <c r="W94" t="str">
        <f>Heroes!$I94</f>
        <v>AoE CC</v>
      </c>
      <c r="X94" t="str">
        <f>Heroes!$J94</f>
        <v>Hard CC</v>
      </c>
      <c r="Y94">
        <f>IF($A$1="",0,MAX(IF(W94&lt;&gt;"",IFERROR(INDEX('Data-Input'!$B$164:$W$185,MATCH(W94,'Data-Input'!$A$164:$A$185,0),MATCH($K$1,'Data-Input'!$B$163:$W$163,0)),0),0),IF(AND(W94&lt;&gt;"",$L$1&lt;&gt;""),IFERROR(INDEX('Data-Input'!$B$164:$W$185,MATCH(W94,'Data-Input'!$A$164:$A$185,0),MATCH($L$1,'Data-Input'!$B$163:$W$163,0)),0),0),IF(X94&lt;&gt;"",IFERROR(INDEX('Data-Input'!$B$164:$W$185,MATCH(X94,'Data-Input'!$A$164:$A$185,0),MATCH($K$1,'Data-Input'!$B$163:$W$163,0)),0),0),IF(AND(X94&lt;&gt;"",$L$1&lt;&gt;""),IFERROR(INDEX('Data-Input'!$B$164:$W$185,MATCH(X94,'Data-Input'!$A$164:$A$185,0),MATCH($L$1,'Data-Input'!$B$163:$W$163,0)),0),0))*$M$1)</f>
        <v>0</v>
      </c>
      <c r="Z94">
        <f>IF($A$1="",0,SUMPRODUCT(('Data-Input'!$A$29:$A$128=A94)*('Data-Input'!$B$29:$B$128="Tag")*((('Data-Input'!$C$29:$C$128=$K$1)+('Data-Input'!$C$29:$C$128=$L$1))&gt;0)*('Data-Input'!$D$29:$D$128-'Data-Input'!$E$29:$E$128))+SUMPRODUCT(('Data-Input'!$A$29:$A$128=A94)*('Data-Input'!$B$29:$B$128="Hero")*('Data-Input'!$C$29:$C$128=$A$1)*('Data-Input'!$D$29:$D$128-'Data-Input'!$E$29:$E$128)))</f>
        <v>0</v>
      </c>
    </row>
    <row r="95" spans="1:26" ht="15" customHeight="1" x14ac:dyDescent="0.3">
      <c r="A95" t="str">
        <f>Heroes!$B95</f>
        <v>Popol and Kupa</v>
      </c>
      <c r="B95" t="str">
        <f>Heroes!$C95</f>
        <v>Marksman</v>
      </c>
      <c r="C95">
        <f>Heroes!$D95</f>
        <v>0</v>
      </c>
      <c r="D95">
        <f>Heroes!$E95</f>
        <v>70</v>
      </c>
      <c r="E95">
        <f>Heroes!$F95</f>
        <v>70</v>
      </c>
      <c r="F95">
        <f>Heroes!$H95</f>
        <v>50</v>
      </c>
      <c r="G95" t="str">
        <f>Heroes!$K95</f>
        <v>Mixed</v>
      </c>
      <c r="H95">
        <f>Heroes!$Q95</f>
        <v>3</v>
      </c>
      <c r="I95">
        <f>IFERROR(INDEX('Data-Input'!$B$19:$G$24,MATCH(B95,'Data-Input'!$A$19:$A$24,0),MATCH($B$1,'Data-Input'!$B$18:$G$18,0)),0)</f>
        <v>0</v>
      </c>
      <c r="J95">
        <f>IF(C95&lt;&gt;"",IFERROR(INDEX('Data-Input'!$B$19:$G$24,MATCH(C95,'Data-Input'!$A$19:$A$24,0),MATCH($B$1,'Data-Input'!$B$18:$G$18,0)),0),I95)</f>
        <v>0</v>
      </c>
      <c r="K95">
        <f t="shared" si="20"/>
        <v>0</v>
      </c>
      <c r="L95">
        <f t="shared" si="21"/>
        <v>7</v>
      </c>
      <c r="M95">
        <f t="shared" si="22"/>
        <v>50</v>
      </c>
      <c r="N95">
        <f t="shared" si="23"/>
        <v>15</v>
      </c>
      <c r="O95">
        <f t="shared" si="24"/>
        <v>5</v>
      </c>
      <c r="P95">
        <f t="shared" si="25"/>
        <v>9</v>
      </c>
      <c r="Q95">
        <f t="shared" si="26"/>
        <v>36</v>
      </c>
      <c r="R95">
        <f>IFERROR(INDEX('Data-Input'!$C$190:$C$1189,MATCH(A95&amp;"|"&amp;$A$1,'Data-Input'!$E$190:$E$1189,0)),Q95)</f>
        <v>36</v>
      </c>
      <c r="S95">
        <f t="shared" si="27"/>
        <v>36</v>
      </c>
      <c r="T95">
        <f t="shared" si="28"/>
        <v>36.000009499999997</v>
      </c>
      <c r="U95" t="str">
        <f>Heroes!$M95</f>
        <v>Jungle</v>
      </c>
      <c r="V95">
        <f t="shared" si="29"/>
        <v>-1000000000000000</v>
      </c>
      <c r="W95" t="str">
        <f>Heroes!$I95</f>
        <v>Summoner</v>
      </c>
      <c r="X95" t="str">
        <f>Heroes!$J95</f>
        <v>Hard CC</v>
      </c>
      <c r="Y95">
        <f>IF($A$1="",0,MAX(IF(W95&lt;&gt;"",IFERROR(INDEX('Data-Input'!$B$164:$W$185,MATCH(W95,'Data-Input'!$A$164:$A$185,0),MATCH($K$1,'Data-Input'!$B$163:$W$163,0)),0),0),IF(AND(W95&lt;&gt;"",$L$1&lt;&gt;""),IFERROR(INDEX('Data-Input'!$B$164:$W$185,MATCH(W95,'Data-Input'!$A$164:$A$185,0),MATCH($L$1,'Data-Input'!$B$163:$W$163,0)),0),0),IF(X95&lt;&gt;"",IFERROR(INDEX('Data-Input'!$B$164:$W$185,MATCH(X95,'Data-Input'!$A$164:$A$185,0),MATCH($K$1,'Data-Input'!$B$163:$W$163,0)),0),0),IF(AND(X95&lt;&gt;"",$L$1&lt;&gt;""),IFERROR(INDEX('Data-Input'!$B$164:$W$185,MATCH(X95,'Data-Input'!$A$164:$A$185,0),MATCH($L$1,'Data-Input'!$B$163:$W$163,0)),0),0))*$M$1)</f>
        <v>0</v>
      </c>
      <c r="Z95">
        <f>IF($A$1="",0,SUMPRODUCT(('Data-Input'!$A$29:$A$128=A95)*('Data-Input'!$B$29:$B$128="Tag")*((('Data-Input'!$C$29:$C$128=$K$1)+('Data-Input'!$C$29:$C$128=$L$1))&gt;0)*('Data-Input'!$D$29:$D$128-'Data-Input'!$E$29:$E$128))+SUMPRODUCT(('Data-Input'!$A$29:$A$128=A95)*('Data-Input'!$B$29:$B$128="Hero")*('Data-Input'!$C$29:$C$128=$A$1)*('Data-Input'!$D$29:$D$128-'Data-Input'!$E$29:$E$128)))</f>
        <v>0</v>
      </c>
    </row>
    <row r="96" spans="1:26" ht="15" customHeight="1" x14ac:dyDescent="0.3">
      <c r="A96" t="str">
        <f>Heroes!$B96</f>
        <v>Yu Zhong</v>
      </c>
      <c r="B96" t="str">
        <f>Heroes!$C96</f>
        <v>Fighter</v>
      </c>
      <c r="C96">
        <f>Heroes!$D96</f>
        <v>0</v>
      </c>
      <c r="D96">
        <f>Heroes!$E96</f>
        <v>40</v>
      </c>
      <c r="E96">
        <f>Heroes!$F96</f>
        <v>70</v>
      </c>
      <c r="F96">
        <f>Heroes!$H96</f>
        <v>70</v>
      </c>
      <c r="G96" t="str">
        <f>Heroes!$K96</f>
        <v>Physical</v>
      </c>
      <c r="H96">
        <f>Heroes!$Q96</f>
        <v>3</v>
      </c>
      <c r="I96">
        <f>IFERROR(INDEX('Data-Input'!$B$19:$G$24,MATCH(B96,'Data-Input'!$A$19:$A$24,0),MATCH($B$1,'Data-Input'!$B$18:$G$18,0)),0)</f>
        <v>0</v>
      </c>
      <c r="J96">
        <f>IF(C96&lt;&gt;"",IFERROR(INDEX('Data-Input'!$B$19:$G$24,MATCH(C96,'Data-Input'!$A$19:$A$24,0),MATCH($B$1,'Data-Input'!$B$18:$G$18,0)),0),I96)</f>
        <v>0</v>
      </c>
      <c r="K96">
        <f t="shared" si="20"/>
        <v>0</v>
      </c>
      <c r="L96">
        <f t="shared" si="21"/>
        <v>5.5</v>
      </c>
      <c r="M96">
        <f t="shared" si="22"/>
        <v>70</v>
      </c>
      <c r="N96">
        <f t="shared" si="23"/>
        <v>21</v>
      </c>
      <c r="O96">
        <f t="shared" si="24"/>
        <v>3</v>
      </c>
      <c r="P96">
        <f t="shared" si="25"/>
        <v>9</v>
      </c>
      <c r="Q96">
        <f t="shared" si="26"/>
        <v>38.5</v>
      </c>
      <c r="R96">
        <f>IFERROR(INDEX('Data-Input'!$C$190:$C$1189,MATCH(A96&amp;"|"&amp;$A$1,'Data-Input'!$E$190:$E$1189,0)),Q96)</f>
        <v>38.5</v>
      </c>
      <c r="S96">
        <f t="shared" si="27"/>
        <v>38.5</v>
      </c>
      <c r="T96">
        <f t="shared" si="28"/>
        <v>38.500009599999998</v>
      </c>
      <c r="U96" t="str">
        <f>Heroes!$M96</f>
        <v>EXP Lane</v>
      </c>
      <c r="V96">
        <f t="shared" si="29"/>
        <v>-1000000000000000</v>
      </c>
      <c r="W96" t="str">
        <f>Heroes!$I96</f>
        <v>Sustain</v>
      </c>
      <c r="X96" t="str">
        <f>Heroes!$J96</f>
        <v>Global Dive</v>
      </c>
      <c r="Y96">
        <f>IF($A$1="",0,MAX(IF(W96&lt;&gt;"",IFERROR(INDEX('Data-Input'!$B$164:$W$185,MATCH(W96,'Data-Input'!$A$164:$A$185,0),MATCH($K$1,'Data-Input'!$B$163:$W$163,0)),0),0),IF(AND(W96&lt;&gt;"",$L$1&lt;&gt;""),IFERROR(INDEX('Data-Input'!$B$164:$W$185,MATCH(W96,'Data-Input'!$A$164:$A$185,0),MATCH($L$1,'Data-Input'!$B$163:$W$163,0)),0),0),IF(X96&lt;&gt;"",IFERROR(INDEX('Data-Input'!$B$164:$W$185,MATCH(X96,'Data-Input'!$A$164:$A$185,0),MATCH($K$1,'Data-Input'!$B$163:$W$163,0)),0),0),IF(AND(X96&lt;&gt;"",$L$1&lt;&gt;""),IFERROR(INDEX('Data-Input'!$B$164:$W$185,MATCH(X96,'Data-Input'!$A$164:$A$185,0),MATCH($L$1,'Data-Input'!$B$163:$W$163,0)),0),0))*$M$1)</f>
        <v>0</v>
      </c>
      <c r="Z96">
        <f>IF($A$1="",0,SUMPRODUCT(('Data-Input'!$A$29:$A$128=A96)*('Data-Input'!$B$29:$B$128="Tag")*((('Data-Input'!$C$29:$C$128=$K$1)+('Data-Input'!$C$29:$C$128=$L$1))&gt;0)*('Data-Input'!$D$29:$D$128-'Data-Input'!$E$29:$E$128))+SUMPRODUCT(('Data-Input'!$A$29:$A$128=A96)*('Data-Input'!$B$29:$B$128="Hero")*('Data-Input'!$C$29:$C$128=$A$1)*('Data-Input'!$D$29:$D$128-'Data-Input'!$E$29:$E$128)))</f>
        <v>0</v>
      </c>
    </row>
    <row r="97" spans="1:26" ht="15" customHeight="1" x14ac:dyDescent="0.3">
      <c r="A97" t="str">
        <f>Heroes!$B97</f>
        <v>Luo Yi</v>
      </c>
      <c r="B97" t="str">
        <f>Heroes!$C97</f>
        <v>Mage</v>
      </c>
      <c r="C97">
        <f>Heroes!$D97</f>
        <v>0</v>
      </c>
      <c r="D97">
        <f>Heroes!$E97</f>
        <v>100</v>
      </c>
      <c r="E97">
        <f>Heroes!$F97</f>
        <v>40</v>
      </c>
      <c r="F97">
        <f>Heroes!$H97</f>
        <v>50</v>
      </c>
      <c r="G97" t="str">
        <f>Heroes!$K97</f>
        <v>Magic</v>
      </c>
      <c r="H97">
        <f>Heroes!$Q97</f>
        <v>3</v>
      </c>
      <c r="I97">
        <f>IFERROR(INDEX('Data-Input'!$B$19:$G$24,MATCH(B97,'Data-Input'!$A$19:$A$24,0),MATCH($B$1,'Data-Input'!$B$18:$G$18,0)),0)</f>
        <v>0</v>
      </c>
      <c r="J97">
        <f>IF(C97&lt;&gt;"",IFERROR(INDEX('Data-Input'!$B$19:$G$24,MATCH(C97,'Data-Input'!$A$19:$A$24,0),MATCH($B$1,'Data-Input'!$B$18:$G$18,0)),0),I97)</f>
        <v>0</v>
      </c>
      <c r="K97">
        <f t="shared" si="20"/>
        <v>0</v>
      </c>
      <c r="L97">
        <f t="shared" si="21"/>
        <v>7</v>
      </c>
      <c r="M97">
        <f t="shared" si="22"/>
        <v>50</v>
      </c>
      <c r="N97">
        <f t="shared" si="23"/>
        <v>15</v>
      </c>
      <c r="O97">
        <f t="shared" si="24"/>
        <v>3</v>
      </c>
      <c r="P97">
        <f t="shared" si="25"/>
        <v>9</v>
      </c>
      <c r="Q97">
        <f t="shared" si="26"/>
        <v>34</v>
      </c>
      <c r="R97">
        <f>IFERROR(INDEX('Data-Input'!$C$190:$C$1189,MATCH(A97&amp;"|"&amp;$A$1,'Data-Input'!$E$190:$E$1189,0)),Q97)</f>
        <v>34</v>
      </c>
      <c r="S97">
        <f t="shared" si="27"/>
        <v>34</v>
      </c>
      <c r="T97">
        <f t="shared" si="28"/>
        <v>34.0000097</v>
      </c>
      <c r="U97" t="str">
        <f>Heroes!$M97</f>
        <v>Mid Lane</v>
      </c>
      <c r="V97">
        <f t="shared" si="29"/>
        <v>-1000000000000000</v>
      </c>
      <c r="W97" t="str">
        <f>Heroes!$I97</f>
        <v>AoE Damage</v>
      </c>
      <c r="X97" t="str">
        <f>Heroes!$J97</f>
        <v>Global Dive</v>
      </c>
      <c r="Y97">
        <f>IF($A$1="",0,MAX(IF(W97&lt;&gt;"",IFERROR(INDEX('Data-Input'!$B$164:$W$185,MATCH(W97,'Data-Input'!$A$164:$A$185,0),MATCH($K$1,'Data-Input'!$B$163:$W$163,0)),0),0),IF(AND(W97&lt;&gt;"",$L$1&lt;&gt;""),IFERROR(INDEX('Data-Input'!$B$164:$W$185,MATCH(W97,'Data-Input'!$A$164:$A$185,0),MATCH($L$1,'Data-Input'!$B$163:$W$163,0)),0),0),IF(X97&lt;&gt;"",IFERROR(INDEX('Data-Input'!$B$164:$W$185,MATCH(X97,'Data-Input'!$A$164:$A$185,0),MATCH($K$1,'Data-Input'!$B$163:$W$163,0)),0),0),IF(AND(X97&lt;&gt;"",$L$1&lt;&gt;""),IFERROR(INDEX('Data-Input'!$B$164:$W$185,MATCH(X97,'Data-Input'!$A$164:$A$185,0),MATCH($L$1,'Data-Input'!$B$163:$W$163,0)),0),0))*$M$1)</f>
        <v>0</v>
      </c>
      <c r="Z97">
        <f>IF($A$1="",0,SUMPRODUCT(('Data-Input'!$A$29:$A$128=A97)*('Data-Input'!$B$29:$B$128="Tag")*((('Data-Input'!$C$29:$C$128=$K$1)+('Data-Input'!$C$29:$C$128=$L$1))&gt;0)*('Data-Input'!$D$29:$D$128-'Data-Input'!$E$29:$E$128))+SUMPRODUCT(('Data-Input'!$A$29:$A$128=A97)*('Data-Input'!$B$29:$B$128="Hero")*('Data-Input'!$C$29:$C$128=$A$1)*('Data-Input'!$D$29:$D$128-'Data-Input'!$E$29:$E$128)))</f>
        <v>0</v>
      </c>
    </row>
    <row r="98" spans="1:26" ht="15" customHeight="1" x14ac:dyDescent="0.3">
      <c r="A98" t="str">
        <f>Heroes!$B98</f>
        <v>Benedetta</v>
      </c>
      <c r="B98" t="str">
        <f>Heroes!$C98</f>
        <v>Assassin</v>
      </c>
      <c r="C98" t="str">
        <f>Heroes!$D98</f>
        <v>Fighter</v>
      </c>
      <c r="D98">
        <f>Heroes!$E98</f>
        <v>50</v>
      </c>
      <c r="E98">
        <f>Heroes!$F98</f>
        <v>20</v>
      </c>
      <c r="F98">
        <f>Heroes!$H98</f>
        <v>70</v>
      </c>
      <c r="G98" t="str">
        <f>Heroes!$K98</f>
        <v>Physical</v>
      </c>
      <c r="H98">
        <f>Heroes!$Q98</f>
        <v>2</v>
      </c>
      <c r="I98">
        <f>IFERROR(INDEX('Data-Input'!$B$19:$G$24,MATCH(B98,'Data-Input'!$A$19:$A$24,0),MATCH($B$1,'Data-Input'!$B$18:$G$18,0)),0)</f>
        <v>0</v>
      </c>
      <c r="J98">
        <f>IF(C98&lt;&gt;"",IFERROR(INDEX('Data-Input'!$B$19:$G$24,MATCH(C98,'Data-Input'!$A$19:$A$24,0),MATCH($B$1,'Data-Input'!$B$18:$G$18,0)),0),I98)</f>
        <v>0</v>
      </c>
      <c r="K98">
        <f t="shared" ref="K98:K129" si="30">MAX(I98,J98)</f>
        <v>0</v>
      </c>
      <c r="L98">
        <f t="shared" ref="L98:L134" si="31">((D98+E98)/2-$C$1)*$H$1</f>
        <v>3.5</v>
      </c>
      <c r="M98">
        <f t="shared" ref="M98:M134" si="32">F98-$D$1</f>
        <v>70</v>
      </c>
      <c r="N98">
        <f t="shared" ref="N98:N129" si="33">IF(M98&gt;20,M98*$I$1,0)</f>
        <v>21</v>
      </c>
      <c r="O98">
        <f t="shared" ref="O98:O134" si="34">IF(G98="Mixed",$Q$1,IF(G98=$E$1,$O$1,$P$1))</f>
        <v>3</v>
      </c>
      <c r="P98">
        <f t="shared" ref="P98:P134" si="35">(H98-$F$1)*$N$1</f>
        <v>6</v>
      </c>
      <c r="Q98">
        <f t="shared" ref="Q98:Q129" si="36">K98*$G$1+L98+N98+O98+P98+Y98+Z98</f>
        <v>33.5</v>
      </c>
      <c r="R98">
        <f>IFERROR(INDEX('Data-Input'!$C$190:$C$1189,MATCH(A98&amp;"|"&amp;$A$1,'Data-Input'!$E$190:$E$1189,0)),Q98)</f>
        <v>33.5</v>
      </c>
      <c r="S98">
        <f t="shared" ref="S98:S129" si="37">IF(OR($A$1="",A98=$A$1),-1000000000000000,R98)</f>
        <v>33.5</v>
      </c>
      <c r="T98">
        <f t="shared" ref="T98:T129" si="38">S98+ROW()*0.0000001</f>
        <v>33.500009800000001</v>
      </c>
      <c r="U98" t="str">
        <f>Heroes!$M98</f>
        <v>EXP Lane</v>
      </c>
      <c r="V98">
        <f t="shared" ref="V98:V129" si="39">IF(OR($A$1="",A98=$A$1,U98="",U98&lt;&gt;$J$1),-1000000000000000,R98)+ROW()*0.0000001</f>
        <v>-1000000000000000</v>
      </c>
      <c r="W98" t="str">
        <f>Heroes!$I98</f>
        <v>I-Frame</v>
      </c>
      <c r="X98" t="str">
        <f>Heroes!$J98</f>
        <v>Dash/Blink</v>
      </c>
      <c r="Y98">
        <f>IF($A$1="",0,MAX(IF(W98&lt;&gt;"",IFERROR(INDEX('Data-Input'!$B$164:$W$185,MATCH(W98,'Data-Input'!$A$164:$A$185,0),MATCH($K$1,'Data-Input'!$B$163:$W$163,0)),0),0),IF(AND(W98&lt;&gt;"",$L$1&lt;&gt;""),IFERROR(INDEX('Data-Input'!$B$164:$W$185,MATCH(W98,'Data-Input'!$A$164:$A$185,0),MATCH($L$1,'Data-Input'!$B$163:$W$163,0)),0),0),IF(X98&lt;&gt;"",IFERROR(INDEX('Data-Input'!$B$164:$W$185,MATCH(X98,'Data-Input'!$A$164:$A$185,0),MATCH($K$1,'Data-Input'!$B$163:$W$163,0)),0),0),IF(AND(X98&lt;&gt;"",$L$1&lt;&gt;""),IFERROR(INDEX('Data-Input'!$B$164:$W$185,MATCH(X98,'Data-Input'!$A$164:$A$185,0),MATCH($L$1,'Data-Input'!$B$163:$W$163,0)),0),0))*$M$1)</f>
        <v>0</v>
      </c>
      <c r="Z98">
        <f>IF($A$1="",0,SUMPRODUCT(('Data-Input'!$A$29:$A$128=A98)*('Data-Input'!$B$29:$B$128="Tag")*((('Data-Input'!$C$29:$C$128=$K$1)+('Data-Input'!$C$29:$C$128=$L$1))&gt;0)*('Data-Input'!$D$29:$D$128-'Data-Input'!$E$29:$E$128))+SUMPRODUCT(('Data-Input'!$A$29:$A$128=A98)*('Data-Input'!$B$29:$B$128="Hero")*('Data-Input'!$C$29:$C$128=$A$1)*('Data-Input'!$D$29:$D$128-'Data-Input'!$E$29:$E$128)))</f>
        <v>0</v>
      </c>
    </row>
    <row r="99" spans="1:26" ht="15" customHeight="1" x14ac:dyDescent="0.3">
      <c r="A99" t="str">
        <f>Heroes!$B99</f>
        <v>Khaleed</v>
      </c>
      <c r="B99" t="str">
        <f>Heroes!$C99</f>
        <v>Fighter</v>
      </c>
      <c r="C99">
        <f>Heroes!$D99</f>
        <v>0</v>
      </c>
      <c r="D99">
        <f>Heroes!$E99</f>
        <v>50</v>
      </c>
      <c r="E99">
        <f>Heroes!$F99</f>
        <v>50</v>
      </c>
      <c r="F99">
        <f>Heroes!$H99</f>
        <v>50</v>
      </c>
      <c r="G99" t="str">
        <f>Heroes!$K99</f>
        <v>Physical</v>
      </c>
      <c r="H99">
        <f>Heroes!$Q99</f>
        <v>2</v>
      </c>
      <c r="I99">
        <f>IFERROR(INDEX('Data-Input'!$B$19:$G$24,MATCH(B99,'Data-Input'!$A$19:$A$24,0),MATCH($B$1,'Data-Input'!$B$18:$G$18,0)),0)</f>
        <v>0</v>
      </c>
      <c r="J99">
        <f>IF(C99&lt;&gt;"",IFERROR(INDEX('Data-Input'!$B$19:$G$24,MATCH(C99,'Data-Input'!$A$19:$A$24,0),MATCH($B$1,'Data-Input'!$B$18:$G$18,0)),0),I99)</f>
        <v>0</v>
      </c>
      <c r="K99">
        <f t="shared" si="30"/>
        <v>0</v>
      </c>
      <c r="L99">
        <f t="shared" si="31"/>
        <v>5</v>
      </c>
      <c r="M99">
        <f t="shared" si="32"/>
        <v>50</v>
      </c>
      <c r="N99">
        <f t="shared" si="33"/>
        <v>15</v>
      </c>
      <c r="O99">
        <f t="shared" si="34"/>
        <v>3</v>
      </c>
      <c r="P99">
        <f t="shared" si="35"/>
        <v>6</v>
      </c>
      <c r="Q99">
        <f t="shared" si="36"/>
        <v>29</v>
      </c>
      <c r="R99">
        <f>IFERROR(INDEX('Data-Input'!$C$190:$C$1189,MATCH(A99&amp;"|"&amp;$A$1,'Data-Input'!$E$190:$E$1189,0)),Q99)</f>
        <v>29</v>
      </c>
      <c r="S99">
        <f t="shared" si="37"/>
        <v>29</v>
      </c>
      <c r="T99">
        <f t="shared" si="38"/>
        <v>29.000009899999998</v>
      </c>
      <c r="U99" t="str">
        <f>Heroes!$M99</f>
        <v>Roaming</v>
      </c>
      <c r="V99">
        <f t="shared" si="39"/>
        <v>-1000000000000000</v>
      </c>
      <c r="W99" t="str">
        <f>Heroes!$I99</f>
        <v>Sustain</v>
      </c>
      <c r="X99" t="str">
        <f>Heroes!$J99</f>
        <v>AoE Damage</v>
      </c>
      <c r="Y99">
        <f>IF($A$1="",0,MAX(IF(W99&lt;&gt;"",IFERROR(INDEX('Data-Input'!$B$164:$W$185,MATCH(W99,'Data-Input'!$A$164:$A$185,0),MATCH($K$1,'Data-Input'!$B$163:$W$163,0)),0),0),IF(AND(W99&lt;&gt;"",$L$1&lt;&gt;""),IFERROR(INDEX('Data-Input'!$B$164:$W$185,MATCH(W99,'Data-Input'!$A$164:$A$185,0),MATCH($L$1,'Data-Input'!$B$163:$W$163,0)),0),0),IF(X99&lt;&gt;"",IFERROR(INDEX('Data-Input'!$B$164:$W$185,MATCH(X99,'Data-Input'!$A$164:$A$185,0),MATCH($K$1,'Data-Input'!$B$163:$W$163,0)),0),0),IF(AND(X99&lt;&gt;"",$L$1&lt;&gt;""),IFERROR(INDEX('Data-Input'!$B$164:$W$185,MATCH(X99,'Data-Input'!$A$164:$A$185,0),MATCH($L$1,'Data-Input'!$B$163:$W$163,0)),0),0))*$M$1)</f>
        <v>0</v>
      </c>
      <c r="Z99">
        <f>IF($A$1="",0,SUMPRODUCT(('Data-Input'!$A$29:$A$128=A99)*('Data-Input'!$B$29:$B$128="Tag")*((('Data-Input'!$C$29:$C$128=$K$1)+('Data-Input'!$C$29:$C$128=$L$1))&gt;0)*('Data-Input'!$D$29:$D$128-'Data-Input'!$E$29:$E$128))+SUMPRODUCT(('Data-Input'!$A$29:$A$128=A99)*('Data-Input'!$B$29:$B$128="Hero")*('Data-Input'!$C$29:$C$128=$A$1)*('Data-Input'!$D$29:$D$128-'Data-Input'!$E$29:$E$128)))</f>
        <v>0</v>
      </c>
    </row>
    <row r="100" spans="1:26" ht="15" customHeight="1" x14ac:dyDescent="0.3">
      <c r="A100" t="str">
        <f>Heroes!$B100</f>
        <v>Barats</v>
      </c>
      <c r="B100" t="str">
        <f>Heroes!$C100</f>
        <v>Tank</v>
      </c>
      <c r="C100" t="str">
        <f>Heroes!$D100</f>
        <v>Fighter</v>
      </c>
      <c r="D100">
        <f>Heroes!$E100</f>
        <v>30</v>
      </c>
      <c r="E100">
        <f>Heroes!$F100</f>
        <v>90</v>
      </c>
      <c r="F100">
        <f>Heroes!$H100</f>
        <v>40</v>
      </c>
      <c r="G100" t="str">
        <f>Heroes!$K100</f>
        <v>Physical</v>
      </c>
      <c r="H100">
        <f>Heroes!$Q100</f>
        <v>3</v>
      </c>
      <c r="I100">
        <f>IFERROR(INDEX('Data-Input'!$B$19:$G$24,MATCH(B100,'Data-Input'!$A$19:$A$24,0),MATCH($B$1,'Data-Input'!$B$18:$G$18,0)),0)</f>
        <v>0</v>
      </c>
      <c r="J100">
        <f>IF(C100&lt;&gt;"",IFERROR(INDEX('Data-Input'!$B$19:$G$24,MATCH(C100,'Data-Input'!$A$19:$A$24,0),MATCH($B$1,'Data-Input'!$B$18:$G$18,0)),0),I100)</f>
        <v>0</v>
      </c>
      <c r="K100">
        <f t="shared" si="30"/>
        <v>0</v>
      </c>
      <c r="L100">
        <f t="shared" si="31"/>
        <v>6</v>
      </c>
      <c r="M100">
        <f t="shared" si="32"/>
        <v>40</v>
      </c>
      <c r="N100">
        <f t="shared" si="33"/>
        <v>12</v>
      </c>
      <c r="O100">
        <f t="shared" si="34"/>
        <v>3</v>
      </c>
      <c r="P100">
        <f t="shared" si="35"/>
        <v>9</v>
      </c>
      <c r="Q100">
        <f t="shared" si="36"/>
        <v>30</v>
      </c>
      <c r="R100">
        <f>IFERROR(INDEX('Data-Input'!$C$190:$C$1189,MATCH(A100&amp;"|"&amp;$A$1,'Data-Input'!$E$190:$E$1189,0)),Q100)</f>
        <v>30</v>
      </c>
      <c r="S100">
        <f t="shared" si="37"/>
        <v>30</v>
      </c>
      <c r="T100">
        <f t="shared" si="38"/>
        <v>30.00001</v>
      </c>
      <c r="U100" t="str">
        <f>Heroes!$M100</f>
        <v>Jungle</v>
      </c>
      <c r="V100">
        <f t="shared" si="39"/>
        <v>-1000000000000000</v>
      </c>
      <c r="W100" t="str">
        <f>Heroes!$I100</f>
        <v>Sustain</v>
      </c>
      <c r="X100" t="str">
        <f>Heroes!$J100</f>
        <v>Hard CC</v>
      </c>
      <c r="Y100">
        <f>IF($A$1="",0,MAX(IF(W100&lt;&gt;"",IFERROR(INDEX('Data-Input'!$B$164:$W$185,MATCH(W100,'Data-Input'!$A$164:$A$185,0),MATCH($K$1,'Data-Input'!$B$163:$W$163,0)),0),0),IF(AND(W100&lt;&gt;"",$L$1&lt;&gt;""),IFERROR(INDEX('Data-Input'!$B$164:$W$185,MATCH(W100,'Data-Input'!$A$164:$A$185,0),MATCH($L$1,'Data-Input'!$B$163:$W$163,0)),0),0),IF(X100&lt;&gt;"",IFERROR(INDEX('Data-Input'!$B$164:$W$185,MATCH(X100,'Data-Input'!$A$164:$A$185,0),MATCH($K$1,'Data-Input'!$B$163:$W$163,0)),0),0),IF(AND(X100&lt;&gt;"",$L$1&lt;&gt;""),IFERROR(INDEX('Data-Input'!$B$164:$W$185,MATCH(X100,'Data-Input'!$A$164:$A$185,0),MATCH($L$1,'Data-Input'!$B$163:$W$163,0)),0),0))*$M$1)</f>
        <v>0</v>
      </c>
      <c r="Z100">
        <f>IF($A$1="",0,SUMPRODUCT(('Data-Input'!$A$29:$A$128=A100)*('Data-Input'!$B$29:$B$128="Tag")*((('Data-Input'!$C$29:$C$128=$K$1)+('Data-Input'!$C$29:$C$128=$L$1))&gt;0)*('Data-Input'!$D$29:$D$128-'Data-Input'!$E$29:$E$128))+SUMPRODUCT(('Data-Input'!$A$29:$A$128=A100)*('Data-Input'!$B$29:$B$128="Hero")*('Data-Input'!$C$29:$C$128=$A$1)*('Data-Input'!$D$29:$D$128-'Data-Input'!$E$29:$E$128)))</f>
        <v>0</v>
      </c>
    </row>
    <row r="101" spans="1:26" ht="15" customHeight="1" x14ac:dyDescent="0.3">
      <c r="A101" t="str">
        <f>Heroes!$B101</f>
        <v>Brody</v>
      </c>
      <c r="B101" t="str">
        <f>Heroes!$C101</f>
        <v>Marksman</v>
      </c>
      <c r="C101">
        <f>Heroes!$D101</f>
        <v>0</v>
      </c>
      <c r="D101">
        <f>Heroes!$E101</f>
        <v>70</v>
      </c>
      <c r="E101">
        <f>Heroes!$F101</f>
        <v>50</v>
      </c>
      <c r="F101">
        <f>Heroes!$H101</f>
        <v>50</v>
      </c>
      <c r="G101" t="str">
        <f>Heroes!$K101</f>
        <v>Physical</v>
      </c>
      <c r="H101">
        <f>Heroes!$Q101</f>
        <v>4</v>
      </c>
      <c r="I101">
        <f>IFERROR(INDEX('Data-Input'!$B$19:$G$24,MATCH(B101,'Data-Input'!$A$19:$A$24,0),MATCH($B$1,'Data-Input'!$B$18:$G$18,0)),0)</f>
        <v>0</v>
      </c>
      <c r="J101">
        <f>IF(C101&lt;&gt;"",IFERROR(INDEX('Data-Input'!$B$19:$G$24,MATCH(C101,'Data-Input'!$A$19:$A$24,0),MATCH($B$1,'Data-Input'!$B$18:$G$18,0)),0),I101)</f>
        <v>0</v>
      </c>
      <c r="K101">
        <f t="shared" si="30"/>
        <v>0</v>
      </c>
      <c r="L101">
        <f t="shared" si="31"/>
        <v>6</v>
      </c>
      <c r="M101">
        <f t="shared" si="32"/>
        <v>50</v>
      </c>
      <c r="N101">
        <f t="shared" si="33"/>
        <v>15</v>
      </c>
      <c r="O101">
        <f t="shared" si="34"/>
        <v>3</v>
      </c>
      <c r="P101">
        <f t="shared" si="35"/>
        <v>12</v>
      </c>
      <c r="Q101">
        <f t="shared" si="36"/>
        <v>36</v>
      </c>
      <c r="R101">
        <f>IFERROR(INDEX('Data-Input'!$C$190:$C$1189,MATCH(A101&amp;"|"&amp;$A$1,'Data-Input'!$E$190:$E$1189,0)),Q101)</f>
        <v>36</v>
      </c>
      <c r="S101">
        <f t="shared" si="37"/>
        <v>36</v>
      </c>
      <c r="T101">
        <f t="shared" si="38"/>
        <v>36.000010099999997</v>
      </c>
      <c r="U101" t="str">
        <f>Heroes!$M101</f>
        <v>Gold Lane</v>
      </c>
      <c r="V101">
        <f t="shared" si="39"/>
        <v>-1000000000000000</v>
      </c>
      <c r="W101" t="str">
        <f>Heroes!$I101</f>
        <v>Burst</v>
      </c>
      <c r="X101" t="str">
        <f>Heroes!$J101</f>
        <v>Hard CC</v>
      </c>
      <c r="Y101">
        <f>IF($A$1="",0,MAX(IF(W101&lt;&gt;"",IFERROR(INDEX('Data-Input'!$B$164:$W$185,MATCH(W101,'Data-Input'!$A$164:$A$185,0),MATCH($K$1,'Data-Input'!$B$163:$W$163,0)),0),0),IF(AND(W101&lt;&gt;"",$L$1&lt;&gt;""),IFERROR(INDEX('Data-Input'!$B$164:$W$185,MATCH(W101,'Data-Input'!$A$164:$A$185,0),MATCH($L$1,'Data-Input'!$B$163:$W$163,0)),0),0),IF(X101&lt;&gt;"",IFERROR(INDEX('Data-Input'!$B$164:$W$185,MATCH(X101,'Data-Input'!$A$164:$A$185,0),MATCH($K$1,'Data-Input'!$B$163:$W$163,0)),0),0),IF(AND(X101&lt;&gt;"",$L$1&lt;&gt;""),IFERROR(INDEX('Data-Input'!$B$164:$W$185,MATCH(X101,'Data-Input'!$A$164:$A$185,0),MATCH($L$1,'Data-Input'!$B$163:$W$163,0)),0),0))*$M$1)</f>
        <v>0</v>
      </c>
      <c r="Z101">
        <f>IF($A$1="",0,SUMPRODUCT(('Data-Input'!$A$29:$A$128=A101)*('Data-Input'!$B$29:$B$128="Tag")*((('Data-Input'!$C$29:$C$128=$K$1)+('Data-Input'!$C$29:$C$128=$L$1))&gt;0)*('Data-Input'!$D$29:$D$128-'Data-Input'!$E$29:$E$128))+SUMPRODUCT(('Data-Input'!$A$29:$A$128=A101)*('Data-Input'!$B$29:$B$128="Hero")*('Data-Input'!$C$29:$C$128=$A$1)*('Data-Input'!$D$29:$D$128-'Data-Input'!$E$29:$E$128)))</f>
        <v>0</v>
      </c>
    </row>
    <row r="102" spans="1:26" ht="15" customHeight="1" x14ac:dyDescent="0.3">
      <c r="A102" t="str">
        <f>Heroes!$B102</f>
        <v>Yve</v>
      </c>
      <c r="B102" t="str">
        <f>Heroes!$C102</f>
        <v>Mage</v>
      </c>
      <c r="C102">
        <f>Heroes!$D102</f>
        <v>0</v>
      </c>
      <c r="D102">
        <f>Heroes!$E102</f>
        <v>80</v>
      </c>
      <c r="E102">
        <f>Heroes!$F102</f>
        <v>40</v>
      </c>
      <c r="F102">
        <f>Heroes!$H102</f>
        <v>70</v>
      </c>
      <c r="G102" t="str">
        <f>Heroes!$K102</f>
        <v>Magic</v>
      </c>
      <c r="H102">
        <f>Heroes!$Q102</f>
        <v>3</v>
      </c>
      <c r="I102">
        <f>IFERROR(INDEX('Data-Input'!$B$19:$G$24,MATCH(B102,'Data-Input'!$A$19:$A$24,0),MATCH($B$1,'Data-Input'!$B$18:$G$18,0)),0)</f>
        <v>0</v>
      </c>
      <c r="J102">
        <f>IF(C102&lt;&gt;"",IFERROR(INDEX('Data-Input'!$B$19:$G$24,MATCH(C102,'Data-Input'!$A$19:$A$24,0),MATCH($B$1,'Data-Input'!$B$18:$G$18,0)),0),I102)</f>
        <v>0</v>
      </c>
      <c r="K102">
        <f t="shared" si="30"/>
        <v>0</v>
      </c>
      <c r="L102">
        <f t="shared" si="31"/>
        <v>6</v>
      </c>
      <c r="M102">
        <f t="shared" si="32"/>
        <v>70</v>
      </c>
      <c r="N102">
        <f t="shared" si="33"/>
        <v>21</v>
      </c>
      <c r="O102">
        <f t="shared" si="34"/>
        <v>3</v>
      </c>
      <c r="P102">
        <f t="shared" si="35"/>
        <v>9</v>
      </c>
      <c r="Q102">
        <f t="shared" si="36"/>
        <v>39</v>
      </c>
      <c r="R102">
        <f>IFERROR(INDEX('Data-Input'!$C$190:$C$1189,MATCH(A102&amp;"|"&amp;$A$1,'Data-Input'!$E$190:$E$1189,0)),Q102)</f>
        <v>39</v>
      </c>
      <c r="S102">
        <f t="shared" si="37"/>
        <v>39</v>
      </c>
      <c r="T102">
        <f t="shared" si="38"/>
        <v>39.000010199999998</v>
      </c>
      <c r="U102" t="str">
        <f>Heroes!$M102</f>
        <v>Mid Lane</v>
      </c>
      <c r="V102">
        <f t="shared" si="39"/>
        <v>-1000000000000000</v>
      </c>
      <c r="W102" t="str">
        <f>Heroes!$I102</f>
        <v>Soft CC</v>
      </c>
      <c r="X102" t="str">
        <f>Heroes!$J102</f>
        <v>AoE Damage</v>
      </c>
      <c r="Y102">
        <f>IF($A$1="",0,MAX(IF(W102&lt;&gt;"",IFERROR(INDEX('Data-Input'!$B$164:$W$185,MATCH(W102,'Data-Input'!$A$164:$A$185,0),MATCH($K$1,'Data-Input'!$B$163:$W$163,0)),0),0),IF(AND(W102&lt;&gt;"",$L$1&lt;&gt;""),IFERROR(INDEX('Data-Input'!$B$164:$W$185,MATCH(W102,'Data-Input'!$A$164:$A$185,0),MATCH($L$1,'Data-Input'!$B$163:$W$163,0)),0),0),IF(X102&lt;&gt;"",IFERROR(INDEX('Data-Input'!$B$164:$W$185,MATCH(X102,'Data-Input'!$A$164:$A$185,0),MATCH($K$1,'Data-Input'!$B$163:$W$163,0)),0),0),IF(AND(X102&lt;&gt;"",$L$1&lt;&gt;""),IFERROR(INDEX('Data-Input'!$B$164:$W$185,MATCH(X102,'Data-Input'!$A$164:$A$185,0),MATCH($L$1,'Data-Input'!$B$163:$W$163,0)),0),0))*$M$1)</f>
        <v>0</v>
      </c>
      <c r="Z102">
        <f>IF($A$1="",0,SUMPRODUCT(('Data-Input'!$A$29:$A$128=A102)*('Data-Input'!$B$29:$B$128="Tag")*((('Data-Input'!$C$29:$C$128=$K$1)+('Data-Input'!$C$29:$C$128=$L$1))&gt;0)*('Data-Input'!$D$29:$D$128-'Data-Input'!$E$29:$E$128))+SUMPRODUCT(('Data-Input'!$A$29:$A$128=A102)*('Data-Input'!$B$29:$B$128="Hero")*('Data-Input'!$C$29:$C$128=$A$1)*('Data-Input'!$D$29:$D$128-'Data-Input'!$E$29:$E$128)))</f>
        <v>0</v>
      </c>
    </row>
    <row r="103" spans="1:26" ht="15" customHeight="1" x14ac:dyDescent="0.3">
      <c r="A103" t="str">
        <f>Heroes!$B103</f>
        <v>Mathilda</v>
      </c>
      <c r="B103" t="str">
        <f>Heroes!$C103</f>
        <v>Support</v>
      </c>
      <c r="C103" t="str">
        <f>Heroes!$D103</f>
        <v>Assassin</v>
      </c>
      <c r="D103">
        <f>Heroes!$E103</f>
        <v>20</v>
      </c>
      <c r="E103">
        <f>Heroes!$F103</f>
        <v>40</v>
      </c>
      <c r="F103">
        <f>Heroes!$H103</f>
        <v>40</v>
      </c>
      <c r="G103" t="str">
        <f>Heroes!$K103</f>
        <v>Magic</v>
      </c>
      <c r="H103">
        <f>Heroes!$Q103</f>
        <v>2</v>
      </c>
      <c r="I103">
        <f>IFERROR(INDEX('Data-Input'!$B$19:$G$24,MATCH(B103,'Data-Input'!$A$19:$A$24,0),MATCH($B$1,'Data-Input'!$B$18:$G$18,0)),0)</f>
        <v>0</v>
      </c>
      <c r="J103">
        <f>IF(C103&lt;&gt;"",IFERROR(INDEX('Data-Input'!$B$19:$G$24,MATCH(C103,'Data-Input'!$A$19:$A$24,0),MATCH($B$1,'Data-Input'!$B$18:$G$18,0)),0),I103)</f>
        <v>0</v>
      </c>
      <c r="K103">
        <f t="shared" si="30"/>
        <v>0</v>
      </c>
      <c r="L103">
        <f t="shared" si="31"/>
        <v>3</v>
      </c>
      <c r="M103">
        <f t="shared" si="32"/>
        <v>40</v>
      </c>
      <c r="N103">
        <f t="shared" si="33"/>
        <v>12</v>
      </c>
      <c r="O103">
        <f t="shared" si="34"/>
        <v>3</v>
      </c>
      <c r="P103">
        <f t="shared" si="35"/>
        <v>6</v>
      </c>
      <c r="Q103">
        <f t="shared" si="36"/>
        <v>24</v>
      </c>
      <c r="R103">
        <f>IFERROR(INDEX('Data-Input'!$C$190:$C$1189,MATCH(A103&amp;"|"&amp;$A$1,'Data-Input'!$E$190:$E$1189,0)),Q103)</f>
        <v>24</v>
      </c>
      <c r="S103">
        <f t="shared" si="37"/>
        <v>24</v>
      </c>
      <c r="T103">
        <f t="shared" si="38"/>
        <v>24.0000103</v>
      </c>
      <c r="U103" t="str">
        <f>Heroes!$M103</f>
        <v>Roaming</v>
      </c>
      <c r="V103">
        <f t="shared" si="39"/>
        <v>-1000000000000000</v>
      </c>
      <c r="W103" t="str">
        <f>Heroes!$I103</f>
        <v>Shield</v>
      </c>
      <c r="X103" t="str">
        <f>Heroes!$J103</f>
        <v>Dash/Blink</v>
      </c>
      <c r="Y103">
        <f>IF($A$1="",0,MAX(IF(W103&lt;&gt;"",IFERROR(INDEX('Data-Input'!$B$164:$W$185,MATCH(W103,'Data-Input'!$A$164:$A$185,0),MATCH($K$1,'Data-Input'!$B$163:$W$163,0)),0),0),IF(AND(W103&lt;&gt;"",$L$1&lt;&gt;""),IFERROR(INDEX('Data-Input'!$B$164:$W$185,MATCH(W103,'Data-Input'!$A$164:$A$185,0),MATCH($L$1,'Data-Input'!$B$163:$W$163,0)),0),0),IF(X103&lt;&gt;"",IFERROR(INDEX('Data-Input'!$B$164:$W$185,MATCH(X103,'Data-Input'!$A$164:$A$185,0),MATCH($K$1,'Data-Input'!$B$163:$W$163,0)),0),0),IF(AND(X103&lt;&gt;"",$L$1&lt;&gt;""),IFERROR(INDEX('Data-Input'!$B$164:$W$185,MATCH(X103,'Data-Input'!$A$164:$A$185,0),MATCH($L$1,'Data-Input'!$B$163:$W$163,0)),0),0))*$M$1)</f>
        <v>0</v>
      </c>
      <c r="Z103">
        <f>IF($A$1="",0,SUMPRODUCT(('Data-Input'!$A$29:$A$128=A103)*('Data-Input'!$B$29:$B$128="Tag")*((('Data-Input'!$C$29:$C$128=$K$1)+('Data-Input'!$C$29:$C$128=$L$1))&gt;0)*('Data-Input'!$D$29:$D$128-'Data-Input'!$E$29:$E$128))+SUMPRODUCT(('Data-Input'!$A$29:$A$128=A103)*('Data-Input'!$B$29:$B$128="Hero")*('Data-Input'!$C$29:$C$128=$A$1)*('Data-Input'!$D$29:$D$128-'Data-Input'!$E$29:$E$128)))</f>
        <v>0</v>
      </c>
    </row>
    <row r="104" spans="1:26" ht="15" customHeight="1" x14ac:dyDescent="0.3">
      <c r="A104" t="str">
        <f>Heroes!$B104</f>
        <v>Paquito</v>
      </c>
      <c r="B104" t="str">
        <f>Heroes!$C104</f>
        <v>Fighter</v>
      </c>
      <c r="C104" t="str">
        <f>Heroes!$D104</f>
        <v>Assassin</v>
      </c>
      <c r="D104">
        <f>Heroes!$E104</f>
        <v>50</v>
      </c>
      <c r="E104">
        <f>Heroes!$F104</f>
        <v>40</v>
      </c>
      <c r="F104">
        <f>Heroes!$H104</f>
        <v>80</v>
      </c>
      <c r="G104" t="str">
        <f>Heroes!$K104</f>
        <v>Physical</v>
      </c>
      <c r="H104">
        <f>Heroes!$Q104</f>
        <v>1</v>
      </c>
      <c r="I104">
        <f>IFERROR(INDEX('Data-Input'!$B$19:$G$24,MATCH(B104,'Data-Input'!$A$19:$A$24,0),MATCH($B$1,'Data-Input'!$B$18:$G$18,0)),0)</f>
        <v>0</v>
      </c>
      <c r="J104">
        <f>IF(C104&lt;&gt;"",IFERROR(INDEX('Data-Input'!$B$19:$G$24,MATCH(C104,'Data-Input'!$A$19:$A$24,0),MATCH($B$1,'Data-Input'!$B$18:$G$18,0)),0),I104)</f>
        <v>0</v>
      </c>
      <c r="K104">
        <f t="shared" si="30"/>
        <v>0</v>
      </c>
      <c r="L104">
        <f t="shared" si="31"/>
        <v>4.5</v>
      </c>
      <c r="M104">
        <f t="shared" si="32"/>
        <v>80</v>
      </c>
      <c r="N104">
        <f t="shared" si="33"/>
        <v>24</v>
      </c>
      <c r="O104">
        <f t="shared" si="34"/>
        <v>3</v>
      </c>
      <c r="P104">
        <f t="shared" si="35"/>
        <v>3</v>
      </c>
      <c r="Q104">
        <f t="shared" si="36"/>
        <v>34.5</v>
      </c>
      <c r="R104">
        <f>IFERROR(INDEX('Data-Input'!$C$190:$C$1189,MATCH(A104&amp;"|"&amp;$A$1,'Data-Input'!$E$190:$E$1189,0)),Q104)</f>
        <v>34.5</v>
      </c>
      <c r="S104">
        <f t="shared" si="37"/>
        <v>34.5</v>
      </c>
      <c r="T104">
        <f t="shared" si="38"/>
        <v>34.500010400000001</v>
      </c>
      <c r="U104" t="str">
        <f>Heroes!$M104</f>
        <v>EXP Lane</v>
      </c>
      <c r="V104">
        <f t="shared" si="39"/>
        <v>-1000000000000000</v>
      </c>
      <c r="W104" t="str">
        <f>Heroes!$I104</f>
        <v>Dash/Blink</v>
      </c>
      <c r="X104" t="str">
        <f>Heroes!$J104</f>
        <v>Burst</v>
      </c>
      <c r="Y104">
        <f>IF($A$1="",0,MAX(IF(W104&lt;&gt;"",IFERROR(INDEX('Data-Input'!$B$164:$W$185,MATCH(W104,'Data-Input'!$A$164:$A$185,0),MATCH($K$1,'Data-Input'!$B$163:$W$163,0)),0),0),IF(AND(W104&lt;&gt;"",$L$1&lt;&gt;""),IFERROR(INDEX('Data-Input'!$B$164:$W$185,MATCH(W104,'Data-Input'!$A$164:$A$185,0),MATCH($L$1,'Data-Input'!$B$163:$W$163,0)),0),0),IF(X104&lt;&gt;"",IFERROR(INDEX('Data-Input'!$B$164:$W$185,MATCH(X104,'Data-Input'!$A$164:$A$185,0),MATCH($K$1,'Data-Input'!$B$163:$W$163,0)),0),0),IF(AND(X104&lt;&gt;"",$L$1&lt;&gt;""),IFERROR(INDEX('Data-Input'!$B$164:$W$185,MATCH(X104,'Data-Input'!$A$164:$A$185,0),MATCH($L$1,'Data-Input'!$B$163:$W$163,0)),0),0))*$M$1)</f>
        <v>0</v>
      </c>
      <c r="Z104">
        <f>IF($A$1="",0,SUMPRODUCT(('Data-Input'!$A$29:$A$128=A104)*('Data-Input'!$B$29:$B$128="Tag")*((('Data-Input'!$C$29:$C$128=$K$1)+('Data-Input'!$C$29:$C$128=$L$1))&gt;0)*('Data-Input'!$D$29:$D$128-'Data-Input'!$E$29:$E$128))+SUMPRODUCT(('Data-Input'!$A$29:$A$128=A104)*('Data-Input'!$B$29:$B$128="Hero")*('Data-Input'!$C$29:$C$128=$A$1)*('Data-Input'!$D$29:$D$128-'Data-Input'!$E$29:$E$128)))</f>
        <v>0</v>
      </c>
    </row>
    <row r="105" spans="1:26" ht="15" customHeight="1" x14ac:dyDescent="0.3">
      <c r="A105" t="str">
        <f>Heroes!$B105</f>
        <v>Gloo</v>
      </c>
      <c r="B105" t="str">
        <f>Heroes!$C105</f>
        <v>Tank</v>
      </c>
      <c r="C105">
        <f>Heroes!$D105</f>
        <v>0</v>
      </c>
      <c r="D105">
        <f>Heroes!$E105</f>
        <v>30</v>
      </c>
      <c r="E105">
        <f>Heroes!$F105</f>
        <v>100</v>
      </c>
      <c r="F105">
        <f>Heroes!$H105</f>
        <v>70</v>
      </c>
      <c r="G105" t="str">
        <f>Heroes!$K105</f>
        <v>Magic</v>
      </c>
      <c r="H105">
        <f>Heroes!$Q105</f>
        <v>2</v>
      </c>
      <c r="I105">
        <f>IFERROR(INDEX('Data-Input'!$B$19:$G$24,MATCH(B105,'Data-Input'!$A$19:$A$24,0),MATCH($B$1,'Data-Input'!$B$18:$G$18,0)),0)</f>
        <v>0</v>
      </c>
      <c r="J105">
        <f>IF(C105&lt;&gt;"",IFERROR(INDEX('Data-Input'!$B$19:$G$24,MATCH(C105,'Data-Input'!$A$19:$A$24,0),MATCH($B$1,'Data-Input'!$B$18:$G$18,0)),0),I105)</f>
        <v>0</v>
      </c>
      <c r="K105">
        <f t="shared" si="30"/>
        <v>0</v>
      </c>
      <c r="L105">
        <f t="shared" si="31"/>
        <v>6.5</v>
      </c>
      <c r="M105">
        <f t="shared" si="32"/>
        <v>70</v>
      </c>
      <c r="N105">
        <f t="shared" si="33"/>
        <v>21</v>
      </c>
      <c r="O105">
        <f t="shared" si="34"/>
        <v>3</v>
      </c>
      <c r="P105">
        <f t="shared" si="35"/>
        <v>6</v>
      </c>
      <c r="Q105">
        <f t="shared" si="36"/>
        <v>36.5</v>
      </c>
      <c r="R105">
        <f>IFERROR(INDEX('Data-Input'!$C$190:$C$1189,MATCH(A105&amp;"|"&amp;$A$1,'Data-Input'!$E$190:$E$1189,0)),Q105)</f>
        <v>36.5</v>
      </c>
      <c r="S105">
        <f t="shared" si="37"/>
        <v>36.5</v>
      </c>
      <c r="T105">
        <f t="shared" si="38"/>
        <v>36.500010500000002</v>
      </c>
      <c r="U105" t="str">
        <f>Heroes!$M105</f>
        <v>Roaming</v>
      </c>
      <c r="V105">
        <f t="shared" si="39"/>
        <v>-1000000000000000</v>
      </c>
      <c r="W105" t="str">
        <f>Heroes!$I105</f>
        <v>Sustain</v>
      </c>
      <c r="X105" t="str">
        <f>Heroes!$J105</f>
        <v>Targeted CC</v>
      </c>
      <c r="Y105">
        <f>IF($A$1="",0,MAX(IF(W105&lt;&gt;"",IFERROR(INDEX('Data-Input'!$B$164:$W$185,MATCH(W105,'Data-Input'!$A$164:$A$185,0),MATCH($K$1,'Data-Input'!$B$163:$W$163,0)),0),0),IF(AND(W105&lt;&gt;"",$L$1&lt;&gt;""),IFERROR(INDEX('Data-Input'!$B$164:$W$185,MATCH(W105,'Data-Input'!$A$164:$A$185,0),MATCH($L$1,'Data-Input'!$B$163:$W$163,0)),0),0),IF(X105&lt;&gt;"",IFERROR(INDEX('Data-Input'!$B$164:$W$185,MATCH(X105,'Data-Input'!$A$164:$A$185,0),MATCH($K$1,'Data-Input'!$B$163:$W$163,0)),0),0),IF(AND(X105&lt;&gt;"",$L$1&lt;&gt;""),IFERROR(INDEX('Data-Input'!$B$164:$W$185,MATCH(X105,'Data-Input'!$A$164:$A$185,0),MATCH($L$1,'Data-Input'!$B$163:$W$163,0)),0),0))*$M$1)</f>
        <v>0</v>
      </c>
      <c r="Z105">
        <f>IF($A$1="",0,SUMPRODUCT(('Data-Input'!$A$29:$A$128=A105)*('Data-Input'!$B$29:$B$128="Tag")*((('Data-Input'!$C$29:$C$128=$K$1)+('Data-Input'!$C$29:$C$128=$L$1))&gt;0)*('Data-Input'!$D$29:$D$128-'Data-Input'!$E$29:$E$128))+SUMPRODUCT(('Data-Input'!$A$29:$A$128=A105)*('Data-Input'!$B$29:$B$128="Hero")*('Data-Input'!$C$29:$C$128=$A$1)*('Data-Input'!$D$29:$D$128-'Data-Input'!$E$29:$E$128)))</f>
        <v>0</v>
      </c>
    </row>
    <row r="106" spans="1:26" ht="15" customHeight="1" x14ac:dyDescent="0.3">
      <c r="A106" t="str">
        <f>Heroes!$B106</f>
        <v>Beatrix</v>
      </c>
      <c r="B106" t="str">
        <f>Heroes!$C106</f>
        <v>Marksman</v>
      </c>
      <c r="C106">
        <f>Heroes!$D106</f>
        <v>0</v>
      </c>
      <c r="D106">
        <f>Heroes!$E106</f>
        <v>80</v>
      </c>
      <c r="E106">
        <f>Heroes!$F106</f>
        <v>10</v>
      </c>
      <c r="F106">
        <f>Heroes!$H106</f>
        <v>70</v>
      </c>
      <c r="G106" t="str">
        <f>Heroes!$K106</f>
        <v>Physical</v>
      </c>
      <c r="H106">
        <f>Heroes!$Q106</f>
        <v>4</v>
      </c>
      <c r="I106">
        <f>IFERROR(INDEX('Data-Input'!$B$19:$G$24,MATCH(B106,'Data-Input'!$A$19:$A$24,0),MATCH($B$1,'Data-Input'!$B$18:$G$18,0)),0)</f>
        <v>0</v>
      </c>
      <c r="J106">
        <f>IF(C106&lt;&gt;"",IFERROR(INDEX('Data-Input'!$B$19:$G$24,MATCH(C106,'Data-Input'!$A$19:$A$24,0),MATCH($B$1,'Data-Input'!$B$18:$G$18,0)),0),I106)</f>
        <v>0</v>
      </c>
      <c r="K106">
        <f t="shared" si="30"/>
        <v>0</v>
      </c>
      <c r="L106">
        <f t="shared" si="31"/>
        <v>4.5</v>
      </c>
      <c r="M106">
        <f t="shared" si="32"/>
        <v>70</v>
      </c>
      <c r="N106">
        <f t="shared" si="33"/>
        <v>21</v>
      </c>
      <c r="O106">
        <f t="shared" si="34"/>
        <v>3</v>
      </c>
      <c r="P106">
        <f t="shared" si="35"/>
        <v>12</v>
      </c>
      <c r="Q106">
        <f t="shared" si="36"/>
        <v>40.5</v>
      </c>
      <c r="R106">
        <f>IFERROR(INDEX('Data-Input'!$C$190:$C$1189,MATCH(A106&amp;"|"&amp;$A$1,'Data-Input'!$E$190:$E$1189,0)),Q106)</f>
        <v>40.5</v>
      </c>
      <c r="S106">
        <f t="shared" si="37"/>
        <v>40.5</v>
      </c>
      <c r="T106">
        <f t="shared" si="38"/>
        <v>40.500010600000003</v>
      </c>
      <c r="U106" t="str">
        <f>Heroes!$M106</f>
        <v>Gold Lane</v>
      </c>
      <c r="V106">
        <f t="shared" si="39"/>
        <v>-1000000000000000</v>
      </c>
      <c r="W106" t="str">
        <f>Heroes!$I106</f>
        <v>DPS</v>
      </c>
      <c r="X106" t="str">
        <f>Heroes!$J106</f>
        <v>Burst</v>
      </c>
      <c r="Y106">
        <f>IF($A$1="",0,MAX(IF(W106&lt;&gt;"",IFERROR(INDEX('Data-Input'!$B$164:$W$185,MATCH(W106,'Data-Input'!$A$164:$A$185,0),MATCH($K$1,'Data-Input'!$B$163:$W$163,0)),0),0),IF(AND(W106&lt;&gt;"",$L$1&lt;&gt;""),IFERROR(INDEX('Data-Input'!$B$164:$W$185,MATCH(W106,'Data-Input'!$A$164:$A$185,0),MATCH($L$1,'Data-Input'!$B$163:$W$163,0)),0),0),IF(X106&lt;&gt;"",IFERROR(INDEX('Data-Input'!$B$164:$W$185,MATCH(X106,'Data-Input'!$A$164:$A$185,0),MATCH($K$1,'Data-Input'!$B$163:$W$163,0)),0),0),IF(AND(X106&lt;&gt;"",$L$1&lt;&gt;""),IFERROR(INDEX('Data-Input'!$B$164:$W$185,MATCH(X106,'Data-Input'!$A$164:$A$185,0),MATCH($L$1,'Data-Input'!$B$163:$W$163,0)),0),0))*$M$1)</f>
        <v>0</v>
      </c>
      <c r="Z106">
        <f>IF($A$1="",0,SUMPRODUCT(('Data-Input'!$A$29:$A$128=A106)*('Data-Input'!$B$29:$B$128="Tag")*((('Data-Input'!$C$29:$C$128=$K$1)+('Data-Input'!$C$29:$C$128=$L$1))&gt;0)*('Data-Input'!$D$29:$D$128-'Data-Input'!$E$29:$E$128))+SUMPRODUCT(('Data-Input'!$A$29:$A$128=A106)*('Data-Input'!$B$29:$B$128="Hero")*('Data-Input'!$C$29:$C$128=$A$1)*('Data-Input'!$D$29:$D$128-'Data-Input'!$E$29:$E$128)))</f>
        <v>0</v>
      </c>
    </row>
    <row r="107" spans="1:26" ht="15" customHeight="1" x14ac:dyDescent="0.3">
      <c r="A107" t="str">
        <f>Heroes!$B107</f>
        <v>Phoveus</v>
      </c>
      <c r="B107" t="str">
        <f>Heroes!$C107</f>
        <v>Fighter</v>
      </c>
      <c r="C107">
        <f>Heroes!$D107</f>
        <v>0</v>
      </c>
      <c r="D107">
        <f>Heroes!$E107</f>
        <v>70</v>
      </c>
      <c r="E107">
        <f>Heroes!$F107</f>
        <v>30</v>
      </c>
      <c r="F107">
        <f>Heroes!$H107</f>
        <v>30</v>
      </c>
      <c r="G107" t="str">
        <f>Heroes!$K107</f>
        <v>Mixed</v>
      </c>
      <c r="H107">
        <f>Heroes!$Q107</f>
        <v>3</v>
      </c>
      <c r="I107">
        <f>IFERROR(INDEX('Data-Input'!$B$19:$G$24,MATCH(B107,'Data-Input'!$A$19:$A$24,0),MATCH($B$1,'Data-Input'!$B$18:$G$18,0)),0)</f>
        <v>0</v>
      </c>
      <c r="J107">
        <f>IF(C107&lt;&gt;"",IFERROR(INDEX('Data-Input'!$B$19:$G$24,MATCH(C107,'Data-Input'!$A$19:$A$24,0),MATCH($B$1,'Data-Input'!$B$18:$G$18,0)),0),I107)</f>
        <v>0</v>
      </c>
      <c r="K107">
        <f t="shared" si="30"/>
        <v>0</v>
      </c>
      <c r="L107">
        <f t="shared" si="31"/>
        <v>5</v>
      </c>
      <c r="M107">
        <f t="shared" si="32"/>
        <v>30</v>
      </c>
      <c r="N107">
        <f t="shared" si="33"/>
        <v>9</v>
      </c>
      <c r="O107">
        <f t="shared" si="34"/>
        <v>5</v>
      </c>
      <c r="P107">
        <f t="shared" si="35"/>
        <v>9</v>
      </c>
      <c r="Q107">
        <f t="shared" si="36"/>
        <v>28</v>
      </c>
      <c r="R107">
        <f>IFERROR(INDEX('Data-Input'!$C$190:$C$1189,MATCH(A107&amp;"|"&amp;$A$1,'Data-Input'!$E$190:$E$1189,0)),Q107)</f>
        <v>28</v>
      </c>
      <c r="S107">
        <f t="shared" si="37"/>
        <v>28</v>
      </c>
      <c r="T107">
        <f t="shared" si="38"/>
        <v>28.000010700000001</v>
      </c>
      <c r="U107" t="str">
        <f>Heroes!$M107</f>
        <v>EXP Lane</v>
      </c>
      <c r="V107">
        <f t="shared" si="39"/>
        <v>-1000000000000000</v>
      </c>
      <c r="W107" t="str">
        <f>Heroes!$I107</f>
        <v>Shield</v>
      </c>
      <c r="X107" t="str">
        <f>Heroes!$J107</f>
        <v>Burst</v>
      </c>
      <c r="Y107">
        <f>IF($A$1="",0,MAX(IF(W107&lt;&gt;"",IFERROR(INDEX('Data-Input'!$B$164:$W$185,MATCH(W107,'Data-Input'!$A$164:$A$185,0),MATCH($K$1,'Data-Input'!$B$163:$W$163,0)),0),0),IF(AND(W107&lt;&gt;"",$L$1&lt;&gt;""),IFERROR(INDEX('Data-Input'!$B$164:$W$185,MATCH(W107,'Data-Input'!$A$164:$A$185,0),MATCH($L$1,'Data-Input'!$B$163:$W$163,0)),0),0),IF(X107&lt;&gt;"",IFERROR(INDEX('Data-Input'!$B$164:$W$185,MATCH(X107,'Data-Input'!$A$164:$A$185,0),MATCH($K$1,'Data-Input'!$B$163:$W$163,0)),0),0),IF(AND(X107&lt;&gt;"",$L$1&lt;&gt;""),IFERROR(INDEX('Data-Input'!$B$164:$W$185,MATCH(X107,'Data-Input'!$A$164:$A$185,0),MATCH($L$1,'Data-Input'!$B$163:$W$163,0)),0),0))*$M$1)</f>
        <v>0</v>
      </c>
      <c r="Z107">
        <f>IF($A$1="",0,SUMPRODUCT(('Data-Input'!$A$29:$A$128=A107)*('Data-Input'!$B$29:$B$128="Tag")*((('Data-Input'!$C$29:$C$128=$K$1)+('Data-Input'!$C$29:$C$128=$L$1))&gt;0)*('Data-Input'!$D$29:$D$128-'Data-Input'!$E$29:$E$128))+SUMPRODUCT(('Data-Input'!$A$29:$A$128=A107)*('Data-Input'!$B$29:$B$128="Hero")*('Data-Input'!$C$29:$C$128=$A$1)*('Data-Input'!$D$29:$D$128-'Data-Input'!$E$29:$E$128)))</f>
        <v>0</v>
      </c>
    </row>
    <row r="108" spans="1:26" ht="15" customHeight="1" x14ac:dyDescent="0.3">
      <c r="A108" t="str">
        <f>Heroes!$B108</f>
        <v>Natan</v>
      </c>
      <c r="B108" t="str">
        <f>Heroes!$C108</f>
        <v>Marksman</v>
      </c>
      <c r="C108">
        <f>Heroes!$D108</f>
        <v>0</v>
      </c>
      <c r="D108">
        <f>Heroes!$E108</f>
        <v>60</v>
      </c>
      <c r="E108">
        <f>Heroes!$F108</f>
        <v>20</v>
      </c>
      <c r="F108">
        <f>Heroes!$H108</f>
        <v>20</v>
      </c>
      <c r="G108" t="str">
        <f>Heroes!$K108</f>
        <v>Magic</v>
      </c>
      <c r="H108">
        <f>Heroes!$Q108</f>
        <v>4</v>
      </c>
      <c r="I108">
        <f>IFERROR(INDEX('Data-Input'!$B$19:$G$24,MATCH(B108,'Data-Input'!$A$19:$A$24,0),MATCH($B$1,'Data-Input'!$B$18:$G$18,0)),0)</f>
        <v>0</v>
      </c>
      <c r="J108">
        <f>IF(C108&lt;&gt;"",IFERROR(INDEX('Data-Input'!$B$19:$G$24,MATCH(C108,'Data-Input'!$A$19:$A$24,0),MATCH($B$1,'Data-Input'!$B$18:$G$18,0)),0),I108)</f>
        <v>0</v>
      </c>
      <c r="K108">
        <f t="shared" si="30"/>
        <v>0</v>
      </c>
      <c r="L108">
        <f t="shared" si="31"/>
        <v>4</v>
      </c>
      <c r="M108">
        <f t="shared" si="32"/>
        <v>20</v>
      </c>
      <c r="N108">
        <f t="shared" si="33"/>
        <v>0</v>
      </c>
      <c r="O108">
        <f t="shared" si="34"/>
        <v>3</v>
      </c>
      <c r="P108">
        <f t="shared" si="35"/>
        <v>12</v>
      </c>
      <c r="Q108">
        <f t="shared" si="36"/>
        <v>19</v>
      </c>
      <c r="R108">
        <f>IFERROR(INDEX('Data-Input'!$C$190:$C$1189,MATCH(A108&amp;"|"&amp;$A$1,'Data-Input'!$E$190:$E$1189,0)),Q108)</f>
        <v>19</v>
      </c>
      <c r="S108">
        <f t="shared" si="37"/>
        <v>19</v>
      </c>
      <c r="T108">
        <f t="shared" si="38"/>
        <v>19.000010799999998</v>
      </c>
      <c r="U108" t="str">
        <f>Heroes!$M108</f>
        <v>Gold Lane</v>
      </c>
      <c r="V108">
        <f t="shared" si="39"/>
        <v>-1000000000000000</v>
      </c>
      <c r="W108" t="str">
        <f>Heroes!$I108</f>
        <v>DPS</v>
      </c>
      <c r="X108" t="str">
        <f>Heroes!$J108</f>
        <v>AoE Damage</v>
      </c>
      <c r="Y108">
        <f>IF($A$1="",0,MAX(IF(W108&lt;&gt;"",IFERROR(INDEX('Data-Input'!$B$164:$W$185,MATCH(W108,'Data-Input'!$A$164:$A$185,0),MATCH($K$1,'Data-Input'!$B$163:$W$163,0)),0),0),IF(AND(W108&lt;&gt;"",$L$1&lt;&gt;""),IFERROR(INDEX('Data-Input'!$B$164:$W$185,MATCH(W108,'Data-Input'!$A$164:$A$185,0),MATCH($L$1,'Data-Input'!$B$163:$W$163,0)),0),0),IF(X108&lt;&gt;"",IFERROR(INDEX('Data-Input'!$B$164:$W$185,MATCH(X108,'Data-Input'!$A$164:$A$185,0),MATCH($K$1,'Data-Input'!$B$163:$W$163,0)),0),0),IF(AND(X108&lt;&gt;"",$L$1&lt;&gt;""),IFERROR(INDEX('Data-Input'!$B$164:$W$185,MATCH(X108,'Data-Input'!$A$164:$A$185,0),MATCH($L$1,'Data-Input'!$B$163:$W$163,0)),0),0))*$M$1)</f>
        <v>0</v>
      </c>
      <c r="Z108">
        <f>IF($A$1="",0,SUMPRODUCT(('Data-Input'!$A$29:$A$128=A108)*('Data-Input'!$B$29:$B$128="Tag")*((('Data-Input'!$C$29:$C$128=$K$1)+('Data-Input'!$C$29:$C$128=$L$1))&gt;0)*('Data-Input'!$D$29:$D$128-'Data-Input'!$E$29:$E$128))+SUMPRODUCT(('Data-Input'!$A$29:$A$128=A108)*('Data-Input'!$B$29:$B$128="Hero")*('Data-Input'!$C$29:$C$128=$A$1)*('Data-Input'!$D$29:$D$128-'Data-Input'!$E$29:$E$128)))</f>
        <v>0</v>
      </c>
    </row>
    <row r="109" spans="1:26" ht="15" customHeight="1" x14ac:dyDescent="0.3">
      <c r="A109" t="str">
        <f>Heroes!$B109</f>
        <v>Aulus</v>
      </c>
      <c r="B109" t="str">
        <f>Heroes!$C109</f>
        <v>Fighter</v>
      </c>
      <c r="C109">
        <f>Heroes!$D109</f>
        <v>0</v>
      </c>
      <c r="D109">
        <f>Heroes!$E109</f>
        <v>60</v>
      </c>
      <c r="E109">
        <f>Heroes!$F109</f>
        <v>10</v>
      </c>
      <c r="F109">
        <f>Heroes!$H109</f>
        <v>40</v>
      </c>
      <c r="G109" t="str">
        <f>Heroes!$K109</f>
        <v>Physical</v>
      </c>
      <c r="H109">
        <f>Heroes!$Q109</f>
        <v>3</v>
      </c>
      <c r="I109">
        <f>IFERROR(INDEX('Data-Input'!$B$19:$G$24,MATCH(B109,'Data-Input'!$A$19:$A$24,0),MATCH($B$1,'Data-Input'!$B$18:$G$18,0)),0)</f>
        <v>0</v>
      </c>
      <c r="J109">
        <f>IF(C109&lt;&gt;"",IFERROR(INDEX('Data-Input'!$B$19:$G$24,MATCH(C109,'Data-Input'!$A$19:$A$24,0),MATCH($B$1,'Data-Input'!$B$18:$G$18,0)),0),I109)</f>
        <v>0</v>
      </c>
      <c r="K109">
        <f t="shared" si="30"/>
        <v>0</v>
      </c>
      <c r="L109">
        <f t="shared" si="31"/>
        <v>3.5</v>
      </c>
      <c r="M109">
        <f t="shared" si="32"/>
        <v>40</v>
      </c>
      <c r="N109">
        <f t="shared" si="33"/>
        <v>12</v>
      </c>
      <c r="O109">
        <f t="shared" si="34"/>
        <v>3</v>
      </c>
      <c r="P109">
        <f t="shared" si="35"/>
        <v>9</v>
      </c>
      <c r="Q109">
        <f t="shared" si="36"/>
        <v>27.5</v>
      </c>
      <c r="R109">
        <f>IFERROR(INDEX('Data-Input'!$C$190:$C$1189,MATCH(A109&amp;"|"&amp;$A$1,'Data-Input'!$E$190:$E$1189,0)),Q109)</f>
        <v>27.5</v>
      </c>
      <c r="S109">
        <f t="shared" si="37"/>
        <v>27.5</v>
      </c>
      <c r="T109">
        <f t="shared" si="38"/>
        <v>27.500010899999999</v>
      </c>
      <c r="U109" t="str">
        <f>Heroes!$M109</f>
        <v>Jungle</v>
      </c>
      <c r="V109">
        <f t="shared" si="39"/>
        <v>-1000000000000000</v>
      </c>
      <c r="W109" t="str">
        <f>Heroes!$I109</f>
        <v>DPS</v>
      </c>
      <c r="X109" t="str">
        <f>Heroes!$J109</f>
        <v>Sustain</v>
      </c>
      <c r="Y109">
        <f>IF($A$1="",0,MAX(IF(W109&lt;&gt;"",IFERROR(INDEX('Data-Input'!$B$164:$W$185,MATCH(W109,'Data-Input'!$A$164:$A$185,0),MATCH($K$1,'Data-Input'!$B$163:$W$163,0)),0),0),IF(AND(W109&lt;&gt;"",$L$1&lt;&gt;""),IFERROR(INDEX('Data-Input'!$B$164:$W$185,MATCH(W109,'Data-Input'!$A$164:$A$185,0),MATCH($L$1,'Data-Input'!$B$163:$W$163,0)),0),0),IF(X109&lt;&gt;"",IFERROR(INDEX('Data-Input'!$B$164:$W$185,MATCH(X109,'Data-Input'!$A$164:$A$185,0),MATCH($K$1,'Data-Input'!$B$163:$W$163,0)),0),0),IF(AND(X109&lt;&gt;"",$L$1&lt;&gt;""),IFERROR(INDEX('Data-Input'!$B$164:$W$185,MATCH(X109,'Data-Input'!$A$164:$A$185,0),MATCH($L$1,'Data-Input'!$B$163:$W$163,0)),0),0))*$M$1)</f>
        <v>0</v>
      </c>
      <c r="Z109">
        <f>IF($A$1="",0,SUMPRODUCT(('Data-Input'!$A$29:$A$128=A109)*('Data-Input'!$B$29:$B$128="Tag")*((('Data-Input'!$C$29:$C$128=$K$1)+('Data-Input'!$C$29:$C$128=$L$1))&gt;0)*('Data-Input'!$D$29:$D$128-'Data-Input'!$E$29:$E$128))+SUMPRODUCT(('Data-Input'!$A$29:$A$128=A109)*('Data-Input'!$B$29:$B$128="Hero")*('Data-Input'!$C$29:$C$128=$A$1)*('Data-Input'!$D$29:$D$128-'Data-Input'!$E$29:$E$128)))</f>
        <v>0</v>
      </c>
    </row>
    <row r="110" spans="1:26" ht="15" customHeight="1" x14ac:dyDescent="0.3">
      <c r="A110" t="str">
        <f>Heroes!$B110</f>
        <v>Aamon</v>
      </c>
      <c r="B110" t="str">
        <f>Heroes!$C110</f>
        <v>Assassin</v>
      </c>
      <c r="C110">
        <f>Heroes!$D110</f>
        <v>0</v>
      </c>
      <c r="D110">
        <f>Heroes!$E110</f>
        <v>70</v>
      </c>
      <c r="E110">
        <f>Heroes!$F110</f>
        <v>10</v>
      </c>
      <c r="F110">
        <f>Heroes!$H110</f>
        <v>50</v>
      </c>
      <c r="G110" t="str">
        <f>Heroes!$K110</f>
        <v>Magic</v>
      </c>
      <c r="H110">
        <f>Heroes!$Q110</f>
        <v>2</v>
      </c>
      <c r="I110">
        <f>IFERROR(INDEX('Data-Input'!$B$19:$G$24,MATCH(B110,'Data-Input'!$A$19:$A$24,0),MATCH($B$1,'Data-Input'!$B$18:$G$18,0)),0)</f>
        <v>0</v>
      </c>
      <c r="J110">
        <f>IF(C110&lt;&gt;"",IFERROR(INDEX('Data-Input'!$B$19:$G$24,MATCH(C110,'Data-Input'!$A$19:$A$24,0),MATCH($B$1,'Data-Input'!$B$18:$G$18,0)),0),I110)</f>
        <v>0</v>
      </c>
      <c r="K110">
        <f t="shared" si="30"/>
        <v>0</v>
      </c>
      <c r="L110">
        <f t="shared" si="31"/>
        <v>4</v>
      </c>
      <c r="M110">
        <f t="shared" si="32"/>
        <v>50</v>
      </c>
      <c r="N110">
        <f t="shared" si="33"/>
        <v>15</v>
      </c>
      <c r="O110">
        <f t="shared" si="34"/>
        <v>3</v>
      </c>
      <c r="P110">
        <f t="shared" si="35"/>
        <v>6</v>
      </c>
      <c r="Q110">
        <f t="shared" si="36"/>
        <v>28</v>
      </c>
      <c r="R110">
        <f>IFERROR(INDEX('Data-Input'!$C$190:$C$1189,MATCH(A110&amp;"|"&amp;$A$1,'Data-Input'!$E$190:$E$1189,0)),Q110)</f>
        <v>28</v>
      </c>
      <c r="S110">
        <f t="shared" si="37"/>
        <v>28</v>
      </c>
      <c r="T110">
        <f t="shared" si="38"/>
        <v>28.000011000000001</v>
      </c>
      <c r="U110" t="str">
        <f>Heroes!$M110</f>
        <v>Jungle</v>
      </c>
      <c r="V110">
        <f t="shared" si="39"/>
        <v>-1000000000000000</v>
      </c>
      <c r="W110" t="str">
        <f>Heroes!$I110</f>
        <v>I-Frame</v>
      </c>
      <c r="X110" t="str">
        <f>Heroes!$J110</f>
        <v>Burst</v>
      </c>
      <c r="Y110">
        <f>IF($A$1="",0,MAX(IF(W110&lt;&gt;"",IFERROR(INDEX('Data-Input'!$B$164:$W$185,MATCH(W110,'Data-Input'!$A$164:$A$185,0),MATCH($K$1,'Data-Input'!$B$163:$W$163,0)),0),0),IF(AND(W110&lt;&gt;"",$L$1&lt;&gt;""),IFERROR(INDEX('Data-Input'!$B$164:$W$185,MATCH(W110,'Data-Input'!$A$164:$A$185,0),MATCH($L$1,'Data-Input'!$B$163:$W$163,0)),0),0),IF(X110&lt;&gt;"",IFERROR(INDEX('Data-Input'!$B$164:$W$185,MATCH(X110,'Data-Input'!$A$164:$A$185,0),MATCH($K$1,'Data-Input'!$B$163:$W$163,0)),0),0),IF(AND(X110&lt;&gt;"",$L$1&lt;&gt;""),IFERROR(INDEX('Data-Input'!$B$164:$W$185,MATCH(X110,'Data-Input'!$A$164:$A$185,0),MATCH($L$1,'Data-Input'!$B$163:$W$163,0)),0),0))*$M$1)</f>
        <v>0</v>
      </c>
      <c r="Z110">
        <f>IF($A$1="",0,SUMPRODUCT(('Data-Input'!$A$29:$A$128=A110)*('Data-Input'!$B$29:$B$128="Tag")*((('Data-Input'!$C$29:$C$128=$K$1)+('Data-Input'!$C$29:$C$128=$L$1))&gt;0)*('Data-Input'!$D$29:$D$128-'Data-Input'!$E$29:$E$128))+SUMPRODUCT(('Data-Input'!$A$29:$A$128=A110)*('Data-Input'!$B$29:$B$128="Hero")*('Data-Input'!$C$29:$C$128=$A$1)*('Data-Input'!$D$29:$D$128-'Data-Input'!$E$29:$E$128)))</f>
        <v>0</v>
      </c>
    </row>
    <row r="111" spans="1:26" ht="15" customHeight="1" x14ac:dyDescent="0.3">
      <c r="A111" t="str">
        <f>Heroes!$B111</f>
        <v>Valentina</v>
      </c>
      <c r="B111" t="str">
        <f>Heroes!$C111</f>
        <v>Mage</v>
      </c>
      <c r="C111">
        <f>Heroes!$D111</f>
        <v>0</v>
      </c>
      <c r="D111">
        <f>Heroes!$E111</f>
        <v>90</v>
      </c>
      <c r="E111">
        <f>Heroes!$F111</f>
        <v>80</v>
      </c>
      <c r="F111">
        <f>Heroes!$H111</f>
        <v>80</v>
      </c>
      <c r="G111" t="str">
        <f>Heroes!$K111</f>
        <v>Magic</v>
      </c>
      <c r="H111">
        <f>Heroes!$Q111</f>
        <v>3</v>
      </c>
      <c r="I111">
        <f>IFERROR(INDEX('Data-Input'!$B$19:$G$24,MATCH(B111,'Data-Input'!$A$19:$A$24,0),MATCH($B$1,'Data-Input'!$B$18:$G$18,0)),0)</f>
        <v>0</v>
      </c>
      <c r="J111">
        <f>IF(C111&lt;&gt;"",IFERROR(INDEX('Data-Input'!$B$19:$G$24,MATCH(C111,'Data-Input'!$A$19:$A$24,0),MATCH($B$1,'Data-Input'!$B$18:$G$18,0)),0),I111)</f>
        <v>0</v>
      </c>
      <c r="K111">
        <f t="shared" si="30"/>
        <v>0</v>
      </c>
      <c r="L111">
        <f t="shared" si="31"/>
        <v>8.5</v>
      </c>
      <c r="M111">
        <f t="shared" si="32"/>
        <v>80</v>
      </c>
      <c r="N111">
        <f t="shared" si="33"/>
        <v>24</v>
      </c>
      <c r="O111">
        <f t="shared" si="34"/>
        <v>3</v>
      </c>
      <c r="P111">
        <f t="shared" si="35"/>
        <v>9</v>
      </c>
      <c r="Q111">
        <f t="shared" si="36"/>
        <v>44.5</v>
      </c>
      <c r="R111">
        <f>IFERROR(INDEX('Data-Input'!$C$190:$C$1189,MATCH(A111&amp;"|"&amp;$A$1,'Data-Input'!$E$190:$E$1189,0)),Q111)</f>
        <v>44.5</v>
      </c>
      <c r="S111">
        <f t="shared" si="37"/>
        <v>44.5</v>
      </c>
      <c r="T111">
        <f t="shared" si="38"/>
        <v>44.500011100000002</v>
      </c>
      <c r="U111" t="str">
        <f>Heroes!$M111</f>
        <v>Mid Lane</v>
      </c>
      <c r="V111">
        <f t="shared" si="39"/>
        <v>-1000000000000000</v>
      </c>
      <c r="W111" t="str">
        <f>Heroes!$I111</f>
        <v>Burst</v>
      </c>
      <c r="X111" t="str">
        <f>Heroes!$J111</f>
        <v>Sustain</v>
      </c>
      <c r="Y111">
        <f>IF($A$1="",0,MAX(IF(W111&lt;&gt;"",IFERROR(INDEX('Data-Input'!$B$164:$W$185,MATCH(W111,'Data-Input'!$A$164:$A$185,0),MATCH($K$1,'Data-Input'!$B$163:$W$163,0)),0),0),IF(AND(W111&lt;&gt;"",$L$1&lt;&gt;""),IFERROR(INDEX('Data-Input'!$B$164:$W$185,MATCH(W111,'Data-Input'!$A$164:$A$185,0),MATCH($L$1,'Data-Input'!$B$163:$W$163,0)),0),0),IF(X111&lt;&gt;"",IFERROR(INDEX('Data-Input'!$B$164:$W$185,MATCH(X111,'Data-Input'!$A$164:$A$185,0),MATCH($K$1,'Data-Input'!$B$163:$W$163,0)),0),0),IF(AND(X111&lt;&gt;"",$L$1&lt;&gt;""),IFERROR(INDEX('Data-Input'!$B$164:$W$185,MATCH(X111,'Data-Input'!$A$164:$A$185,0),MATCH($L$1,'Data-Input'!$B$163:$W$163,0)),0),0))*$M$1)</f>
        <v>0</v>
      </c>
      <c r="Z111">
        <f>IF($A$1="",0,SUMPRODUCT(('Data-Input'!$A$29:$A$128=A111)*('Data-Input'!$B$29:$B$128="Tag")*((('Data-Input'!$C$29:$C$128=$K$1)+('Data-Input'!$C$29:$C$128=$L$1))&gt;0)*('Data-Input'!$D$29:$D$128-'Data-Input'!$E$29:$E$128))+SUMPRODUCT(('Data-Input'!$A$29:$A$128=A111)*('Data-Input'!$B$29:$B$128="Hero")*('Data-Input'!$C$29:$C$128=$A$1)*('Data-Input'!$D$29:$D$128-'Data-Input'!$E$29:$E$128)))</f>
        <v>0</v>
      </c>
    </row>
    <row r="112" spans="1:26" ht="15" customHeight="1" x14ac:dyDescent="0.3">
      <c r="A112" t="str">
        <f>Heroes!$B112</f>
        <v>Edith</v>
      </c>
      <c r="B112" t="str">
        <f>Heroes!$C112</f>
        <v>Tank</v>
      </c>
      <c r="C112" t="str">
        <f>Heroes!$D112</f>
        <v>Marksman</v>
      </c>
      <c r="D112">
        <f>Heroes!$E112</f>
        <v>30</v>
      </c>
      <c r="E112">
        <f>Heroes!$F112</f>
        <v>100</v>
      </c>
      <c r="F112">
        <f>Heroes!$H112</f>
        <v>30</v>
      </c>
      <c r="G112" t="str">
        <f>Heroes!$K112</f>
        <v>Mixed</v>
      </c>
      <c r="H112">
        <f>Heroes!$Q112</f>
        <v>5</v>
      </c>
      <c r="I112">
        <f>IFERROR(INDEX('Data-Input'!$B$19:$G$24,MATCH(B112,'Data-Input'!$A$19:$A$24,0),MATCH($B$1,'Data-Input'!$B$18:$G$18,0)),0)</f>
        <v>0</v>
      </c>
      <c r="J112">
        <f>IF(C112&lt;&gt;"",IFERROR(INDEX('Data-Input'!$B$19:$G$24,MATCH(C112,'Data-Input'!$A$19:$A$24,0),MATCH($B$1,'Data-Input'!$B$18:$G$18,0)),0),I112)</f>
        <v>0</v>
      </c>
      <c r="K112">
        <f t="shared" si="30"/>
        <v>0</v>
      </c>
      <c r="L112">
        <f t="shared" si="31"/>
        <v>6.5</v>
      </c>
      <c r="M112">
        <f t="shared" si="32"/>
        <v>30</v>
      </c>
      <c r="N112">
        <f t="shared" si="33"/>
        <v>9</v>
      </c>
      <c r="O112">
        <f t="shared" si="34"/>
        <v>5</v>
      </c>
      <c r="P112">
        <f t="shared" si="35"/>
        <v>15</v>
      </c>
      <c r="Q112">
        <f t="shared" si="36"/>
        <v>35.5</v>
      </c>
      <c r="R112">
        <f>IFERROR(INDEX('Data-Input'!$C$190:$C$1189,MATCH(A112&amp;"|"&amp;$A$1,'Data-Input'!$E$190:$E$1189,0)),Q112)</f>
        <v>35.5</v>
      </c>
      <c r="S112">
        <f t="shared" si="37"/>
        <v>35.5</v>
      </c>
      <c r="T112">
        <f t="shared" si="38"/>
        <v>35.500011200000003</v>
      </c>
      <c r="U112" t="str">
        <f>Heroes!$M112</f>
        <v>EXP Lane</v>
      </c>
      <c r="V112">
        <f t="shared" si="39"/>
        <v>-1000000000000000</v>
      </c>
      <c r="W112" t="str">
        <f>Heroes!$I112</f>
        <v>Shield</v>
      </c>
      <c r="X112" t="str">
        <f>Heroes!$J112</f>
        <v>Hard CC</v>
      </c>
      <c r="Y112">
        <f>IF($A$1="",0,MAX(IF(W112&lt;&gt;"",IFERROR(INDEX('Data-Input'!$B$164:$W$185,MATCH(W112,'Data-Input'!$A$164:$A$185,0),MATCH($K$1,'Data-Input'!$B$163:$W$163,0)),0),0),IF(AND(W112&lt;&gt;"",$L$1&lt;&gt;""),IFERROR(INDEX('Data-Input'!$B$164:$W$185,MATCH(W112,'Data-Input'!$A$164:$A$185,0),MATCH($L$1,'Data-Input'!$B$163:$W$163,0)),0),0),IF(X112&lt;&gt;"",IFERROR(INDEX('Data-Input'!$B$164:$W$185,MATCH(X112,'Data-Input'!$A$164:$A$185,0),MATCH($K$1,'Data-Input'!$B$163:$W$163,0)),0),0),IF(AND(X112&lt;&gt;"",$L$1&lt;&gt;""),IFERROR(INDEX('Data-Input'!$B$164:$W$185,MATCH(X112,'Data-Input'!$A$164:$A$185,0),MATCH($L$1,'Data-Input'!$B$163:$W$163,0)),0),0))*$M$1)</f>
        <v>0</v>
      </c>
      <c r="Z112">
        <f>IF($A$1="",0,SUMPRODUCT(('Data-Input'!$A$29:$A$128=A112)*('Data-Input'!$B$29:$B$128="Tag")*((('Data-Input'!$C$29:$C$128=$K$1)+('Data-Input'!$C$29:$C$128=$L$1))&gt;0)*('Data-Input'!$D$29:$D$128-'Data-Input'!$E$29:$E$128))+SUMPRODUCT(('Data-Input'!$A$29:$A$128=A112)*('Data-Input'!$B$29:$B$128="Hero")*('Data-Input'!$C$29:$C$128=$A$1)*('Data-Input'!$D$29:$D$128-'Data-Input'!$E$29:$E$128)))</f>
        <v>0</v>
      </c>
    </row>
    <row r="113" spans="1:26" ht="15" customHeight="1" x14ac:dyDescent="0.3">
      <c r="A113" t="str">
        <f>Heroes!$B113</f>
        <v>Floryn</v>
      </c>
      <c r="B113" t="str">
        <f>Heroes!$C113</f>
        <v>Support</v>
      </c>
      <c r="C113">
        <f>Heroes!$D113</f>
        <v>0</v>
      </c>
      <c r="D113">
        <f>Heroes!$E113</f>
        <v>10</v>
      </c>
      <c r="E113">
        <f>Heroes!$F113</f>
        <v>70</v>
      </c>
      <c r="F113">
        <f>Heroes!$H113</f>
        <v>10</v>
      </c>
      <c r="G113" t="str">
        <f>Heroes!$K113</f>
        <v>Magic</v>
      </c>
      <c r="H113">
        <f>Heroes!$Q113</f>
        <v>3</v>
      </c>
      <c r="I113">
        <f>IFERROR(INDEX('Data-Input'!$B$19:$G$24,MATCH(B113,'Data-Input'!$A$19:$A$24,0),MATCH($B$1,'Data-Input'!$B$18:$G$18,0)),0)</f>
        <v>0</v>
      </c>
      <c r="J113">
        <f>IF(C113&lt;&gt;"",IFERROR(INDEX('Data-Input'!$B$19:$G$24,MATCH(C113,'Data-Input'!$A$19:$A$24,0),MATCH($B$1,'Data-Input'!$B$18:$G$18,0)),0),I113)</f>
        <v>0</v>
      </c>
      <c r="K113">
        <f t="shared" si="30"/>
        <v>0</v>
      </c>
      <c r="L113">
        <f t="shared" si="31"/>
        <v>4</v>
      </c>
      <c r="M113">
        <f t="shared" si="32"/>
        <v>10</v>
      </c>
      <c r="N113">
        <f t="shared" si="33"/>
        <v>0</v>
      </c>
      <c r="O113">
        <f t="shared" si="34"/>
        <v>3</v>
      </c>
      <c r="P113">
        <f t="shared" si="35"/>
        <v>9</v>
      </c>
      <c r="Q113">
        <f t="shared" si="36"/>
        <v>16</v>
      </c>
      <c r="R113">
        <f>IFERROR(INDEX('Data-Input'!$C$190:$C$1189,MATCH(A113&amp;"|"&amp;$A$1,'Data-Input'!$E$190:$E$1189,0)),Q113)</f>
        <v>16</v>
      </c>
      <c r="S113">
        <f t="shared" si="37"/>
        <v>16</v>
      </c>
      <c r="T113">
        <f t="shared" si="38"/>
        <v>16.000011300000001</v>
      </c>
      <c r="U113" t="str">
        <f>Heroes!$M113</f>
        <v>Roaming</v>
      </c>
      <c r="V113">
        <f t="shared" si="39"/>
        <v>-1000000000000000</v>
      </c>
      <c r="W113" t="str">
        <f>Heroes!$I113</f>
        <v>Healing</v>
      </c>
      <c r="X113" t="str">
        <f>Heroes!$J113</f>
        <v>Soft CC</v>
      </c>
      <c r="Y113">
        <f>IF($A$1="",0,MAX(IF(W113&lt;&gt;"",IFERROR(INDEX('Data-Input'!$B$164:$W$185,MATCH(W113,'Data-Input'!$A$164:$A$185,0),MATCH($K$1,'Data-Input'!$B$163:$W$163,0)),0),0),IF(AND(W113&lt;&gt;"",$L$1&lt;&gt;""),IFERROR(INDEX('Data-Input'!$B$164:$W$185,MATCH(W113,'Data-Input'!$A$164:$A$185,0),MATCH($L$1,'Data-Input'!$B$163:$W$163,0)),0),0),IF(X113&lt;&gt;"",IFERROR(INDEX('Data-Input'!$B$164:$W$185,MATCH(X113,'Data-Input'!$A$164:$A$185,0),MATCH($K$1,'Data-Input'!$B$163:$W$163,0)),0),0),IF(AND(X113&lt;&gt;"",$L$1&lt;&gt;""),IFERROR(INDEX('Data-Input'!$B$164:$W$185,MATCH(X113,'Data-Input'!$A$164:$A$185,0),MATCH($L$1,'Data-Input'!$B$163:$W$163,0)),0),0))*$M$1)</f>
        <v>0</v>
      </c>
      <c r="Z113">
        <f>IF($A$1="",0,SUMPRODUCT(('Data-Input'!$A$29:$A$128=A113)*('Data-Input'!$B$29:$B$128="Tag")*((('Data-Input'!$C$29:$C$128=$K$1)+('Data-Input'!$C$29:$C$128=$L$1))&gt;0)*('Data-Input'!$D$29:$D$128-'Data-Input'!$E$29:$E$128))+SUMPRODUCT(('Data-Input'!$A$29:$A$128=A113)*('Data-Input'!$B$29:$B$128="Hero")*('Data-Input'!$C$29:$C$128=$A$1)*('Data-Input'!$D$29:$D$128-'Data-Input'!$E$29:$E$128)))</f>
        <v>0</v>
      </c>
    </row>
    <row r="114" spans="1:26" ht="15" customHeight="1" x14ac:dyDescent="0.3">
      <c r="A114" t="str">
        <f>Heroes!$B114</f>
        <v>Yin</v>
      </c>
      <c r="B114" t="str">
        <f>Heroes!$C114</f>
        <v>Fighter</v>
      </c>
      <c r="C114" t="str">
        <f>Heroes!$D114</f>
        <v>Assassin</v>
      </c>
      <c r="D114">
        <f>Heroes!$E114</f>
        <v>60</v>
      </c>
      <c r="E114">
        <f>Heroes!$F114</f>
        <v>80</v>
      </c>
      <c r="F114">
        <f>Heroes!$H114</f>
        <v>40</v>
      </c>
      <c r="G114" t="str">
        <f>Heroes!$K114</f>
        <v>Physical</v>
      </c>
      <c r="H114">
        <f>Heroes!$Q114</f>
        <v>3</v>
      </c>
      <c r="I114">
        <f>IFERROR(INDEX('Data-Input'!$B$19:$G$24,MATCH(B114,'Data-Input'!$A$19:$A$24,0),MATCH($B$1,'Data-Input'!$B$18:$G$18,0)),0)</f>
        <v>0</v>
      </c>
      <c r="J114">
        <f>IF(C114&lt;&gt;"",IFERROR(INDEX('Data-Input'!$B$19:$G$24,MATCH(C114,'Data-Input'!$A$19:$A$24,0),MATCH($B$1,'Data-Input'!$B$18:$G$18,0)),0),I114)</f>
        <v>0</v>
      </c>
      <c r="K114">
        <f t="shared" si="30"/>
        <v>0</v>
      </c>
      <c r="L114">
        <f t="shared" si="31"/>
        <v>7</v>
      </c>
      <c r="M114">
        <f t="shared" si="32"/>
        <v>40</v>
      </c>
      <c r="N114">
        <f t="shared" si="33"/>
        <v>12</v>
      </c>
      <c r="O114">
        <f t="shared" si="34"/>
        <v>3</v>
      </c>
      <c r="P114">
        <f t="shared" si="35"/>
        <v>9</v>
      </c>
      <c r="Q114">
        <f t="shared" si="36"/>
        <v>31</v>
      </c>
      <c r="R114">
        <f>IFERROR(INDEX('Data-Input'!$C$190:$C$1189,MATCH(A114&amp;"|"&amp;$A$1,'Data-Input'!$E$190:$E$1189,0)),Q114)</f>
        <v>31</v>
      </c>
      <c r="S114">
        <f t="shared" si="37"/>
        <v>31</v>
      </c>
      <c r="T114">
        <f t="shared" si="38"/>
        <v>31.000011400000002</v>
      </c>
      <c r="U114" t="str">
        <f>Heroes!$M114</f>
        <v>Jungle</v>
      </c>
      <c r="V114">
        <f t="shared" si="39"/>
        <v>-1000000000000000</v>
      </c>
      <c r="W114" t="str">
        <f>Heroes!$I114</f>
        <v>Targeted CC</v>
      </c>
      <c r="X114" t="str">
        <f>Heroes!$J114</f>
        <v>Burst</v>
      </c>
      <c r="Y114">
        <f>IF($A$1="",0,MAX(IF(W114&lt;&gt;"",IFERROR(INDEX('Data-Input'!$B$164:$W$185,MATCH(W114,'Data-Input'!$A$164:$A$185,0),MATCH($K$1,'Data-Input'!$B$163:$W$163,0)),0),0),IF(AND(W114&lt;&gt;"",$L$1&lt;&gt;""),IFERROR(INDEX('Data-Input'!$B$164:$W$185,MATCH(W114,'Data-Input'!$A$164:$A$185,0),MATCH($L$1,'Data-Input'!$B$163:$W$163,0)),0),0),IF(X114&lt;&gt;"",IFERROR(INDEX('Data-Input'!$B$164:$W$185,MATCH(X114,'Data-Input'!$A$164:$A$185,0),MATCH($K$1,'Data-Input'!$B$163:$W$163,0)),0),0),IF(AND(X114&lt;&gt;"",$L$1&lt;&gt;""),IFERROR(INDEX('Data-Input'!$B$164:$W$185,MATCH(X114,'Data-Input'!$A$164:$A$185,0),MATCH($L$1,'Data-Input'!$B$163:$W$163,0)),0),0))*$M$1)</f>
        <v>0</v>
      </c>
      <c r="Z114">
        <f>IF($A$1="",0,SUMPRODUCT(('Data-Input'!$A$29:$A$128=A114)*('Data-Input'!$B$29:$B$128="Tag")*((('Data-Input'!$C$29:$C$128=$K$1)+('Data-Input'!$C$29:$C$128=$L$1))&gt;0)*('Data-Input'!$D$29:$D$128-'Data-Input'!$E$29:$E$128))+SUMPRODUCT(('Data-Input'!$A$29:$A$128=A114)*('Data-Input'!$B$29:$B$128="Hero")*('Data-Input'!$C$29:$C$128=$A$1)*('Data-Input'!$D$29:$D$128-'Data-Input'!$E$29:$E$128)))</f>
        <v>0</v>
      </c>
    </row>
    <row r="115" spans="1:26" ht="15" customHeight="1" x14ac:dyDescent="0.3">
      <c r="A115" t="str">
        <f>Heroes!$B115</f>
        <v>Melissa</v>
      </c>
      <c r="B115" t="str">
        <f>Heroes!$C115</f>
        <v>Marksman</v>
      </c>
      <c r="C115">
        <f>Heroes!$D115</f>
        <v>0</v>
      </c>
      <c r="D115">
        <f>Heroes!$E115</f>
        <v>90</v>
      </c>
      <c r="E115">
        <f>Heroes!$F115</f>
        <v>40</v>
      </c>
      <c r="F115">
        <f>Heroes!$H115</f>
        <v>40</v>
      </c>
      <c r="G115" t="str">
        <f>Heroes!$K115</f>
        <v>Mixed</v>
      </c>
      <c r="H115">
        <f>Heroes!$Q115</f>
        <v>4</v>
      </c>
      <c r="I115">
        <f>IFERROR(INDEX('Data-Input'!$B$19:$G$24,MATCH(B115,'Data-Input'!$A$19:$A$24,0),MATCH($B$1,'Data-Input'!$B$18:$G$18,0)),0)</f>
        <v>0</v>
      </c>
      <c r="J115">
        <f>IF(C115&lt;&gt;"",IFERROR(INDEX('Data-Input'!$B$19:$G$24,MATCH(C115,'Data-Input'!$A$19:$A$24,0),MATCH($B$1,'Data-Input'!$B$18:$G$18,0)),0),I115)</f>
        <v>0</v>
      </c>
      <c r="K115">
        <f t="shared" si="30"/>
        <v>0</v>
      </c>
      <c r="L115">
        <f t="shared" si="31"/>
        <v>6.5</v>
      </c>
      <c r="M115">
        <f t="shared" si="32"/>
        <v>40</v>
      </c>
      <c r="N115">
        <f t="shared" si="33"/>
        <v>12</v>
      </c>
      <c r="O115">
        <f t="shared" si="34"/>
        <v>5</v>
      </c>
      <c r="P115">
        <f t="shared" si="35"/>
        <v>12</v>
      </c>
      <c r="Q115">
        <f t="shared" si="36"/>
        <v>35.5</v>
      </c>
      <c r="R115">
        <f>IFERROR(INDEX('Data-Input'!$C$190:$C$1189,MATCH(A115&amp;"|"&amp;$A$1,'Data-Input'!$E$190:$E$1189,0)),Q115)</f>
        <v>35.5</v>
      </c>
      <c r="S115">
        <f t="shared" si="37"/>
        <v>35.5</v>
      </c>
      <c r="T115">
        <f t="shared" si="38"/>
        <v>35.500011499999999</v>
      </c>
      <c r="U115" t="str">
        <f>Heroes!$M115</f>
        <v>Gold Lane</v>
      </c>
      <c r="V115">
        <f t="shared" si="39"/>
        <v>-1000000000000000</v>
      </c>
      <c r="W115" t="str">
        <f>Heroes!$I115</f>
        <v>Shield</v>
      </c>
      <c r="X115" t="str">
        <f>Heroes!$J115</f>
        <v>DPS</v>
      </c>
      <c r="Y115">
        <f>IF($A$1="",0,MAX(IF(W115&lt;&gt;"",IFERROR(INDEX('Data-Input'!$B$164:$W$185,MATCH(W115,'Data-Input'!$A$164:$A$185,0),MATCH($K$1,'Data-Input'!$B$163:$W$163,0)),0),0),IF(AND(W115&lt;&gt;"",$L$1&lt;&gt;""),IFERROR(INDEX('Data-Input'!$B$164:$W$185,MATCH(W115,'Data-Input'!$A$164:$A$185,0),MATCH($L$1,'Data-Input'!$B$163:$W$163,0)),0),0),IF(X115&lt;&gt;"",IFERROR(INDEX('Data-Input'!$B$164:$W$185,MATCH(X115,'Data-Input'!$A$164:$A$185,0),MATCH($K$1,'Data-Input'!$B$163:$W$163,0)),0),0),IF(AND(X115&lt;&gt;"",$L$1&lt;&gt;""),IFERROR(INDEX('Data-Input'!$B$164:$W$185,MATCH(X115,'Data-Input'!$A$164:$A$185,0),MATCH($L$1,'Data-Input'!$B$163:$W$163,0)),0),0))*$M$1)</f>
        <v>0</v>
      </c>
      <c r="Z115">
        <f>IF($A$1="",0,SUMPRODUCT(('Data-Input'!$A$29:$A$128=A115)*('Data-Input'!$B$29:$B$128="Tag")*((('Data-Input'!$C$29:$C$128=$K$1)+('Data-Input'!$C$29:$C$128=$L$1))&gt;0)*('Data-Input'!$D$29:$D$128-'Data-Input'!$E$29:$E$128))+SUMPRODUCT(('Data-Input'!$A$29:$A$128=A115)*('Data-Input'!$B$29:$B$128="Hero")*('Data-Input'!$C$29:$C$128=$A$1)*('Data-Input'!$D$29:$D$128-'Data-Input'!$E$29:$E$128)))</f>
        <v>0</v>
      </c>
    </row>
    <row r="116" spans="1:26" ht="15" customHeight="1" x14ac:dyDescent="0.3">
      <c r="A116" t="str">
        <f>Heroes!$B116</f>
        <v>Xavier</v>
      </c>
      <c r="B116" t="str">
        <f>Heroes!$C116</f>
        <v>Mage</v>
      </c>
      <c r="C116">
        <f>Heroes!$D116</f>
        <v>0</v>
      </c>
      <c r="D116">
        <f>Heroes!$E116</f>
        <v>100</v>
      </c>
      <c r="E116">
        <f>Heroes!$F116</f>
        <v>80</v>
      </c>
      <c r="F116">
        <f>Heroes!$H116</f>
        <v>30</v>
      </c>
      <c r="G116" t="str">
        <f>Heroes!$K116</f>
        <v>Magic</v>
      </c>
      <c r="H116">
        <f>Heroes!$Q116</f>
        <v>3</v>
      </c>
      <c r="I116">
        <f>IFERROR(INDEX('Data-Input'!$B$19:$G$24,MATCH(B116,'Data-Input'!$A$19:$A$24,0),MATCH($B$1,'Data-Input'!$B$18:$G$18,0)),0)</f>
        <v>0</v>
      </c>
      <c r="J116">
        <f>IF(C116&lt;&gt;"",IFERROR(INDEX('Data-Input'!$B$19:$G$24,MATCH(C116,'Data-Input'!$A$19:$A$24,0),MATCH($B$1,'Data-Input'!$B$18:$G$18,0)),0),I116)</f>
        <v>0</v>
      </c>
      <c r="K116">
        <f t="shared" si="30"/>
        <v>0</v>
      </c>
      <c r="L116">
        <f t="shared" si="31"/>
        <v>9</v>
      </c>
      <c r="M116">
        <f t="shared" si="32"/>
        <v>30</v>
      </c>
      <c r="N116">
        <f t="shared" si="33"/>
        <v>9</v>
      </c>
      <c r="O116">
        <f t="shared" si="34"/>
        <v>3</v>
      </c>
      <c r="P116">
        <f t="shared" si="35"/>
        <v>9</v>
      </c>
      <c r="Q116">
        <f t="shared" si="36"/>
        <v>30</v>
      </c>
      <c r="R116">
        <f>IFERROR(INDEX('Data-Input'!$C$190:$C$1189,MATCH(A116&amp;"|"&amp;$A$1,'Data-Input'!$E$190:$E$1189,0)),Q116)</f>
        <v>30</v>
      </c>
      <c r="S116">
        <f t="shared" si="37"/>
        <v>30</v>
      </c>
      <c r="T116">
        <f t="shared" si="38"/>
        <v>30.000011600000001</v>
      </c>
      <c r="U116" t="str">
        <f>Heroes!$M116</f>
        <v>Mid Lane</v>
      </c>
      <c r="V116">
        <f t="shared" si="39"/>
        <v>-1000000000000000</v>
      </c>
      <c r="W116" t="str">
        <f>Heroes!$I116</f>
        <v>Poke</v>
      </c>
      <c r="X116" t="str">
        <f>Heroes!$J116</f>
        <v>Burst</v>
      </c>
      <c r="Y116">
        <f>IF($A$1="",0,MAX(IF(W116&lt;&gt;"",IFERROR(INDEX('Data-Input'!$B$164:$W$185,MATCH(W116,'Data-Input'!$A$164:$A$185,0),MATCH($K$1,'Data-Input'!$B$163:$W$163,0)),0),0),IF(AND(W116&lt;&gt;"",$L$1&lt;&gt;""),IFERROR(INDEX('Data-Input'!$B$164:$W$185,MATCH(W116,'Data-Input'!$A$164:$A$185,0),MATCH($L$1,'Data-Input'!$B$163:$W$163,0)),0),0),IF(X116&lt;&gt;"",IFERROR(INDEX('Data-Input'!$B$164:$W$185,MATCH(X116,'Data-Input'!$A$164:$A$185,0),MATCH($K$1,'Data-Input'!$B$163:$W$163,0)),0),0),IF(AND(X116&lt;&gt;"",$L$1&lt;&gt;""),IFERROR(INDEX('Data-Input'!$B$164:$W$185,MATCH(X116,'Data-Input'!$A$164:$A$185,0),MATCH($L$1,'Data-Input'!$B$163:$W$163,0)),0),0))*$M$1)</f>
        <v>0</v>
      </c>
      <c r="Z116">
        <f>IF($A$1="",0,SUMPRODUCT(('Data-Input'!$A$29:$A$128=A116)*('Data-Input'!$B$29:$B$128="Tag")*((('Data-Input'!$C$29:$C$128=$K$1)+('Data-Input'!$C$29:$C$128=$L$1))&gt;0)*('Data-Input'!$D$29:$D$128-'Data-Input'!$E$29:$E$128))+SUMPRODUCT(('Data-Input'!$A$29:$A$128=A116)*('Data-Input'!$B$29:$B$128="Hero")*('Data-Input'!$C$29:$C$128=$A$1)*('Data-Input'!$D$29:$D$128-'Data-Input'!$E$29:$E$128)))</f>
        <v>0</v>
      </c>
    </row>
    <row r="117" spans="1:26" ht="15" customHeight="1" x14ac:dyDescent="0.3">
      <c r="A117" t="str">
        <f>Heroes!$B117</f>
        <v>Julian</v>
      </c>
      <c r="B117" t="str">
        <f>Heroes!$C117</f>
        <v>Assassin</v>
      </c>
      <c r="C117" t="str">
        <f>Heroes!$D117</f>
        <v>Fighter</v>
      </c>
      <c r="D117">
        <f>Heroes!$E117</f>
        <v>60</v>
      </c>
      <c r="E117">
        <f>Heroes!$F117</f>
        <v>70</v>
      </c>
      <c r="F117">
        <f>Heroes!$H117</f>
        <v>20</v>
      </c>
      <c r="G117" t="str">
        <f>Heroes!$K117</f>
        <v>Magic</v>
      </c>
      <c r="H117">
        <f>Heroes!$Q117</f>
        <v>2</v>
      </c>
      <c r="I117">
        <f>IFERROR(INDEX('Data-Input'!$B$19:$G$24,MATCH(B117,'Data-Input'!$A$19:$A$24,0),MATCH($B$1,'Data-Input'!$B$18:$G$18,0)),0)</f>
        <v>0</v>
      </c>
      <c r="J117">
        <f>IF(C117&lt;&gt;"",IFERROR(INDEX('Data-Input'!$B$19:$G$24,MATCH(C117,'Data-Input'!$A$19:$A$24,0),MATCH($B$1,'Data-Input'!$B$18:$G$18,0)),0),I117)</f>
        <v>0</v>
      </c>
      <c r="K117">
        <f t="shared" si="30"/>
        <v>0</v>
      </c>
      <c r="L117">
        <f t="shared" si="31"/>
        <v>6.5</v>
      </c>
      <c r="M117">
        <f t="shared" si="32"/>
        <v>20</v>
      </c>
      <c r="N117">
        <f t="shared" si="33"/>
        <v>0</v>
      </c>
      <c r="O117">
        <f t="shared" si="34"/>
        <v>3</v>
      </c>
      <c r="P117">
        <f t="shared" si="35"/>
        <v>6</v>
      </c>
      <c r="Q117">
        <f t="shared" si="36"/>
        <v>15.5</v>
      </c>
      <c r="R117">
        <f>IFERROR(INDEX('Data-Input'!$C$190:$C$1189,MATCH(A117&amp;"|"&amp;$A$1,'Data-Input'!$E$190:$E$1189,0)),Q117)</f>
        <v>15.5</v>
      </c>
      <c r="S117">
        <f t="shared" si="37"/>
        <v>15.5</v>
      </c>
      <c r="T117">
        <f t="shared" si="38"/>
        <v>15.5000117</v>
      </c>
      <c r="U117" t="str">
        <f>Heroes!$M117</f>
        <v>Jungle</v>
      </c>
      <c r="V117">
        <f t="shared" si="39"/>
        <v>-1000000000000000</v>
      </c>
      <c r="W117" t="str">
        <f>Heroes!$I117</f>
        <v>Burst</v>
      </c>
      <c r="X117" t="str">
        <f>Heroes!$J117</f>
        <v>I-Frame</v>
      </c>
      <c r="Y117">
        <f>IF($A$1="",0,MAX(IF(W117&lt;&gt;"",IFERROR(INDEX('Data-Input'!$B$164:$W$185,MATCH(W117,'Data-Input'!$A$164:$A$185,0),MATCH($K$1,'Data-Input'!$B$163:$W$163,0)),0),0),IF(AND(W117&lt;&gt;"",$L$1&lt;&gt;""),IFERROR(INDEX('Data-Input'!$B$164:$W$185,MATCH(W117,'Data-Input'!$A$164:$A$185,0),MATCH($L$1,'Data-Input'!$B$163:$W$163,0)),0),0),IF(X117&lt;&gt;"",IFERROR(INDEX('Data-Input'!$B$164:$W$185,MATCH(X117,'Data-Input'!$A$164:$A$185,0),MATCH($K$1,'Data-Input'!$B$163:$W$163,0)),0),0),IF(AND(X117&lt;&gt;"",$L$1&lt;&gt;""),IFERROR(INDEX('Data-Input'!$B$164:$W$185,MATCH(X117,'Data-Input'!$A$164:$A$185,0),MATCH($L$1,'Data-Input'!$B$163:$W$163,0)),0),0))*$M$1)</f>
        <v>0</v>
      </c>
      <c r="Z117">
        <f>IF($A$1="",0,SUMPRODUCT(('Data-Input'!$A$29:$A$128=A117)*('Data-Input'!$B$29:$B$128="Tag")*((('Data-Input'!$C$29:$C$128=$K$1)+('Data-Input'!$C$29:$C$128=$L$1))&gt;0)*('Data-Input'!$D$29:$D$128-'Data-Input'!$E$29:$E$128))+SUMPRODUCT(('Data-Input'!$A$29:$A$128=A117)*('Data-Input'!$B$29:$B$128="Hero")*('Data-Input'!$C$29:$C$128=$A$1)*('Data-Input'!$D$29:$D$128-'Data-Input'!$E$29:$E$128)))</f>
        <v>0</v>
      </c>
    </row>
    <row r="118" spans="1:26" ht="15" customHeight="1" x14ac:dyDescent="0.3">
      <c r="A118" t="str">
        <f>Heroes!$B118</f>
        <v>Fredrinn</v>
      </c>
      <c r="B118" t="str">
        <f>Heroes!$C118</f>
        <v>Fighter</v>
      </c>
      <c r="C118" t="str">
        <f>Heroes!$D118</f>
        <v>Tank</v>
      </c>
      <c r="D118">
        <f>Heroes!$E118</f>
        <v>50</v>
      </c>
      <c r="E118">
        <f>Heroes!$F118</f>
        <v>60</v>
      </c>
      <c r="F118">
        <f>Heroes!$H118</f>
        <v>40</v>
      </c>
      <c r="G118" t="str">
        <f>Heroes!$K118</f>
        <v>Physical</v>
      </c>
      <c r="H118">
        <f>Heroes!$Q118</f>
        <v>3</v>
      </c>
      <c r="I118">
        <f>IFERROR(INDEX('Data-Input'!$B$19:$G$24,MATCH(B118,'Data-Input'!$A$19:$A$24,0),MATCH($B$1,'Data-Input'!$B$18:$G$18,0)),0)</f>
        <v>0</v>
      </c>
      <c r="J118">
        <f>IF(C118&lt;&gt;"",IFERROR(INDEX('Data-Input'!$B$19:$G$24,MATCH(C118,'Data-Input'!$A$19:$A$24,0),MATCH($B$1,'Data-Input'!$B$18:$G$18,0)),0),I118)</f>
        <v>0</v>
      </c>
      <c r="K118">
        <f t="shared" si="30"/>
        <v>0</v>
      </c>
      <c r="L118">
        <f t="shared" si="31"/>
        <v>5.5</v>
      </c>
      <c r="M118">
        <f t="shared" si="32"/>
        <v>40</v>
      </c>
      <c r="N118">
        <f t="shared" si="33"/>
        <v>12</v>
      </c>
      <c r="O118">
        <f t="shared" si="34"/>
        <v>3</v>
      </c>
      <c r="P118">
        <f t="shared" si="35"/>
        <v>9</v>
      </c>
      <c r="Q118">
        <f t="shared" si="36"/>
        <v>29.5</v>
      </c>
      <c r="R118">
        <f>IFERROR(INDEX('Data-Input'!$C$190:$C$1189,MATCH(A118&amp;"|"&amp;$A$1,'Data-Input'!$E$190:$E$1189,0)),Q118)</f>
        <v>29.5</v>
      </c>
      <c r="S118">
        <f t="shared" si="37"/>
        <v>29.5</v>
      </c>
      <c r="T118">
        <f t="shared" si="38"/>
        <v>29.500011799999999</v>
      </c>
      <c r="U118" t="str">
        <f>Heroes!$M118</f>
        <v>Jungle</v>
      </c>
      <c r="V118">
        <f t="shared" si="39"/>
        <v>-1000000000000000</v>
      </c>
      <c r="W118" t="str">
        <f>Heroes!$I118</f>
        <v>Sustain</v>
      </c>
      <c r="X118" t="str">
        <f>Heroes!$J118</f>
        <v>AoE CC</v>
      </c>
      <c r="Y118">
        <f>IF($A$1="",0,MAX(IF(W118&lt;&gt;"",IFERROR(INDEX('Data-Input'!$B$164:$W$185,MATCH(W118,'Data-Input'!$A$164:$A$185,0),MATCH($K$1,'Data-Input'!$B$163:$W$163,0)),0),0),IF(AND(W118&lt;&gt;"",$L$1&lt;&gt;""),IFERROR(INDEX('Data-Input'!$B$164:$W$185,MATCH(W118,'Data-Input'!$A$164:$A$185,0),MATCH($L$1,'Data-Input'!$B$163:$W$163,0)),0),0),IF(X118&lt;&gt;"",IFERROR(INDEX('Data-Input'!$B$164:$W$185,MATCH(X118,'Data-Input'!$A$164:$A$185,0),MATCH($K$1,'Data-Input'!$B$163:$W$163,0)),0),0),IF(AND(X118&lt;&gt;"",$L$1&lt;&gt;""),IFERROR(INDEX('Data-Input'!$B$164:$W$185,MATCH(X118,'Data-Input'!$A$164:$A$185,0),MATCH($L$1,'Data-Input'!$B$163:$W$163,0)),0),0))*$M$1)</f>
        <v>0</v>
      </c>
      <c r="Z118">
        <f>IF($A$1="",0,SUMPRODUCT(('Data-Input'!$A$29:$A$128=A118)*('Data-Input'!$B$29:$B$128="Tag")*((('Data-Input'!$C$29:$C$128=$K$1)+('Data-Input'!$C$29:$C$128=$L$1))&gt;0)*('Data-Input'!$D$29:$D$128-'Data-Input'!$E$29:$E$128))+SUMPRODUCT(('Data-Input'!$A$29:$A$128=A118)*('Data-Input'!$B$29:$B$128="Hero")*('Data-Input'!$C$29:$C$128=$A$1)*('Data-Input'!$D$29:$D$128-'Data-Input'!$E$29:$E$128)))</f>
        <v>0</v>
      </c>
    </row>
    <row r="119" spans="1:26" ht="15" customHeight="1" x14ac:dyDescent="0.3">
      <c r="A119" t="str">
        <f>Heroes!$B119</f>
        <v>Joy</v>
      </c>
      <c r="B119" t="str">
        <f>Heroes!$C119</f>
        <v>Assassin</v>
      </c>
      <c r="C119">
        <f>Heroes!$D119</f>
        <v>0</v>
      </c>
      <c r="D119">
        <f>Heroes!$E119</f>
        <v>70</v>
      </c>
      <c r="E119">
        <f>Heroes!$F119</f>
        <v>10</v>
      </c>
      <c r="F119">
        <f>Heroes!$H119</f>
        <v>90</v>
      </c>
      <c r="G119" t="str">
        <f>Heroes!$K119</f>
        <v>Magic</v>
      </c>
      <c r="H119">
        <f>Heroes!$Q119</f>
        <v>2</v>
      </c>
      <c r="I119">
        <f>IFERROR(INDEX('Data-Input'!$B$19:$G$24,MATCH(B119,'Data-Input'!$A$19:$A$24,0),MATCH($B$1,'Data-Input'!$B$18:$G$18,0)),0)</f>
        <v>0</v>
      </c>
      <c r="J119">
        <f>IF(C119&lt;&gt;"",IFERROR(INDEX('Data-Input'!$B$19:$G$24,MATCH(C119,'Data-Input'!$A$19:$A$24,0),MATCH($B$1,'Data-Input'!$B$18:$G$18,0)),0),I119)</f>
        <v>0</v>
      </c>
      <c r="K119">
        <f t="shared" si="30"/>
        <v>0</v>
      </c>
      <c r="L119">
        <f t="shared" si="31"/>
        <v>4</v>
      </c>
      <c r="M119">
        <f t="shared" si="32"/>
        <v>90</v>
      </c>
      <c r="N119">
        <f t="shared" si="33"/>
        <v>27</v>
      </c>
      <c r="O119">
        <f t="shared" si="34"/>
        <v>3</v>
      </c>
      <c r="P119">
        <f t="shared" si="35"/>
        <v>6</v>
      </c>
      <c r="Q119">
        <f t="shared" si="36"/>
        <v>40</v>
      </c>
      <c r="R119">
        <f>IFERROR(INDEX('Data-Input'!$C$190:$C$1189,MATCH(A119&amp;"|"&amp;$A$1,'Data-Input'!$E$190:$E$1189,0)),Q119)</f>
        <v>40</v>
      </c>
      <c r="S119">
        <f t="shared" si="37"/>
        <v>40</v>
      </c>
      <c r="T119">
        <f t="shared" si="38"/>
        <v>40.000011899999997</v>
      </c>
      <c r="U119" t="str">
        <f>Heroes!$M119</f>
        <v>Jungle</v>
      </c>
      <c r="V119">
        <f t="shared" si="39"/>
        <v>-1000000000000000</v>
      </c>
      <c r="W119" t="str">
        <f>Heroes!$I119</f>
        <v>High Mobility</v>
      </c>
      <c r="X119" t="str">
        <f>Heroes!$J119</f>
        <v>Shield</v>
      </c>
      <c r="Y119">
        <f>IF($A$1="",0,MAX(IF(W119&lt;&gt;"",IFERROR(INDEX('Data-Input'!$B$164:$W$185,MATCH(W119,'Data-Input'!$A$164:$A$185,0),MATCH($K$1,'Data-Input'!$B$163:$W$163,0)),0),0),IF(AND(W119&lt;&gt;"",$L$1&lt;&gt;""),IFERROR(INDEX('Data-Input'!$B$164:$W$185,MATCH(W119,'Data-Input'!$A$164:$A$185,0),MATCH($L$1,'Data-Input'!$B$163:$W$163,0)),0),0),IF(X119&lt;&gt;"",IFERROR(INDEX('Data-Input'!$B$164:$W$185,MATCH(X119,'Data-Input'!$A$164:$A$185,0),MATCH($K$1,'Data-Input'!$B$163:$W$163,0)),0),0),IF(AND(X119&lt;&gt;"",$L$1&lt;&gt;""),IFERROR(INDEX('Data-Input'!$B$164:$W$185,MATCH(X119,'Data-Input'!$A$164:$A$185,0),MATCH($L$1,'Data-Input'!$B$163:$W$163,0)),0),0))*$M$1)</f>
        <v>0</v>
      </c>
      <c r="Z119">
        <f>IF($A$1="",0,SUMPRODUCT(('Data-Input'!$A$29:$A$128=A119)*('Data-Input'!$B$29:$B$128="Tag")*((('Data-Input'!$C$29:$C$128=$K$1)+('Data-Input'!$C$29:$C$128=$L$1))&gt;0)*('Data-Input'!$D$29:$D$128-'Data-Input'!$E$29:$E$128))+SUMPRODUCT(('Data-Input'!$A$29:$A$128=A119)*('Data-Input'!$B$29:$B$128="Hero")*('Data-Input'!$C$29:$C$128=$A$1)*('Data-Input'!$D$29:$D$128-'Data-Input'!$E$29:$E$128)))</f>
        <v>0</v>
      </c>
    </row>
    <row r="120" spans="1:26" ht="15" customHeight="1" x14ac:dyDescent="0.3">
      <c r="A120" t="str">
        <f>Heroes!$B120</f>
        <v>Novaria</v>
      </c>
      <c r="B120" t="str">
        <f>Heroes!$C120</f>
        <v>Mage</v>
      </c>
      <c r="C120">
        <f>Heroes!$D120</f>
        <v>0</v>
      </c>
      <c r="D120">
        <f>Heroes!$E120</f>
        <v>90</v>
      </c>
      <c r="E120">
        <f>Heroes!$F120</f>
        <v>30</v>
      </c>
      <c r="F120">
        <f>Heroes!$H120</f>
        <v>60</v>
      </c>
      <c r="G120" t="str">
        <f>Heroes!$K120</f>
        <v>Magic</v>
      </c>
      <c r="H120">
        <f>Heroes!$Q120</f>
        <v>3</v>
      </c>
      <c r="I120">
        <f>IFERROR(INDEX('Data-Input'!$B$19:$G$24,MATCH(B120,'Data-Input'!$A$19:$A$24,0),MATCH($B$1,'Data-Input'!$B$18:$G$18,0)),0)</f>
        <v>0</v>
      </c>
      <c r="J120">
        <f>IF(C120&lt;&gt;"",IFERROR(INDEX('Data-Input'!$B$19:$G$24,MATCH(C120,'Data-Input'!$A$19:$A$24,0),MATCH($B$1,'Data-Input'!$B$18:$G$18,0)),0),I120)</f>
        <v>0</v>
      </c>
      <c r="K120">
        <f t="shared" si="30"/>
        <v>0</v>
      </c>
      <c r="L120">
        <f t="shared" si="31"/>
        <v>6</v>
      </c>
      <c r="M120">
        <f t="shared" si="32"/>
        <v>60</v>
      </c>
      <c r="N120">
        <f t="shared" si="33"/>
        <v>18</v>
      </c>
      <c r="O120">
        <f t="shared" si="34"/>
        <v>3</v>
      </c>
      <c r="P120">
        <f t="shared" si="35"/>
        <v>9</v>
      </c>
      <c r="Q120">
        <f t="shared" si="36"/>
        <v>36</v>
      </c>
      <c r="R120">
        <f>IFERROR(INDEX('Data-Input'!$C$190:$C$1189,MATCH(A120&amp;"|"&amp;$A$1,'Data-Input'!$E$190:$E$1189,0)),Q120)</f>
        <v>36</v>
      </c>
      <c r="S120">
        <f t="shared" si="37"/>
        <v>36</v>
      </c>
      <c r="T120">
        <f t="shared" si="38"/>
        <v>36.000011999999998</v>
      </c>
      <c r="U120" t="str">
        <f>Heroes!$M120</f>
        <v>Mid Lane</v>
      </c>
      <c r="V120">
        <f t="shared" si="39"/>
        <v>-1000000000000000</v>
      </c>
      <c r="W120" t="str">
        <f>Heroes!$I120</f>
        <v>Vision</v>
      </c>
      <c r="X120" t="str">
        <f>Heroes!$J120</f>
        <v>Poke</v>
      </c>
      <c r="Y120">
        <f>IF($A$1="",0,MAX(IF(W120&lt;&gt;"",IFERROR(INDEX('Data-Input'!$B$164:$W$185,MATCH(W120,'Data-Input'!$A$164:$A$185,0),MATCH($K$1,'Data-Input'!$B$163:$W$163,0)),0),0),IF(AND(W120&lt;&gt;"",$L$1&lt;&gt;""),IFERROR(INDEX('Data-Input'!$B$164:$W$185,MATCH(W120,'Data-Input'!$A$164:$A$185,0),MATCH($L$1,'Data-Input'!$B$163:$W$163,0)),0),0),IF(X120&lt;&gt;"",IFERROR(INDEX('Data-Input'!$B$164:$W$185,MATCH(X120,'Data-Input'!$A$164:$A$185,0),MATCH($K$1,'Data-Input'!$B$163:$W$163,0)),0),0),IF(AND(X120&lt;&gt;"",$L$1&lt;&gt;""),IFERROR(INDEX('Data-Input'!$B$164:$W$185,MATCH(X120,'Data-Input'!$A$164:$A$185,0),MATCH($L$1,'Data-Input'!$B$163:$W$163,0)),0),0))*$M$1)</f>
        <v>0</v>
      </c>
      <c r="Z120">
        <f>IF($A$1="",0,SUMPRODUCT(('Data-Input'!$A$29:$A$128=A120)*('Data-Input'!$B$29:$B$128="Tag")*((('Data-Input'!$C$29:$C$128=$K$1)+('Data-Input'!$C$29:$C$128=$L$1))&gt;0)*('Data-Input'!$D$29:$D$128-'Data-Input'!$E$29:$E$128))+SUMPRODUCT(('Data-Input'!$A$29:$A$128=A120)*('Data-Input'!$B$29:$B$128="Hero")*('Data-Input'!$C$29:$C$128=$A$1)*('Data-Input'!$D$29:$D$128-'Data-Input'!$E$29:$E$128)))</f>
        <v>0</v>
      </c>
    </row>
    <row r="121" spans="1:26" ht="15" customHeight="1" x14ac:dyDescent="0.3">
      <c r="A121" t="str">
        <f>Heroes!$B121</f>
        <v>Arlott</v>
      </c>
      <c r="B121" t="str">
        <f>Heroes!$C121</f>
        <v>Fighter</v>
      </c>
      <c r="C121" t="str">
        <f>Heroes!$D121</f>
        <v>Assassin</v>
      </c>
      <c r="D121">
        <f>Heroes!$E121</f>
        <v>60</v>
      </c>
      <c r="E121">
        <f>Heroes!$F121</f>
        <v>50</v>
      </c>
      <c r="F121">
        <f>Heroes!$H121</f>
        <v>50</v>
      </c>
      <c r="G121" t="str">
        <f>Heroes!$K121</f>
        <v>Physical</v>
      </c>
      <c r="H121">
        <f>Heroes!$Q121</f>
        <v>3</v>
      </c>
      <c r="I121">
        <f>IFERROR(INDEX('Data-Input'!$B$19:$G$24,MATCH(B121,'Data-Input'!$A$19:$A$24,0),MATCH($B$1,'Data-Input'!$B$18:$G$18,0)),0)</f>
        <v>0</v>
      </c>
      <c r="J121">
        <f>IF(C121&lt;&gt;"",IFERROR(INDEX('Data-Input'!$B$19:$G$24,MATCH(C121,'Data-Input'!$A$19:$A$24,0),MATCH($B$1,'Data-Input'!$B$18:$G$18,0)),0),I121)</f>
        <v>0</v>
      </c>
      <c r="K121">
        <f t="shared" si="30"/>
        <v>0</v>
      </c>
      <c r="L121">
        <f t="shared" si="31"/>
        <v>5.5</v>
      </c>
      <c r="M121">
        <f t="shared" si="32"/>
        <v>50</v>
      </c>
      <c r="N121">
        <f t="shared" si="33"/>
        <v>15</v>
      </c>
      <c r="O121">
        <f t="shared" si="34"/>
        <v>3</v>
      </c>
      <c r="P121">
        <f t="shared" si="35"/>
        <v>9</v>
      </c>
      <c r="Q121">
        <f t="shared" si="36"/>
        <v>32.5</v>
      </c>
      <c r="R121">
        <f>IFERROR(INDEX('Data-Input'!$C$190:$C$1189,MATCH(A121&amp;"|"&amp;$A$1,'Data-Input'!$E$190:$E$1189,0)),Q121)</f>
        <v>32.5</v>
      </c>
      <c r="S121">
        <f t="shared" si="37"/>
        <v>32.5</v>
      </c>
      <c r="T121">
        <f t="shared" si="38"/>
        <v>32.500012099999999</v>
      </c>
      <c r="U121" t="str">
        <f>Heroes!$M121</f>
        <v>EXP Lane</v>
      </c>
      <c r="V121">
        <f t="shared" si="39"/>
        <v>-1000000000000000</v>
      </c>
      <c r="W121" t="str">
        <f>Heroes!$I121</f>
        <v>Dash/Blink</v>
      </c>
      <c r="X121" t="str">
        <f>Heroes!$J121</f>
        <v>Sustain</v>
      </c>
      <c r="Y121">
        <f>IF($A$1="",0,MAX(IF(W121&lt;&gt;"",IFERROR(INDEX('Data-Input'!$B$164:$W$185,MATCH(W121,'Data-Input'!$A$164:$A$185,0),MATCH($K$1,'Data-Input'!$B$163:$W$163,0)),0),0),IF(AND(W121&lt;&gt;"",$L$1&lt;&gt;""),IFERROR(INDEX('Data-Input'!$B$164:$W$185,MATCH(W121,'Data-Input'!$A$164:$A$185,0),MATCH($L$1,'Data-Input'!$B$163:$W$163,0)),0),0),IF(X121&lt;&gt;"",IFERROR(INDEX('Data-Input'!$B$164:$W$185,MATCH(X121,'Data-Input'!$A$164:$A$185,0),MATCH($K$1,'Data-Input'!$B$163:$W$163,0)),0),0),IF(AND(X121&lt;&gt;"",$L$1&lt;&gt;""),IFERROR(INDEX('Data-Input'!$B$164:$W$185,MATCH(X121,'Data-Input'!$A$164:$A$185,0),MATCH($L$1,'Data-Input'!$B$163:$W$163,0)),0),0))*$M$1)</f>
        <v>0</v>
      </c>
      <c r="Z121">
        <f>IF($A$1="",0,SUMPRODUCT(('Data-Input'!$A$29:$A$128=A121)*('Data-Input'!$B$29:$B$128="Tag")*((('Data-Input'!$C$29:$C$128=$K$1)+('Data-Input'!$C$29:$C$128=$L$1))&gt;0)*('Data-Input'!$D$29:$D$128-'Data-Input'!$E$29:$E$128))+SUMPRODUCT(('Data-Input'!$A$29:$A$128=A121)*('Data-Input'!$B$29:$B$128="Hero")*('Data-Input'!$C$29:$C$128=$A$1)*('Data-Input'!$D$29:$D$128-'Data-Input'!$E$29:$E$128)))</f>
        <v>0</v>
      </c>
    </row>
    <row r="122" spans="1:26" ht="15" customHeight="1" x14ac:dyDescent="0.3">
      <c r="A122" t="str">
        <f>Heroes!$B122</f>
        <v>Ixia</v>
      </c>
      <c r="B122" t="str">
        <f>Heroes!$C122</f>
        <v>Marksman</v>
      </c>
      <c r="C122">
        <f>Heroes!$D122</f>
        <v>0</v>
      </c>
      <c r="D122">
        <f>Heroes!$E122</f>
        <v>70</v>
      </c>
      <c r="E122">
        <f>Heroes!$F122</f>
        <v>50</v>
      </c>
      <c r="F122">
        <f>Heroes!$H122</f>
        <v>40</v>
      </c>
      <c r="G122" t="str">
        <f>Heroes!$K122</f>
        <v>Physical</v>
      </c>
      <c r="H122">
        <f>Heroes!$Q122</f>
        <v>5</v>
      </c>
      <c r="I122">
        <f>IFERROR(INDEX('Data-Input'!$B$19:$G$24,MATCH(B122,'Data-Input'!$A$19:$A$24,0),MATCH($B$1,'Data-Input'!$B$18:$G$18,0)),0)</f>
        <v>0</v>
      </c>
      <c r="J122">
        <f>IF(C122&lt;&gt;"",IFERROR(INDEX('Data-Input'!$B$19:$G$24,MATCH(C122,'Data-Input'!$A$19:$A$24,0),MATCH($B$1,'Data-Input'!$B$18:$G$18,0)),0),I122)</f>
        <v>0</v>
      </c>
      <c r="K122">
        <f t="shared" si="30"/>
        <v>0</v>
      </c>
      <c r="L122">
        <f t="shared" si="31"/>
        <v>6</v>
      </c>
      <c r="M122">
        <f t="shared" si="32"/>
        <v>40</v>
      </c>
      <c r="N122">
        <f t="shared" si="33"/>
        <v>12</v>
      </c>
      <c r="O122">
        <f t="shared" si="34"/>
        <v>3</v>
      </c>
      <c r="P122">
        <f t="shared" si="35"/>
        <v>15</v>
      </c>
      <c r="Q122">
        <f t="shared" si="36"/>
        <v>36</v>
      </c>
      <c r="R122">
        <f>IFERROR(INDEX('Data-Input'!$C$190:$C$1189,MATCH(A122&amp;"|"&amp;$A$1,'Data-Input'!$E$190:$E$1189,0)),Q122)</f>
        <v>36</v>
      </c>
      <c r="S122">
        <f t="shared" si="37"/>
        <v>36</v>
      </c>
      <c r="T122">
        <f t="shared" si="38"/>
        <v>36.0000122</v>
      </c>
      <c r="U122" t="str">
        <f>Heroes!$M122</f>
        <v>Gold Lane</v>
      </c>
      <c r="V122">
        <f t="shared" si="39"/>
        <v>-1000000000000000</v>
      </c>
      <c r="W122" t="str">
        <f>Heroes!$I122</f>
        <v>AoE Damage</v>
      </c>
      <c r="X122" t="str">
        <f>Heroes!$J122</f>
        <v>DPS</v>
      </c>
      <c r="Y122">
        <f>IF($A$1="",0,MAX(IF(W122&lt;&gt;"",IFERROR(INDEX('Data-Input'!$B$164:$W$185,MATCH(W122,'Data-Input'!$A$164:$A$185,0),MATCH($K$1,'Data-Input'!$B$163:$W$163,0)),0),0),IF(AND(W122&lt;&gt;"",$L$1&lt;&gt;""),IFERROR(INDEX('Data-Input'!$B$164:$W$185,MATCH(W122,'Data-Input'!$A$164:$A$185,0),MATCH($L$1,'Data-Input'!$B$163:$W$163,0)),0),0),IF(X122&lt;&gt;"",IFERROR(INDEX('Data-Input'!$B$164:$W$185,MATCH(X122,'Data-Input'!$A$164:$A$185,0),MATCH($K$1,'Data-Input'!$B$163:$W$163,0)),0),0),IF(AND(X122&lt;&gt;"",$L$1&lt;&gt;""),IFERROR(INDEX('Data-Input'!$B$164:$W$185,MATCH(X122,'Data-Input'!$A$164:$A$185,0),MATCH($L$1,'Data-Input'!$B$163:$W$163,0)),0),0))*$M$1)</f>
        <v>0</v>
      </c>
      <c r="Z122">
        <f>IF($A$1="",0,SUMPRODUCT(('Data-Input'!$A$29:$A$128=A122)*('Data-Input'!$B$29:$B$128="Tag")*((('Data-Input'!$C$29:$C$128=$K$1)+('Data-Input'!$C$29:$C$128=$L$1))&gt;0)*('Data-Input'!$D$29:$D$128-'Data-Input'!$E$29:$E$128))+SUMPRODUCT(('Data-Input'!$A$29:$A$128=A122)*('Data-Input'!$B$29:$B$128="Hero")*('Data-Input'!$C$29:$C$128=$A$1)*('Data-Input'!$D$29:$D$128-'Data-Input'!$E$29:$E$128)))</f>
        <v>0</v>
      </c>
    </row>
    <row r="123" spans="1:26" ht="15" customHeight="1" x14ac:dyDescent="0.3">
      <c r="A123" t="str">
        <f>Heroes!$B123</f>
        <v>Nolan</v>
      </c>
      <c r="B123" t="str">
        <f>Heroes!$C123</f>
        <v>Assassin</v>
      </c>
      <c r="C123">
        <f>Heroes!$D123</f>
        <v>0</v>
      </c>
      <c r="D123">
        <f>Heroes!$E123</f>
        <v>60</v>
      </c>
      <c r="E123">
        <f>Heroes!$F123</f>
        <v>20</v>
      </c>
      <c r="F123">
        <f>Heroes!$H123</f>
        <v>60</v>
      </c>
      <c r="G123" t="str">
        <f>Heroes!$K123</f>
        <v>Physical</v>
      </c>
      <c r="H123">
        <f>Heroes!$Q123</f>
        <v>2</v>
      </c>
      <c r="I123">
        <f>IFERROR(INDEX('Data-Input'!$B$19:$G$24,MATCH(B123,'Data-Input'!$A$19:$A$24,0),MATCH($B$1,'Data-Input'!$B$18:$G$18,0)),0)</f>
        <v>0</v>
      </c>
      <c r="J123">
        <f>IF(C123&lt;&gt;"",IFERROR(INDEX('Data-Input'!$B$19:$G$24,MATCH(C123,'Data-Input'!$A$19:$A$24,0),MATCH($B$1,'Data-Input'!$B$18:$G$18,0)),0),I123)</f>
        <v>0</v>
      </c>
      <c r="K123">
        <f t="shared" si="30"/>
        <v>0</v>
      </c>
      <c r="L123">
        <f t="shared" si="31"/>
        <v>4</v>
      </c>
      <c r="M123">
        <f t="shared" si="32"/>
        <v>60</v>
      </c>
      <c r="N123">
        <f t="shared" si="33"/>
        <v>18</v>
      </c>
      <c r="O123">
        <f t="shared" si="34"/>
        <v>3</v>
      </c>
      <c r="P123">
        <f t="shared" si="35"/>
        <v>6</v>
      </c>
      <c r="Q123">
        <f t="shared" si="36"/>
        <v>31</v>
      </c>
      <c r="R123">
        <f>IFERROR(INDEX('Data-Input'!$C$190:$C$1189,MATCH(A123&amp;"|"&amp;$A$1,'Data-Input'!$E$190:$E$1189,0)),Q123)</f>
        <v>31</v>
      </c>
      <c r="S123">
        <f t="shared" si="37"/>
        <v>31</v>
      </c>
      <c r="T123">
        <f t="shared" si="38"/>
        <v>31.000012300000002</v>
      </c>
      <c r="U123" t="str">
        <f>Heroes!$M123</f>
        <v>Jungle</v>
      </c>
      <c r="V123">
        <f t="shared" si="39"/>
        <v>-1000000000000000</v>
      </c>
      <c r="W123" t="str">
        <f>Heroes!$I123</f>
        <v>Dash/Blink</v>
      </c>
      <c r="X123" t="str">
        <f>Heroes!$J123</f>
        <v>Burst</v>
      </c>
      <c r="Y123">
        <f>IF($A$1="",0,MAX(IF(W123&lt;&gt;"",IFERROR(INDEX('Data-Input'!$B$164:$W$185,MATCH(W123,'Data-Input'!$A$164:$A$185,0),MATCH($K$1,'Data-Input'!$B$163:$W$163,0)),0),0),IF(AND(W123&lt;&gt;"",$L$1&lt;&gt;""),IFERROR(INDEX('Data-Input'!$B$164:$W$185,MATCH(W123,'Data-Input'!$A$164:$A$185,0),MATCH($L$1,'Data-Input'!$B$163:$W$163,0)),0),0),IF(X123&lt;&gt;"",IFERROR(INDEX('Data-Input'!$B$164:$W$185,MATCH(X123,'Data-Input'!$A$164:$A$185,0),MATCH($K$1,'Data-Input'!$B$163:$W$163,0)),0),0),IF(AND(X123&lt;&gt;"",$L$1&lt;&gt;""),IFERROR(INDEX('Data-Input'!$B$164:$W$185,MATCH(X123,'Data-Input'!$A$164:$A$185,0),MATCH($L$1,'Data-Input'!$B$163:$W$163,0)),0),0))*$M$1)</f>
        <v>0</v>
      </c>
      <c r="Z123">
        <f>IF($A$1="",0,SUMPRODUCT(('Data-Input'!$A$29:$A$128=A123)*('Data-Input'!$B$29:$B$128="Tag")*((('Data-Input'!$C$29:$C$128=$K$1)+('Data-Input'!$C$29:$C$128=$L$1))&gt;0)*('Data-Input'!$D$29:$D$128-'Data-Input'!$E$29:$E$128))+SUMPRODUCT(('Data-Input'!$A$29:$A$128=A123)*('Data-Input'!$B$29:$B$128="Hero")*('Data-Input'!$C$29:$C$128=$A$1)*('Data-Input'!$D$29:$D$128-'Data-Input'!$E$29:$E$128)))</f>
        <v>0</v>
      </c>
    </row>
    <row r="124" spans="1:26" ht="15" customHeight="1" x14ac:dyDescent="0.3">
      <c r="A124" t="str">
        <f>Heroes!$B124</f>
        <v>Cici</v>
      </c>
      <c r="B124" t="str">
        <f>Heroes!$C124</f>
        <v>Fighter</v>
      </c>
      <c r="C124">
        <f>Heroes!$D124</f>
        <v>0</v>
      </c>
      <c r="D124">
        <f>Heroes!$E124</f>
        <v>60</v>
      </c>
      <c r="E124">
        <f>Heroes!$F124</f>
        <v>30</v>
      </c>
      <c r="F124">
        <f>Heroes!$H124</f>
        <v>20</v>
      </c>
      <c r="G124" t="str">
        <f>Heroes!$K124</f>
        <v>Physical</v>
      </c>
      <c r="H124">
        <f>Heroes!$Q124</f>
        <v>3</v>
      </c>
      <c r="I124">
        <f>IFERROR(INDEX('Data-Input'!$B$19:$G$24,MATCH(B124,'Data-Input'!$A$19:$A$24,0),MATCH($B$1,'Data-Input'!$B$18:$G$18,0)),0)</f>
        <v>0</v>
      </c>
      <c r="J124">
        <f>IF(C124&lt;&gt;"",IFERROR(INDEX('Data-Input'!$B$19:$G$24,MATCH(C124,'Data-Input'!$A$19:$A$24,0),MATCH($B$1,'Data-Input'!$B$18:$G$18,0)),0),I124)</f>
        <v>0</v>
      </c>
      <c r="K124">
        <f t="shared" si="30"/>
        <v>0</v>
      </c>
      <c r="L124">
        <f t="shared" si="31"/>
        <v>4.5</v>
      </c>
      <c r="M124">
        <f t="shared" si="32"/>
        <v>20</v>
      </c>
      <c r="N124">
        <f t="shared" si="33"/>
        <v>0</v>
      </c>
      <c r="O124">
        <f t="shared" si="34"/>
        <v>3</v>
      </c>
      <c r="P124">
        <f t="shared" si="35"/>
        <v>9</v>
      </c>
      <c r="Q124">
        <f t="shared" si="36"/>
        <v>16.5</v>
      </c>
      <c r="R124">
        <f>IFERROR(INDEX('Data-Input'!$C$190:$C$1189,MATCH(A124&amp;"|"&amp;$A$1,'Data-Input'!$E$190:$E$1189,0)),Q124)</f>
        <v>16.5</v>
      </c>
      <c r="S124">
        <f t="shared" si="37"/>
        <v>16.5</v>
      </c>
      <c r="T124">
        <f t="shared" si="38"/>
        <v>16.500012399999999</v>
      </c>
      <c r="U124" t="str">
        <f>Heroes!$M124</f>
        <v>EXP Lane</v>
      </c>
      <c r="V124">
        <f t="shared" si="39"/>
        <v>-1000000000000000</v>
      </c>
      <c r="W124" t="str">
        <f>Heroes!$I124</f>
        <v>Sustain</v>
      </c>
      <c r="X124" t="str">
        <f>Heroes!$J124</f>
        <v>High Mobility</v>
      </c>
      <c r="Y124">
        <f>IF($A$1="",0,MAX(IF(W124&lt;&gt;"",IFERROR(INDEX('Data-Input'!$B$164:$W$185,MATCH(W124,'Data-Input'!$A$164:$A$185,0),MATCH($K$1,'Data-Input'!$B$163:$W$163,0)),0),0),IF(AND(W124&lt;&gt;"",$L$1&lt;&gt;""),IFERROR(INDEX('Data-Input'!$B$164:$W$185,MATCH(W124,'Data-Input'!$A$164:$A$185,0),MATCH($L$1,'Data-Input'!$B$163:$W$163,0)),0),0),IF(X124&lt;&gt;"",IFERROR(INDEX('Data-Input'!$B$164:$W$185,MATCH(X124,'Data-Input'!$A$164:$A$185,0),MATCH($K$1,'Data-Input'!$B$163:$W$163,0)),0),0),IF(AND(X124&lt;&gt;"",$L$1&lt;&gt;""),IFERROR(INDEX('Data-Input'!$B$164:$W$185,MATCH(X124,'Data-Input'!$A$164:$A$185,0),MATCH($L$1,'Data-Input'!$B$163:$W$163,0)),0),0))*$M$1)</f>
        <v>0</v>
      </c>
      <c r="Z124">
        <f>IF($A$1="",0,SUMPRODUCT(('Data-Input'!$A$29:$A$128=A124)*('Data-Input'!$B$29:$B$128="Tag")*((('Data-Input'!$C$29:$C$128=$K$1)+('Data-Input'!$C$29:$C$128=$L$1))&gt;0)*('Data-Input'!$D$29:$D$128-'Data-Input'!$E$29:$E$128))+SUMPRODUCT(('Data-Input'!$A$29:$A$128=A124)*('Data-Input'!$B$29:$B$128="Hero")*('Data-Input'!$C$29:$C$128=$A$1)*('Data-Input'!$D$29:$D$128-'Data-Input'!$E$29:$E$128)))</f>
        <v>0</v>
      </c>
    </row>
    <row r="125" spans="1:26" ht="15" customHeight="1" x14ac:dyDescent="0.3">
      <c r="A125" t="str">
        <f>Heroes!$B125</f>
        <v>Chip</v>
      </c>
      <c r="B125" t="str">
        <f>Heroes!$C125</f>
        <v>Support</v>
      </c>
      <c r="C125" t="str">
        <f>Heroes!$D125</f>
        <v>Tank</v>
      </c>
      <c r="D125">
        <f>Heroes!$E125</f>
        <v>20</v>
      </c>
      <c r="E125">
        <f>Heroes!$F125</f>
        <v>60</v>
      </c>
      <c r="F125">
        <f>Heroes!$H125</f>
        <v>60</v>
      </c>
      <c r="G125" t="str">
        <f>Heroes!$K125</f>
        <v>Magic</v>
      </c>
      <c r="H125">
        <f>Heroes!$Q125</f>
        <v>2</v>
      </c>
      <c r="I125">
        <f>IFERROR(INDEX('Data-Input'!$B$19:$G$24,MATCH(B125,'Data-Input'!$A$19:$A$24,0),MATCH($B$1,'Data-Input'!$B$18:$G$18,0)),0)</f>
        <v>0</v>
      </c>
      <c r="J125">
        <f>IF(C125&lt;&gt;"",IFERROR(INDEX('Data-Input'!$B$19:$G$24,MATCH(C125,'Data-Input'!$A$19:$A$24,0),MATCH($B$1,'Data-Input'!$B$18:$G$18,0)),0),I125)</f>
        <v>0</v>
      </c>
      <c r="K125">
        <f t="shared" si="30"/>
        <v>0</v>
      </c>
      <c r="L125">
        <f t="shared" si="31"/>
        <v>4</v>
      </c>
      <c r="M125">
        <f t="shared" si="32"/>
        <v>60</v>
      </c>
      <c r="N125">
        <f t="shared" si="33"/>
        <v>18</v>
      </c>
      <c r="O125">
        <f t="shared" si="34"/>
        <v>3</v>
      </c>
      <c r="P125">
        <f t="shared" si="35"/>
        <v>6</v>
      </c>
      <c r="Q125">
        <f t="shared" si="36"/>
        <v>31</v>
      </c>
      <c r="R125">
        <f>IFERROR(INDEX('Data-Input'!$C$190:$C$1189,MATCH(A125&amp;"|"&amp;$A$1,'Data-Input'!$E$190:$E$1189,0)),Q125)</f>
        <v>31</v>
      </c>
      <c r="S125">
        <f t="shared" si="37"/>
        <v>31</v>
      </c>
      <c r="T125">
        <f t="shared" si="38"/>
        <v>31.0000125</v>
      </c>
      <c r="U125" t="str">
        <f>Heroes!$M125</f>
        <v>Roaming</v>
      </c>
      <c r="V125">
        <f t="shared" si="39"/>
        <v>-1000000000000000</v>
      </c>
      <c r="W125" t="str">
        <f>Heroes!$I125</f>
        <v>Global Dive</v>
      </c>
      <c r="X125" t="str">
        <f>Heroes!$J125</f>
        <v>Hard CC</v>
      </c>
      <c r="Y125">
        <f>IF($A$1="",0,MAX(IF(W125&lt;&gt;"",IFERROR(INDEX('Data-Input'!$B$164:$W$185,MATCH(W125,'Data-Input'!$A$164:$A$185,0),MATCH($K$1,'Data-Input'!$B$163:$W$163,0)),0),0),IF(AND(W125&lt;&gt;"",$L$1&lt;&gt;""),IFERROR(INDEX('Data-Input'!$B$164:$W$185,MATCH(W125,'Data-Input'!$A$164:$A$185,0),MATCH($L$1,'Data-Input'!$B$163:$W$163,0)),0),0),IF(X125&lt;&gt;"",IFERROR(INDEX('Data-Input'!$B$164:$W$185,MATCH(X125,'Data-Input'!$A$164:$A$185,0),MATCH($K$1,'Data-Input'!$B$163:$W$163,0)),0),0),IF(AND(X125&lt;&gt;"",$L$1&lt;&gt;""),IFERROR(INDEX('Data-Input'!$B$164:$W$185,MATCH(X125,'Data-Input'!$A$164:$A$185,0),MATCH($L$1,'Data-Input'!$B$163:$W$163,0)),0),0))*$M$1)</f>
        <v>0</v>
      </c>
      <c r="Z125">
        <f>IF($A$1="",0,SUMPRODUCT(('Data-Input'!$A$29:$A$128=A125)*('Data-Input'!$B$29:$B$128="Tag")*((('Data-Input'!$C$29:$C$128=$K$1)+('Data-Input'!$C$29:$C$128=$L$1))&gt;0)*('Data-Input'!$D$29:$D$128-'Data-Input'!$E$29:$E$128))+SUMPRODUCT(('Data-Input'!$A$29:$A$128=A125)*('Data-Input'!$B$29:$B$128="Hero")*('Data-Input'!$C$29:$C$128=$A$1)*('Data-Input'!$D$29:$D$128-'Data-Input'!$E$29:$E$128)))</f>
        <v>0</v>
      </c>
    </row>
    <row r="126" spans="1:26" ht="15" customHeight="1" x14ac:dyDescent="0.3">
      <c r="A126" t="str">
        <f>Heroes!$B126</f>
        <v>Zhuxin</v>
      </c>
      <c r="B126" t="str">
        <f>Heroes!$C126</f>
        <v>Mage</v>
      </c>
      <c r="C126">
        <f>Heroes!$D126</f>
        <v>0</v>
      </c>
      <c r="D126">
        <f>Heroes!$E126</f>
        <v>80</v>
      </c>
      <c r="E126">
        <f>Heroes!$F126</f>
        <v>80</v>
      </c>
      <c r="F126">
        <f>Heroes!$H126</f>
        <v>40</v>
      </c>
      <c r="G126" t="str">
        <f>Heroes!$K126</f>
        <v>Magic</v>
      </c>
      <c r="H126">
        <f>Heroes!$Q126</f>
        <v>3</v>
      </c>
      <c r="I126">
        <f>IFERROR(INDEX('Data-Input'!$B$19:$G$24,MATCH(B126,'Data-Input'!$A$19:$A$24,0),MATCH($B$1,'Data-Input'!$B$18:$G$18,0)),0)</f>
        <v>0</v>
      </c>
      <c r="J126">
        <f>IF(C126&lt;&gt;"",IFERROR(INDEX('Data-Input'!$B$19:$G$24,MATCH(C126,'Data-Input'!$A$19:$A$24,0),MATCH($B$1,'Data-Input'!$B$18:$G$18,0)),0),I126)</f>
        <v>0</v>
      </c>
      <c r="K126">
        <f t="shared" si="30"/>
        <v>0</v>
      </c>
      <c r="L126">
        <f t="shared" si="31"/>
        <v>8</v>
      </c>
      <c r="M126">
        <f t="shared" si="32"/>
        <v>40</v>
      </c>
      <c r="N126">
        <f t="shared" si="33"/>
        <v>12</v>
      </c>
      <c r="O126">
        <f t="shared" si="34"/>
        <v>3</v>
      </c>
      <c r="P126">
        <f t="shared" si="35"/>
        <v>9</v>
      </c>
      <c r="Q126">
        <f t="shared" si="36"/>
        <v>32</v>
      </c>
      <c r="R126">
        <f>IFERROR(INDEX('Data-Input'!$C$190:$C$1189,MATCH(A126&amp;"|"&amp;$A$1,'Data-Input'!$E$190:$E$1189,0)),Q126)</f>
        <v>32</v>
      </c>
      <c r="S126">
        <f t="shared" si="37"/>
        <v>32</v>
      </c>
      <c r="T126">
        <f t="shared" si="38"/>
        <v>32.000012599999998</v>
      </c>
      <c r="U126" t="str">
        <f>Heroes!$M126</f>
        <v>Mid Lane</v>
      </c>
      <c r="V126">
        <f t="shared" si="39"/>
        <v>-1000000000000000</v>
      </c>
      <c r="W126" t="str">
        <f>Heroes!$I126</f>
        <v>AoE CC</v>
      </c>
      <c r="X126" t="str">
        <f>Heroes!$J126</f>
        <v>Poke</v>
      </c>
      <c r="Y126">
        <f>IF($A$1="",0,MAX(IF(W126&lt;&gt;"",IFERROR(INDEX('Data-Input'!$B$164:$W$185,MATCH(W126,'Data-Input'!$A$164:$A$185,0),MATCH($K$1,'Data-Input'!$B$163:$W$163,0)),0),0),IF(AND(W126&lt;&gt;"",$L$1&lt;&gt;""),IFERROR(INDEX('Data-Input'!$B$164:$W$185,MATCH(W126,'Data-Input'!$A$164:$A$185,0),MATCH($L$1,'Data-Input'!$B$163:$W$163,0)),0),0),IF(X126&lt;&gt;"",IFERROR(INDEX('Data-Input'!$B$164:$W$185,MATCH(X126,'Data-Input'!$A$164:$A$185,0),MATCH($K$1,'Data-Input'!$B$163:$W$163,0)),0),0),IF(AND(X126&lt;&gt;"",$L$1&lt;&gt;""),IFERROR(INDEX('Data-Input'!$B$164:$W$185,MATCH(X126,'Data-Input'!$A$164:$A$185,0),MATCH($L$1,'Data-Input'!$B$163:$W$163,0)),0),0))*$M$1)</f>
        <v>0</v>
      </c>
      <c r="Z126">
        <f>IF($A$1="",0,SUMPRODUCT(('Data-Input'!$A$29:$A$128=A126)*('Data-Input'!$B$29:$B$128="Tag")*((('Data-Input'!$C$29:$C$128=$K$1)+('Data-Input'!$C$29:$C$128=$L$1))&gt;0)*('Data-Input'!$D$29:$D$128-'Data-Input'!$E$29:$E$128))+SUMPRODUCT(('Data-Input'!$A$29:$A$128=A126)*('Data-Input'!$B$29:$B$128="Hero")*('Data-Input'!$C$29:$C$128=$A$1)*('Data-Input'!$D$29:$D$128-'Data-Input'!$E$29:$E$128)))</f>
        <v>0</v>
      </c>
    </row>
    <row r="127" spans="1:26" ht="15" customHeight="1" x14ac:dyDescent="0.3">
      <c r="A127" t="str">
        <f>Heroes!$B127</f>
        <v>Suyou</v>
      </c>
      <c r="B127" t="str">
        <f>Heroes!$C127</f>
        <v>Assassin</v>
      </c>
      <c r="C127" t="str">
        <f>Heroes!$D127</f>
        <v>Fighter</v>
      </c>
      <c r="D127">
        <f>Heroes!$E127</f>
        <v>60</v>
      </c>
      <c r="E127">
        <f>Heroes!$F127</f>
        <v>50</v>
      </c>
      <c r="F127">
        <f>Heroes!$H127</f>
        <v>50</v>
      </c>
      <c r="G127" t="str">
        <f>Heroes!$K127</f>
        <v>Physical</v>
      </c>
      <c r="H127">
        <f>Heroes!$Q127</f>
        <v>2</v>
      </c>
      <c r="I127">
        <f>IFERROR(INDEX('Data-Input'!$B$19:$G$24,MATCH(B127,'Data-Input'!$A$19:$A$24,0),MATCH($B$1,'Data-Input'!$B$18:$G$18,0)),0)</f>
        <v>0</v>
      </c>
      <c r="J127">
        <f>IF(C127&lt;&gt;"",IFERROR(INDEX('Data-Input'!$B$19:$G$24,MATCH(C127,'Data-Input'!$A$19:$A$24,0),MATCH($B$1,'Data-Input'!$B$18:$G$18,0)),0),I127)</f>
        <v>0</v>
      </c>
      <c r="K127">
        <f t="shared" si="30"/>
        <v>0</v>
      </c>
      <c r="L127">
        <f t="shared" si="31"/>
        <v>5.5</v>
      </c>
      <c r="M127">
        <f t="shared" si="32"/>
        <v>50</v>
      </c>
      <c r="N127">
        <f t="shared" si="33"/>
        <v>15</v>
      </c>
      <c r="O127">
        <f t="shared" si="34"/>
        <v>3</v>
      </c>
      <c r="P127">
        <f t="shared" si="35"/>
        <v>6</v>
      </c>
      <c r="Q127">
        <f t="shared" si="36"/>
        <v>29.5</v>
      </c>
      <c r="R127">
        <f>IFERROR(INDEX('Data-Input'!$C$190:$C$1189,MATCH(A127&amp;"|"&amp;$A$1,'Data-Input'!$E$190:$E$1189,0)),Q127)</f>
        <v>29.5</v>
      </c>
      <c r="S127">
        <f t="shared" si="37"/>
        <v>29.5</v>
      </c>
      <c r="T127">
        <f t="shared" si="38"/>
        <v>29.500012699999999</v>
      </c>
      <c r="U127" t="str">
        <f>Heroes!$M127</f>
        <v>Jungle</v>
      </c>
      <c r="V127">
        <f t="shared" si="39"/>
        <v>-1000000000000000</v>
      </c>
      <c r="W127" t="str">
        <f>Heroes!$I127</f>
        <v>Burst</v>
      </c>
      <c r="X127" t="str">
        <f>Heroes!$J127</f>
        <v>Damage Reduction</v>
      </c>
      <c r="Y127">
        <f>IF($A$1="",0,MAX(IF(W127&lt;&gt;"",IFERROR(INDEX('Data-Input'!$B$164:$W$185,MATCH(W127,'Data-Input'!$A$164:$A$185,0),MATCH($K$1,'Data-Input'!$B$163:$W$163,0)),0),0),IF(AND(W127&lt;&gt;"",$L$1&lt;&gt;""),IFERROR(INDEX('Data-Input'!$B$164:$W$185,MATCH(W127,'Data-Input'!$A$164:$A$185,0),MATCH($L$1,'Data-Input'!$B$163:$W$163,0)),0),0),IF(X127&lt;&gt;"",IFERROR(INDEX('Data-Input'!$B$164:$W$185,MATCH(X127,'Data-Input'!$A$164:$A$185,0),MATCH($K$1,'Data-Input'!$B$163:$W$163,0)),0),0),IF(AND(X127&lt;&gt;"",$L$1&lt;&gt;""),IFERROR(INDEX('Data-Input'!$B$164:$W$185,MATCH(X127,'Data-Input'!$A$164:$A$185,0),MATCH($L$1,'Data-Input'!$B$163:$W$163,0)),0),0))*$M$1)</f>
        <v>0</v>
      </c>
      <c r="Z127">
        <f>IF($A$1="",0,SUMPRODUCT(('Data-Input'!$A$29:$A$128=A127)*('Data-Input'!$B$29:$B$128="Tag")*((('Data-Input'!$C$29:$C$128=$K$1)+('Data-Input'!$C$29:$C$128=$L$1))&gt;0)*('Data-Input'!$D$29:$D$128-'Data-Input'!$E$29:$E$128))+SUMPRODUCT(('Data-Input'!$A$29:$A$128=A127)*('Data-Input'!$B$29:$B$128="Hero")*('Data-Input'!$C$29:$C$128=$A$1)*('Data-Input'!$D$29:$D$128-'Data-Input'!$E$29:$E$128)))</f>
        <v>0</v>
      </c>
    </row>
    <row r="128" spans="1:26" ht="15" customHeight="1" x14ac:dyDescent="0.3">
      <c r="A128" t="str">
        <f>Heroes!$B128</f>
        <v>Lukas</v>
      </c>
      <c r="B128" t="str">
        <f>Heroes!$C128</f>
        <v>Fighter</v>
      </c>
      <c r="C128">
        <f>Heroes!$D128</f>
        <v>0</v>
      </c>
      <c r="D128">
        <f>Heroes!$E128</f>
        <v>50</v>
      </c>
      <c r="E128">
        <f>Heroes!$F128</f>
        <v>60</v>
      </c>
      <c r="F128">
        <f>Heroes!$H128</f>
        <v>30</v>
      </c>
      <c r="G128" t="str">
        <f>Heroes!$K128</f>
        <v>Physical</v>
      </c>
      <c r="H128">
        <f>Heroes!$Q128</f>
        <v>3</v>
      </c>
      <c r="I128">
        <f>IFERROR(INDEX('Data-Input'!$B$19:$G$24,MATCH(B128,'Data-Input'!$A$19:$A$24,0),MATCH($B$1,'Data-Input'!$B$18:$G$18,0)),0)</f>
        <v>0</v>
      </c>
      <c r="J128">
        <f>IF(C128&lt;&gt;"",IFERROR(INDEX('Data-Input'!$B$19:$G$24,MATCH(C128,'Data-Input'!$A$19:$A$24,0),MATCH($B$1,'Data-Input'!$B$18:$G$18,0)),0),I128)</f>
        <v>0</v>
      </c>
      <c r="K128">
        <f t="shared" si="30"/>
        <v>0</v>
      </c>
      <c r="L128">
        <f t="shared" si="31"/>
        <v>5.5</v>
      </c>
      <c r="M128">
        <f t="shared" si="32"/>
        <v>30</v>
      </c>
      <c r="N128">
        <f t="shared" si="33"/>
        <v>9</v>
      </c>
      <c r="O128">
        <f t="shared" si="34"/>
        <v>3</v>
      </c>
      <c r="P128">
        <f t="shared" si="35"/>
        <v>9</v>
      </c>
      <c r="Q128">
        <f t="shared" si="36"/>
        <v>26.5</v>
      </c>
      <c r="R128">
        <f>IFERROR(INDEX('Data-Input'!$C$190:$C$1189,MATCH(A128&amp;"|"&amp;$A$1,'Data-Input'!$E$190:$E$1189,0)),Q128)</f>
        <v>26.5</v>
      </c>
      <c r="S128">
        <f t="shared" si="37"/>
        <v>26.5</v>
      </c>
      <c r="T128">
        <f t="shared" si="38"/>
        <v>26.5000128</v>
      </c>
      <c r="U128" t="str">
        <f>Heroes!$M128</f>
        <v>EXP Lane</v>
      </c>
      <c r="V128">
        <f t="shared" si="39"/>
        <v>-1000000000000000</v>
      </c>
      <c r="W128" t="str">
        <f>Heroes!$I128</f>
        <v>DPS</v>
      </c>
      <c r="X128" t="str">
        <f>Heroes!$J128</f>
        <v>Sustain</v>
      </c>
      <c r="Y128">
        <f>IF($A$1="",0,MAX(IF(W128&lt;&gt;"",IFERROR(INDEX('Data-Input'!$B$164:$W$185,MATCH(W128,'Data-Input'!$A$164:$A$185,0),MATCH($K$1,'Data-Input'!$B$163:$W$163,0)),0),0),IF(AND(W128&lt;&gt;"",$L$1&lt;&gt;""),IFERROR(INDEX('Data-Input'!$B$164:$W$185,MATCH(W128,'Data-Input'!$A$164:$A$185,0),MATCH($L$1,'Data-Input'!$B$163:$W$163,0)),0),0),IF(X128&lt;&gt;"",IFERROR(INDEX('Data-Input'!$B$164:$W$185,MATCH(X128,'Data-Input'!$A$164:$A$185,0),MATCH($K$1,'Data-Input'!$B$163:$W$163,0)),0),0),IF(AND(X128&lt;&gt;"",$L$1&lt;&gt;""),IFERROR(INDEX('Data-Input'!$B$164:$W$185,MATCH(X128,'Data-Input'!$A$164:$A$185,0),MATCH($L$1,'Data-Input'!$B$163:$W$163,0)),0),0))*$M$1)</f>
        <v>0</v>
      </c>
      <c r="Z128">
        <f>IF($A$1="",0,SUMPRODUCT(('Data-Input'!$A$29:$A$128=A128)*('Data-Input'!$B$29:$B$128="Tag")*((('Data-Input'!$C$29:$C$128=$K$1)+('Data-Input'!$C$29:$C$128=$L$1))&gt;0)*('Data-Input'!$D$29:$D$128-'Data-Input'!$E$29:$E$128))+SUMPRODUCT(('Data-Input'!$A$29:$A$128=A128)*('Data-Input'!$B$29:$B$128="Hero")*('Data-Input'!$C$29:$C$128=$A$1)*('Data-Input'!$D$29:$D$128-'Data-Input'!$E$29:$E$128)))</f>
        <v>0</v>
      </c>
    </row>
    <row r="129" spans="1:26" ht="15" customHeight="1" x14ac:dyDescent="0.3">
      <c r="A129" t="str">
        <f>Heroes!$B129</f>
        <v>Kalea</v>
      </c>
      <c r="B129" t="str">
        <f>Heroes!$C129</f>
        <v>Support</v>
      </c>
      <c r="C129" t="str">
        <f>Heroes!$D129</f>
        <v>Fighter</v>
      </c>
      <c r="D129">
        <f>Heroes!$E129</f>
        <v>30</v>
      </c>
      <c r="E129">
        <f>Heroes!$F129</f>
        <v>90</v>
      </c>
      <c r="F129">
        <f>Heroes!$H129</f>
        <v>40</v>
      </c>
      <c r="G129" t="str">
        <f>Heroes!$K129</f>
        <v>Physical</v>
      </c>
      <c r="H129">
        <f>Heroes!$Q129</f>
        <v>2</v>
      </c>
      <c r="I129">
        <f>IFERROR(INDEX('Data-Input'!$B$19:$G$24,MATCH(B129,'Data-Input'!$A$19:$A$24,0),MATCH($B$1,'Data-Input'!$B$18:$G$18,0)),0)</f>
        <v>0</v>
      </c>
      <c r="J129">
        <f>IF(C129&lt;&gt;"",IFERROR(INDEX('Data-Input'!$B$19:$G$24,MATCH(C129,'Data-Input'!$A$19:$A$24,0),MATCH($B$1,'Data-Input'!$B$18:$G$18,0)),0),I129)</f>
        <v>0</v>
      </c>
      <c r="K129">
        <f t="shared" si="30"/>
        <v>0</v>
      </c>
      <c r="L129">
        <f t="shared" si="31"/>
        <v>6</v>
      </c>
      <c r="M129">
        <f t="shared" si="32"/>
        <v>40</v>
      </c>
      <c r="N129">
        <f t="shared" si="33"/>
        <v>12</v>
      </c>
      <c r="O129">
        <f t="shared" si="34"/>
        <v>3</v>
      </c>
      <c r="P129">
        <f t="shared" si="35"/>
        <v>6</v>
      </c>
      <c r="Q129">
        <f t="shared" si="36"/>
        <v>27</v>
      </c>
      <c r="R129">
        <f>IFERROR(INDEX('Data-Input'!$C$190:$C$1189,MATCH(A129&amp;"|"&amp;$A$1,'Data-Input'!$E$190:$E$1189,0)),Q129)</f>
        <v>27</v>
      </c>
      <c r="S129">
        <f t="shared" si="37"/>
        <v>27</v>
      </c>
      <c r="T129">
        <f t="shared" si="38"/>
        <v>27.000012900000002</v>
      </c>
      <c r="U129" t="str">
        <f>Heroes!$M129</f>
        <v>Roaming</v>
      </c>
      <c r="V129">
        <f t="shared" si="39"/>
        <v>-1000000000000000</v>
      </c>
      <c r="W129" t="str">
        <f>Heroes!$I129</f>
        <v>Shield</v>
      </c>
      <c r="X129" t="str">
        <f>Heroes!$J129</f>
        <v>Healing</v>
      </c>
      <c r="Y129">
        <f>IF($A$1="",0,MAX(IF(W129&lt;&gt;"",IFERROR(INDEX('Data-Input'!$B$164:$W$185,MATCH(W129,'Data-Input'!$A$164:$A$185,0),MATCH($K$1,'Data-Input'!$B$163:$W$163,0)),0),0),IF(AND(W129&lt;&gt;"",$L$1&lt;&gt;""),IFERROR(INDEX('Data-Input'!$B$164:$W$185,MATCH(W129,'Data-Input'!$A$164:$A$185,0),MATCH($L$1,'Data-Input'!$B$163:$W$163,0)),0),0),IF(X129&lt;&gt;"",IFERROR(INDEX('Data-Input'!$B$164:$W$185,MATCH(X129,'Data-Input'!$A$164:$A$185,0),MATCH($K$1,'Data-Input'!$B$163:$W$163,0)),0),0),IF(AND(X129&lt;&gt;"",$L$1&lt;&gt;""),IFERROR(INDEX('Data-Input'!$B$164:$W$185,MATCH(X129,'Data-Input'!$A$164:$A$185,0),MATCH($L$1,'Data-Input'!$B$163:$W$163,0)),0),0))*$M$1)</f>
        <v>0</v>
      </c>
      <c r="Z129">
        <f>IF($A$1="",0,SUMPRODUCT(('Data-Input'!$A$29:$A$128=A129)*('Data-Input'!$B$29:$B$128="Tag")*((('Data-Input'!$C$29:$C$128=$K$1)+('Data-Input'!$C$29:$C$128=$L$1))&gt;0)*('Data-Input'!$D$29:$D$128-'Data-Input'!$E$29:$E$128))+SUMPRODUCT(('Data-Input'!$A$29:$A$128=A129)*('Data-Input'!$B$29:$B$128="Hero")*('Data-Input'!$C$29:$C$128=$A$1)*('Data-Input'!$D$29:$D$128-'Data-Input'!$E$29:$E$128)))</f>
        <v>0</v>
      </c>
    </row>
    <row r="130" spans="1:26" ht="15" customHeight="1" x14ac:dyDescent="0.3">
      <c r="A130" t="str">
        <f>Heroes!$B130</f>
        <v>Zetian</v>
      </c>
      <c r="B130" t="str">
        <f>Heroes!$C130</f>
        <v>Mage</v>
      </c>
      <c r="C130">
        <f>Heroes!$D130</f>
        <v>0</v>
      </c>
      <c r="D130">
        <f>Heroes!$E130</f>
        <v>80</v>
      </c>
      <c r="E130">
        <f>Heroes!$F130</f>
        <v>50</v>
      </c>
      <c r="F130">
        <f>Heroes!$H130</f>
        <v>20</v>
      </c>
      <c r="G130" t="str">
        <f>Heroes!$K130</f>
        <v>Magic</v>
      </c>
      <c r="H130">
        <f>Heroes!$Q130</f>
        <v>3</v>
      </c>
      <c r="I130">
        <f>IFERROR(INDEX('Data-Input'!$B$19:$G$24,MATCH(B130,'Data-Input'!$A$19:$A$24,0),MATCH($B$1,'Data-Input'!$B$18:$G$18,0)),0)</f>
        <v>0</v>
      </c>
      <c r="J130">
        <f>IF(C130&lt;&gt;"",IFERROR(INDEX('Data-Input'!$B$19:$G$24,MATCH(C130,'Data-Input'!$A$19:$A$24,0),MATCH($B$1,'Data-Input'!$B$18:$G$18,0)),0),I130)</f>
        <v>0</v>
      </c>
      <c r="K130">
        <f t="shared" ref="K130:K161" si="40">MAX(I130,J130)</f>
        <v>0</v>
      </c>
      <c r="L130">
        <f t="shared" si="31"/>
        <v>6.5</v>
      </c>
      <c r="M130">
        <f t="shared" si="32"/>
        <v>20</v>
      </c>
      <c r="N130">
        <f t="shared" ref="N130:N161" si="41">IF(M130&gt;20,M130*$I$1,0)</f>
        <v>0</v>
      </c>
      <c r="O130">
        <f t="shared" si="34"/>
        <v>3</v>
      </c>
      <c r="P130">
        <f t="shared" si="35"/>
        <v>9</v>
      </c>
      <c r="Q130">
        <f t="shared" ref="Q130:Q161" si="42">K130*$G$1+L130+N130+O130+P130+Y130+Z130</f>
        <v>18.5</v>
      </c>
      <c r="R130">
        <f>IFERROR(INDEX('Data-Input'!$C$190:$C$1189,MATCH(A130&amp;"|"&amp;$A$1,'Data-Input'!$E$190:$E$1189,0)),Q130)</f>
        <v>18.5</v>
      </c>
      <c r="S130">
        <f t="shared" ref="S130:S161" si="43">IF(OR($A$1="",A130=$A$1),-1000000000000000,R130)</f>
        <v>18.5</v>
      </c>
      <c r="T130">
        <f t="shared" ref="T130:T161" si="44">S130+ROW()*0.0000001</f>
        <v>18.500012999999999</v>
      </c>
      <c r="U130" t="str">
        <f>Heroes!$M130</f>
        <v>Mid Lane</v>
      </c>
      <c r="V130">
        <f t="shared" ref="V130:V161" si="45">IF(OR($A$1="",A130=$A$1,U130="",U130&lt;&gt;$J$1),-1000000000000000,R130)+ROW()*0.0000001</f>
        <v>-1000000000000000</v>
      </c>
      <c r="W130" t="str">
        <f>Heroes!$I130</f>
        <v>Burst</v>
      </c>
      <c r="X130" t="str">
        <f>Heroes!$J130</f>
        <v>AoE Damage</v>
      </c>
      <c r="Y130">
        <f>IF($A$1="",0,MAX(IF(W130&lt;&gt;"",IFERROR(INDEX('Data-Input'!$B$164:$W$185,MATCH(W130,'Data-Input'!$A$164:$A$185,0),MATCH($K$1,'Data-Input'!$B$163:$W$163,0)),0),0),IF(AND(W130&lt;&gt;"",$L$1&lt;&gt;""),IFERROR(INDEX('Data-Input'!$B$164:$W$185,MATCH(W130,'Data-Input'!$A$164:$A$185,0),MATCH($L$1,'Data-Input'!$B$163:$W$163,0)),0),0),IF(X130&lt;&gt;"",IFERROR(INDEX('Data-Input'!$B$164:$W$185,MATCH(X130,'Data-Input'!$A$164:$A$185,0),MATCH($K$1,'Data-Input'!$B$163:$W$163,0)),0),0),IF(AND(X130&lt;&gt;"",$L$1&lt;&gt;""),IFERROR(INDEX('Data-Input'!$B$164:$W$185,MATCH(X130,'Data-Input'!$A$164:$A$185,0),MATCH($L$1,'Data-Input'!$B$163:$W$163,0)),0),0))*$M$1)</f>
        <v>0</v>
      </c>
      <c r="Z130">
        <f>IF($A$1="",0,SUMPRODUCT(('Data-Input'!$A$29:$A$128=A130)*('Data-Input'!$B$29:$B$128="Tag")*((('Data-Input'!$C$29:$C$128=$K$1)+('Data-Input'!$C$29:$C$128=$L$1))&gt;0)*('Data-Input'!$D$29:$D$128-'Data-Input'!$E$29:$E$128))+SUMPRODUCT(('Data-Input'!$A$29:$A$128=A130)*('Data-Input'!$B$29:$B$128="Hero")*('Data-Input'!$C$29:$C$128=$A$1)*('Data-Input'!$D$29:$D$128-'Data-Input'!$E$29:$E$128)))</f>
        <v>0</v>
      </c>
    </row>
    <row r="131" spans="1:26" ht="15" customHeight="1" x14ac:dyDescent="0.3">
      <c r="A131" t="str">
        <f>Heroes!$B131</f>
        <v>Obsidia</v>
      </c>
      <c r="B131" t="str">
        <f>Heroes!$C131</f>
        <v>Marksman</v>
      </c>
      <c r="C131">
        <f>Heroes!$D131</f>
        <v>0</v>
      </c>
      <c r="D131">
        <f>Heroes!$E131</f>
        <v>70</v>
      </c>
      <c r="E131">
        <f>Heroes!$F131</f>
        <v>10</v>
      </c>
      <c r="F131">
        <f>Heroes!$H131</f>
        <v>40</v>
      </c>
      <c r="G131" t="str">
        <f>Heroes!$K131</f>
        <v>Physical</v>
      </c>
      <c r="H131">
        <f>Heroes!$Q131</f>
        <v>4</v>
      </c>
      <c r="I131">
        <f>IFERROR(INDEX('Data-Input'!$B$19:$G$24,MATCH(B131,'Data-Input'!$A$19:$A$24,0),MATCH($B$1,'Data-Input'!$B$18:$G$18,0)),0)</f>
        <v>0</v>
      </c>
      <c r="J131">
        <f>IF(C131&lt;&gt;"",IFERROR(INDEX('Data-Input'!$B$19:$G$24,MATCH(C131,'Data-Input'!$A$19:$A$24,0),MATCH($B$1,'Data-Input'!$B$18:$G$18,0)),0),I131)</f>
        <v>0</v>
      </c>
      <c r="K131">
        <f t="shared" si="40"/>
        <v>0</v>
      </c>
      <c r="L131">
        <f t="shared" si="31"/>
        <v>4</v>
      </c>
      <c r="M131">
        <f t="shared" si="32"/>
        <v>40</v>
      </c>
      <c r="N131">
        <f t="shared" si="41"/>
        <v>12</v>
      </c>
      <c r="O131">
        <f t="shared" si="34"/>
        <v>3</v>
      </c>
      <c r="P131">
        <f t="shared" si="35"/>
        <v>12</v>
      </c>
      <c r="Q131">
        <f t="shared" si="42"/>
        <v>31</v>
      </c>
      <c r="R131">
        <f>IFERROR(INDEX('Data-Input'!$C$190:$C$1189,MATCH(A131&amp;"|"&amp;$A$1,'Data-Input'!$E$190:$E$1189,0)),Q131)</f>
        <v>31</v>
      </c>
      <c r="S131">
        <f t="shared" si="43"/>
        <v>31</v>
      </c>
      <c r="T131">
        <f t="shared" si="44"/>
        <v>31.0000131</v>
      </c>
      <c r="U131" t="str">
        <f>Heroes!$M131</f>
        <v>Gold Lane</v>
      </c>
      <c r="V131">
        <f t="shared" si="45"/>
        <v>-1000000000000000</v>
      </c>
      <c r="W131" t="str">
        <f>Heroes!$I131</f>
        <v>DPS</v>
      </c>
      <c r="X131" t="str">
        <f>Heroes!$J131</f>
        <v>Poke</v>
      </c>
      <c r="Y131">
        <f>IF($A$1="",0,MAX(IF(W131&lt;&gt;"",IFERROR(INDEX('Data-Input'!$B$164:$W$185,MATCH(W131,'Data-Input'!$A$164:$A$185,0),MATCH($K$1,'Data-Input'!$B$163:$W$163,0)),0),0),IF(AND(W131&lt;&gt;"",$L$1&lt;&gt;""),IFERROR(INDEX('Data-Input'!$B$164:$W$185,MATCH(W131,'Data-Input'!$A$164:$A$185,0),MATCH($L$1,'Data-Input'!$B$163:$W$163,0)),0),0),IF(X131&lt;&gt;"",IFERROR(INDEX('Data-Input'!$B$164:$W$185,MATCH(X131,'Data-Input'!$A$164:$A$185,0),MATCH($K$1,'Data-Input'!$B$163:$W$163,0)),0),0),IF(AND(X131&lt;&gt;"",$L$1&lt;&gt;""),IFERROR(INDEX('Data-Input'!$B$164:$W$185,MATCH(X131,'Data-Input'!$A$164:$A$185,0),MATCH($L$1,'Data-Input'!$B$163:$W$163,0)),0),0))*$M$1)</f>
        <v>0</v>
      </c>
      <c r="Z131">
        <f>IF($A$1="",0,SUMPRODUCT(('Data-Input'!$A$29:$A$128=A131)*('Data-Input'!$B$29:$B$128="Tag")*((('Data-Input'!$C$29:$C$128=$K$1)+('Data-Input'!$C$29:$C$128=$L$1))&gt;0)*('Data-Input'!$D$29:$D$128-'Data-Input'!$E$29:$E$128))+SUMPRODUCT(('Data-Input'!$A$29:$A$128=A131)*('Data-Input'!$B$29:$B$128="Hero")*('Data-Input'!$C$29:$C$128=$A$1)*('Data-Input'!$D$29:$D$128-'Data-Input'!$E$29:$E$128)))</f>
        <v>0</v>
      </c>
    </row>
    <row r="132" spans="1:26" ht="15" customHeight="1" x14ac:dyDescent="0.3">
      <c r="A132" t="str">
        <f>Heroes!$B132</f>
        <v>Sora</v>
      </c>
      <c r="B132" t="str">
        <f>Heroes!$C132</f>
        <v>Fighter</v>
      </c>
      <c r="C132" t="str">
        <f>Heroes!$D132</f>
        <v>Assassin</v>
      </c>
      <c r="D132">
        <f>Heroes!$E132</f>
        <v>60</v>
      </c>
      <c r="E132">
        <f>Heroes!$F132</f>
        <v>50</v>
      </c>
      <c r="F132">
        <f>Heroes!$H132</f>
        <v>50</v>
      </c>
      <c r="G132" t="str">
        <f>Heroes!$K132</f>
        <v>Physical</v>
      </c>
      <c r="H132">
        <f>Heroes!$Q132</f>
        <v>3</v>
      </c>
      <c r="I132">
        <f>IFERROR(INDEX('Data-Input'!$B$19:$G$24,MATCH(B132,'Data-Input'!$A$19:$A$24,0),MATCH($B$1,'Data-Input'!$B$18:$G$18,0)),0)</f>
        <v>0</v>
      </c>
      <c r="J132">
        <f>IF(C132&lt;&gt;"",IFERROR(INDEX('Data-Input'!$B$19:$G$24,MATCH(C132,'Data-Input'!$A$19:$A$24,0),MATCH($B$1,'Data-Input'!$B$18:$G$18,0)),0),I132)</f>
        <v>0</v>
      </c>
      <c r="K132">
        <f t="shared" si="40"/>
        <v>0</v>
      </c>
      <c r="L132">
        <f t="shared" si="31"/>
        <v>5.5</v>
      </c>
      <c r="M132">
        <f t="shared" si="32"/>
        <v>50</v>
      </c>
      <c r="N132">
        <f t="shared" si="41"/>
        <v>15</v>
      </c>
      <c r="O132">
        <f t="shared" si="34"/>
        <v>3</v>
      </c>
      <c r="P132">
        <f t="shared" si="35"/>
        <v>9</v>
      </c>
      <c r="Q132">
        <f t="shared" si="42"/>
        <v>32.5</v>
      </c>
      <c r="R132">
        <f>IFERROR(INDEX('Data-Input'!$C$190:$C$1189,MATCH(A132&amp;"|"&amp;$A$1,'Data-Input'!$E$190:$E$1189,0)),Q132)</f>
        <v>32.5</v>
      </c>
      <c r="S132">
        <f t="shared" si="43"/>
        <v>32.5</v>
      </c>
      <c r="T132">
        <f t="shared" si="44"/>
        <v>32.500013199999998</v>
      </c>
      <c r="U132" t="str">
        <f>Heroes!$M132</f>
        <v>EXP Lane</v>
      </c>
      <c r="V132">
        <f t="shared" si="45"/>
        <v>-1000000000000000</v>
      </c>
      <c r="W132" t="str">
        <f>Heroes!$I132</f>
        <v>Burst</v>
      </c>
      <c r="X132" t="str">
        <f>Heroes!$J132</f>
        <v>Dash/Blink</v>
      </c>
      <c r="Y132">
        <f>IF($A$1="",0,MAX(IF(W132&lt;&gt;"",IFERROR(INDEX('Data-Input'!$B$164:$W$185,MATCH(W132,'Data-Input'!$A$164:$A$185,0),MATCH($K$1,'Data-Input'!$B$163:$W$163,0)),0),0),IF(AND(W132&lt;&gt;"",$L$1&lt;&gt;""),IFERROR(INDEX('Data-Input'!$B$164:$W$185,MATCH(W132,'Data-Input'!$A$164:$A$185,0),MATCH($L$1,'Data-Input'!$B$163:$W$163,0)),0),0),IF(X132&lt;&gt;"",IFERROR(INDEX('Data-Input'!$B$164:$W$185,MATCH(X132,'Data-Input'!$A$164:$A$185,0),MATCH($K$1,'Data-Input'!$B$163:$W$163,0)),0),0),IF(AND(X132&lt;&gt;"",$L$1&lt;&gt;""),IFERROR(INDEX('Data-Input'!$B$164:$W$185,MATCH(X132,'Data-Input'!$A$164:$A$185,0),MATCH($L$1,'Data-Input'!$B$163:$W$163,0)),0),0))*$M$1)</f>
        <v>0</v>
      </c>
      <c r="Z132">
        <f>IF($A$1="",0,SUMPRODUCT(('Data-Input'!$A$29:$A$128=A132)*('Data-Input'!$B$29:$B$128="Tag")*((('Data-Input'!$C$29:$C$128=$K$1)+('Data-Input'!$C$29:$C$128=$L$1))&gt;0)*('Data-Input'!$D$29:$D$128-'Data-Input'!$E$29:$E$128))+SUMPRODUCT(('Data-Input'!$A$29:$A$128=A132)*('Data-Input'!$B$29:$B$128="Hero")*('Data-Input'!$C$29:$C$128=$A$1)*('Data-Input'!$D$29:$D$128-'Data-Input'!$E$29:$E$128)))</f>
        <v>0</v>
      </c>
    </row>
    <row r="133" spans="1:26" ht="15" customHeight="1" x14ac:dyDescent="0.3">
      <c r="A133" t="str">
        <f>Heroes!$B133</f>
        <v>Marcel</v>
      </c>
      <c r="B133" t="str">
        <f>Heroes!$C133</f>
        <v>Support</v>
      </c>
      <c r="C133">
        <f>Heroes!$D133</f>
        <v>0</v>
      </c>
      <c r="D133">
        <f>Heroes!$E133</f>
        <v>30</v>
      </c>
      <c r="E133">
        <f>Heroes!$F133</f>
        <v>100</v>
      </c>
      <c r="F133">
        <f>Heroes!$H133</f>
        <v>30</v>
      </c>
      <c r="G133" t="str">
        <f>Heroes!$K133</f>
        <v>Physical</v>
      </c>
      <c r="H133">
        <f>Heroes!$Q133</f>
        <v>2</v>
      </c>
      <c r="I133">
        <f>IFERROR(INDEX('Data-Input'!$B$19:$G$24,MATCH(B133,'Data-Input'!$A$19:$A$24,0),MATCH($B$1,'Data-Input'!$B$18:$G$18,0)),0)</f>
        <v>0</v>
      </c>
      <c r="J133">
        <f>IF(C133&lt;&gt;"",IFERROR(INDEX('Data-Input'!$B$19:$G$24,MATCH(C133,'Data-Input'!$A$19:$A$24,0),MATCH($B$1,'Data-Input'!$B$18:$G$18,0)),0),I133)</f>
        <v>0</v>
      </c>
      <c r="K133">
        <f t="shared" si="40"/>
        <v>0</v>
      </c>
      <c r="L133">
        <f t="shared" si="31"/>
        <v>6.5</v>
      </c>
      <c r="M133">
        <f t="shared" si="32"/>
        <v>30</v>
      </c>
      <c r="N133">
        <f t="shared" si="41"/>
        <v>9</v>
      </c>
      <c r="O133">
        <f t="shared" si="34"/>
        <v>3</v>
      </c>
      <c r="P133">
        <f t="shared" si="35"/>
        <v>6</v>
      </c>
      <c r="Q133">
        <f t="shared" si="42"/>
        <v>24.5</v>
      </c>
      <c r="R133">
        <f>IFERROR(INDEX('Data-Input'!$C$190:$C$1189,MATCH(A133&amp;"|"&amp;$A$1,'Data-Input'!$E$190:$E$1189,0)),Q133)</f>
        <v>24.5</v>
      </c>
      <c r="S133">
        <f t="shared" si="43"/>
        <v>24.5</v>
      </c>
      <c r="T133">
        <f t="shared" si="44"/>
        <v>24.500013299999999</v>
      </c>
      <c r="U133" t="str">
        <f>Heroes!$M133</f>
        <v>Roaming</v>
      </c>
      <c r="V133">
        <f t="shared" si="45"/>
        <v>-1000000000000000</v>
      </c>
      <c r="W133" t="str">
        <f>Heroes!$I133</f>
        <v>Healing</v>
      </c>
      <c r="X133" t="str">
        <f>Heroes!$J133</f>
        <v>Hard CC</v>
      </c>
      <c r="Y133">
        <f>IF($A$1="",0,MAX(IF(W133&lt;&gt;"",IFERROR(INDEX('Data-Input'!$B$164:$W$185,MATCH(W133,'Data-Input'!$A$164:$A$185,0),MATCH($K$1,'Data-Input'!$B$163:$W$163,0)),0),0),IF(AND(W133&lt;&gt;"",$L$1&lt;&gt;""),IFERROR(INDEX('Data-Input'!$B$164:$W$185,MATCH(W133,'Data-Input'!$A$164:$A$185,0),MATCH($L$1,'Data-Input'!$B$163:$W$163,0)),0),0),IF(X133&lt;&gt;"",IFERROR(INDEX('Data-Input'!$B$164:$W$185,MATCH(X133,'Data-Input'!$A$164:$A$185,0),MATCH($K$1,'Data-Input'!$B$163:$W$163,0)),0),0),IF(AND(X133&lt;&gt;"",$L$1&lt;&gt;""),IFERROR(INDEX('Data-Input'!$B$164:$W$185,MATCH(X133,'Data-Input'!$A$164:$A$185,0),MATCH($L$1,'Data-Input'!$B$163:$W$163,0)),0),0))*$M$1)</f>
        <v>0</v>
      </c>
      <c r="Z133">
        <f>IF($A$1="",0,SUMPRODUCT(('Data-Input'!$A$29:$A$128=A133)*('Data-Input'!$B$29:$B$128="Tag")*((('Data-Input'!$C$29:$C$128=$K$1)+('Data-Input'!$C$29:$C$128=$L$1))&gt;0)*('Data-Input'!$D$29:$D$128-'Data-Input'!$E$29:$E$128))+SUMPRODUCT(('Data-Input'!$A$29:$A$128=A133)*('Data-Input'!$B$29:$B$128="Hero")*('Data-Input'!$C$29:$C$128=$A$1)*('Data-Input'!$D$29:$D$128-'Data-Input'!$E$29:$E$128)))</f>
        <v>0</v>
      </c>
    </row>
    <row r="134" spans="1:26" ht="15" customHeight="1" x14ac:dyDescent="0.3">
      <c r="A134" t="str">
        <f>Heroes!$B134</f>
        <v>Hirara</v>
      </c>
      <c r="B134" t="str">
        <f>Heroes!$C134</f>
        <v>Assassin</v>
      </c>
      <c r="C134">
        <f>Heroes!$D134</f>
        <v>0</v>
      </c>
      <c r="D134">
        <f>Heroes!$E134</f>
        <v>80</v>
      </c>
      <c r="E134">
        <f>Heroes!$F134</f>
        <v>40</v>
      </c>
      <c r="F134">
        <f>Heroes!$H134</f>
        <v>70</v>
      </c>
      <c r="G134" t="str">
        <f>Heroes!$K134</f>
        <v>Physical</v>
      </c>
      <c r="H134">
        <f>Heroes!$Q134</f>
        <v>2</v>
      </c>
      <c r="I134">
        <f>IFERROR(INDEX('Data-Input'!$B$19:$G$24,MATCH(B134,'Data-Input'!$A$19:$A$24,0),MATCH($B$1,'Data-Input'!$B$18:$G$18,0)),0)</f>
        <v>0</v>
      </c>
      <c r="J134">
        <f>IF(C134&lt;&gt;"",IFERROR(INDEX('Data-Input'!$B$19:$G$24,MATCH(C134,'Data-Input'!$A$19:$A$24,0),MATCH($B$1,'Data-Input'!$B$18:$G$18,0)),0),I134)</f>
        <v>0</v>
      </c>
      <c r="K134">
        <f t="shared" si="40"/>
        <v>0</v>
      </c>
      <c r="L134">
        <f t="shared" si="31"/>
        <v>6</v>
      </c>
      <c r="M134">
        <f t="shared" si="32"/>
        <v>70</v>
      </c>
      <c r="N134">
        <f t="shared" si="41"/>
        <v>21</v>
      </c>
      <c r="O134">
        <f t="shared" si="34"/>
        <v>3</v>
      </c>
      <c r="P134">
        <f t="shared" si="35"/>
        <v>6</v>
      </c>
      <c r="Q134">
        <f t="shared" si="42"/>
        <v>36</v>
      </c>
      <c r="R134">
        <f>IFERROR(INDEX('Data-Input'!$C$190:$C$1189,MATCH(A134&amp;"|"&amp;$A$1,'Data-Input'!$E$190:$E$1189,0)),Q134)</f>
        <v>36</v>
      </c>
      <c r="S134">
        <f t="shared" si="43"/>
        <v>36</v>
      </c>
      <c r="T134">
        <f t="shared" si="44"/>
        <v>36.0000134</v>
      </c>
      <c r="U134" t="str">
        <f>Heroes!$M134</f>
        <v>Jungle</v>
      </c>
      <c r="V134">
        <f t="shared" si="45"/>
        <v>-1000000000000000</v>
      </c>
      <c r="W134" t="str">
        <f>Heroes!$I134</f>
        <v>Burst</v>
      </c>
      <c r="X134" t="str">
        <f>Heroes!$J134</f>
        <v>High Mobility</v>
      </c>
      <c r="Y134">
        <f>IF($A$1="",0,MAX(IF(W134&lt;&gt;"",IFERROR(INDEX('Data-Input'!$B$164:$W$185,MATCH(W134,'Data-Input'!$A$164:$A$185,0),MATCH($K$1,'Data-Input'!$B$163:$W$163,0)),0),0),IF(AND(W134&lt;&gt;"",$L$1&lt;&gt;""),IFERROR(INDEX('Data-Input'!$B$164:$W$185,MATCH(W134,'Data-Input'!$A$164:$A$185,0),MATCH($L$1,'Data-Input'!$B$163:$W$163,0)),0),0),IF(X134&lt;&gt;"",IFERROR(INDEX('Data-Input'!$B$164:$W$185,MATCH(X134,'Data-Input'!$A$164:$A$185,0),MATCH($K$1,'Data-Input'!$B$163:$W$163,0)),0),0),IF(AND(X134&lt;&gt;"",$L$1&lt;&gt;""),IFERROR(INDEX('Data-Input'!$B$164:$W$185,MATCH(X134,'Data-Input'!$A$164:$A$185,0),MATCH($L$1,'Data-Input'!$B$163:$W$163,0)),0),0))*$M$1)</f>
        <v>0</v>
      </c>
      <c r="Z134">
        <f>IF($A$1="",0,SUMPRODUCT(('Data-Input'!$A$29:$A$128=A134)*('Data-Input'!$B$29:$B$128="Tag")*((('Data-Input'!$C$29:$C$128=$K$1)+('Data-Input'!$C$29:$C$128=$L$1))&gt;0)*('Data-Input'!$D$29:$D$128-'Data-Input'!$E$29:$E$128))+SUMPRODUCT(('Data-Input'!$A$29:$A$128=A134)*('Data-Input'!$B$29:$B$128="Hero")*('Data-Input'!$C$29:$C$128=$A$1)*('Data-Input'!$D$29:$D$128-'Data-Input'!$E$29:$E$128))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Heroes</vt:lpstr>
      <vt:lpstr>Data-Input</vt:lpstr>
      <vt:lpstr>Documentation - Computations</vt:lpstr>
      <vt:lpstr>CounterCalculator</vt:lpstr>
      <vt:lpstr>Lookup</vt:lpstr>
      <vt:lpstr>LookupCalc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Fredrick Mahinay</cp:lastModifiedBy>
  <cp:revision>0</cp:revision>
  <dcterms:created xsi:type="dcterms:W3CDTF">2026-07-19T13:03:38Z</dcterms:created>
  <dcterms:modified xsi:type="dcterms:W3CDTF">2026-07-20T22:35:15Z</dcterms:modified>
  <dc:language>en-US</dc:language>
</cp:coreProperties>
</file>